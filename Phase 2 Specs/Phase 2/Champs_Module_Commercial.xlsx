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mmaire" sheetId="1" r:id="rId4"/>
    <sheet state="visible" name="Champs" sheetId="2" r:id="rId5"/>
    <sheet state="visible" name="Synthèse blocs" sheetId="3" r:id="rId6"/>
    <sheet state="visible" name="Référentiels" sheetId="4" r:id="rId7"/>
  </sheets>
  <definedNames>
    <definedName hidden="1" localSheetId="1" name="_xlnm._FilterDatabase">Champs!$A$1:$K$87</definedName>
  </definedNames>
  <calcPr/>
  <extLst>
    <ext uri="GoogleSheetsCustomDataVersion2">
      <go:sheetsCustomData xmlns:go="http://customooxmlschemas.google.com/" r:id="rId8" roundtripDataChecksum="YF6lkPQYPnktuHzrKdpVAKSDcdk8R2UZAsD0EVN4wzY="/>
    </ext>
  </extLst>
</workbook>
</file>

<file path=xl/sharedStrings.xml><?xml version="1.0" encoding="utf-8"?>
<sst xmlns="http://schemas.openxmlformats.org/spreadsheetml/2006/main" count="950" uniqueCount="498">
  <si>
    <t>Champs Module Commercial — Parnass Phase 2</t>
  </si>
  <si>
    <t>Source : Discovery Renta d'Exploitation + Indexation Carburant 2026 + Renta Avril 2025</t>
  </si>
  <si>
    <t>Lecture du document</t>
  </si>
  <si>
    <t>Onglet « Champs »</t>
  </si>
  <si>
    <t>Vue détaillée des 71 champs identifiés, regroupés par bloc fonctionnel.</t>
  </si>
  <si>
    <t>Onglet « Synthèse blocs »</t>
  </si>
  <si>
    <t>Comptage par bloc et par localisation (commercial / référentiel / auto).</t>
  </si>
  <si>
    <t>Onglet « Référentiels »</t>
  </si>
  <si>
    <t>Liste des tables externes à créer pour soutenir le module.</t>
  </si>
  <si>
    <t>Code couleur « Existe déjà »</t>
  </si>
  <si>
    <t>Vert = oui · Orange = partiel · Rouge = non.</t>
  </si>
  <si>
    <t>Code couleur « Priorité MVP »</t>
  </si>
  <si>
    <t>Rouge = critique · Orange = élevée · Jaune = moyenne · Gris = faible.</t>
  </si>
  <si>
    <t>Compteurs globaux</t>
  </si>
  <si>
    <t>Total champs identifiés</t>
  </si>
  <si>
    <t>Existe déjà</t>
  </si>
  <si>
    <t>Partiellement présent</t>
  </si>
  <si>
    <t>À créer</t>
  </si>
  <si>
    <t>Champs Module Commercial (saisie)</t>
  </si>
  <si>
    <t>Champs en table externe (référentiel)</t>
  </si>
  <si>
    <t>Champs auto-calculés</t>
  </si>
  <si>
    <t>N°</t>
  </si>
  <si>
    <t>Bloc</t>
  </si>
  <si>
    <t>Champ</t>
  </si>
  <si>
    <t>Type de donnée</t>
  </si>
  <si>
    <t>Valeurs / exemples</t>
  </si>
  <si>
    <t>Poste(s) alimenté(s)</t>
  </si>
  <si>
    <t>Existe déjà ?</t>
  </si>
  <si>
    <t>Localisation recommandée</t>
  </si>
  <si>
    <t>Justification du choix</t>
  </si>
  <si>
    <t>Priorité MVP</t>
  </si>
  <si>
    <t>Source / commentaire</t>
  </si>
  <si>
    <t>A · Identification &amp; contrat</t>
  </si>
  <si>
    <t>Référence prestation</t>
  </si>
  <si>
    <t>Texte</t>
  </si>
  <si>
    <t>Ex. « GLS Trappes-Coudray »</t>
  </si>
  <si>
    <t>Identifiant</t>
  </si>
  <si>
    <t>Oui</t>
  </si>
  <si>
    <t>Module commercial</t>
  </si>
  <si>
    <t>Identifie chaque presta dans listes, rapports, recettes.</t>
  </si>
  <si>
    <t>Critique</t>
  </si>
  <si>
    <t>Renta Avril 2025 ligne 15</t>
  </si>
  <si>
    <t>Client</t>
  </si>
  <si>
    <t>Référence</t>
  </si>
  <si>
    <t>Ex. CHRONOPOST CHILLY, CAT, GLS</t>
  </si>
  <si>
    <t>Indexation, casse, droits</t>
  </si>
  <si>
    <t>Référentiel Clients + lien commercial</t>
  </si>
  <si>
    <t>Donnée maîtresse — héritage de règles tarifaires.</t>
  </si>
  <si>
    <t>Indexation Client 2026 col. A</t>
  </si>
  <si>
    <t>Contrat parent</t>
  </si>
  <si>
    <t>Ex. « IVELI_FRIDF SR1 »</t>
  </si>
  <si>
    <t>Héritage tarif + indexation</t>
  </si>
  <si>
    <t>Référentiel Contrats + lien commercial</t>
  </si>
  <si>
    <t>Permet héritage auto des règles indexation / tarif.</t>
  </si>
  <si>
    <t>Indexation Client 2026 col. B</t>
  </si>
  <si>
    <t>Code Facturation</t>
  </si>
  <si>
    <t>CAT, CEVAGEN, CHCMZ</t>
  </si>
  <si>
    <t>Indexation, facturation</t>
  </si>
  <si>
    <t>Référentiel Contrats (hérité)</t>
  </si>
  <si>
    <t>Code court par contrat utilisé en indexation.</t>
  </si>
  <si>
    <t>Élevée</t>
  </si>
  <si>
    <t>Indexation Client 2026 col. C</t>
  </si>
  <si>
    <t>Date début presta</t>
  </si>
  <si>
    <t>Date</t>
  </si>
  <si>
    <t>01/03/2026</t>
  </si>
  <si>
    <t>CA, ventilation</t>
  </si>
  <si>
    <t>« Date de chargement fait foi pour facturation » (Discovery Rev-CA).</t>
  </si>
  <si>
    <t>Excel Rev-CA B25</t>
  </si>
  <si>
    <t>Date fin presta</t>
  </si>
  <si>
    <t>31/03/2026</t>
  </si>
  <si>
    <t>Bornes du contrat / de la presta.</t>
  </si>
  <si>
    <t>Fréquence</t>
  </si>
  <si>
    <t>Énum</t>
  </si>
  <si>
    <t>Lundi-Vendredi / Hebdo / Quotidien / Mensuel / One-shot</t>
  </si>
  <si>
    <t>CA</t>
  </si>
  <si>
    <t>Détermine la quantité × montant unitaire.</t>
  </si>
  <si>
    <t>Renta Avril 2025 B15</t>
  </si>
  <si>
    <t>Quantité (cycles)</t>
  </si>
  <si>
    <t>Nombre</t>
  </si>
  <si>
    <t>5 (jours/sem.) · 20 (jours/mois)</t>
  </si>
  <si>
    <t>Non</t>
  </si>
  <si>
    <t>CA = montant unitaire × quantité.</t>
  </si>
  <si>
    <t>Renta Avril 2025 D15</t>
  </si>
  <si>
    <t>B · Tarification (CA)</t>
  </si>
  <si>
    <t>Type de tarif</t>
  </si>
  <si>
    <t>Forfaitaire / TK / Taux horaire / Trinome</t>
  </si>
  <si>
    <t>Partiel</t>
  </si>
  <si>
    <t>Existant à étendre : ajouter « Trinome » (Discovery).</t>
  </si>
  <si>
    <t>Excel Rev-CA B10-B14</t>
  </si>
  <si>
    <t xml:space="preserve">Ajoute le principe Trinome.  Attention, il s'agit ici d'une addition d'un Forfait (équipement) + TK + taux horaire. La donnée forfait est obligatoire et TK et/ou TH sont optionnelles </t>
  </si>
  <si>
    <t>Montant unitaire</t>
  </si>
  <si>
    <t>€</t>
  </si>
  <si>
    <t>477,50 €</t>
  </si>
  <si>
    <t>Champ existant — OK.</t>
  </si>
  <si>
    <t>Unité</t>
  </si>
  <si>
    <t>Jour / Km / Heure / Forfait</t>
  </si>
  <si>
    <t>Existant — étendre selon type de tarif. (trinome)</t>
  </si>
  <si>
    <t>Km contractuel (TK)</t>
  </si>
  <si>
    <t>62 km, 129 km</t>
  </si>
  <si>
    <t>CA + indexation</t>
  </si>
  <si>
    <t>Module commercial (conditionnel)</t>
  </si>
  <si>
    <t>Conditionnel si type = TK ou Trinome ou si forfait</t>
  </si>
  <si>
    <t>Indexation Client 2026 col. H « Valeur de Réf. »</t>
  </si>
  <si>
    <t>La valeur peut etre à Zero mais doit pouvoir etre remplissable meme pour un forfait (ce qui n'est pas le cas aujourd'hui)</t>
  </si>
  <si>
    <t>Heures contractuelles</t>
  </si>
  <si>
    <t>35 h</t>
  </si>
  <si>
    <t>Conditionnel si type = Taux horaire ou Trinome.</t>
  </si>
  <si>
    <t>Excel Rev-CA B13</t>
  </si>
  <si>
    <t>Forfait matériel (Trinome)</t>
  </si>
  <si>
    <t>500 €</t>
  </si>
  <si>
    <t>Conditionnel si type = Trinome.</t>
  </si>
  <si>
    <t>Excel Rev-CA B14</t>
  </si>
  <si>
    <t>Règle de dépassement</t>
  </si>
  <si>
    <t>Km supp / Tx horaire add. / Aucun</t>
  </si>
  <si>
    <t>Convention atelier Discovery.</t>
  </si>
  <si>
    <t>Moyenne</t>
  </si>
  <si>
    <t>Excel Rev-CA B11</t>
  </si>
  <si>
    <t>Règle répartition multi-ressources</t>
  </si>
  <si>
    <t>Prorata h / Prorata km / Égalitaire / Conducteur principal seul</t>
  </si>
  <si>
    <t>CA + 06</t>
  </si>
  <si>
    <t>Question soulevée par Raphaela (commentaire Excel A24/A41).</t>
  </si>
  <si>
    <t>Excel Rev-CA commentaire A24</t>
  </si>
  <si>
    <t>Vu avec Laurent, le plus simple est de proratisé en fonction des heures (pour forfait et tx horaires et meme pour les prestas au TK = calcul du cout total de la presta puis plot en fonction des heures de chaque trajet)</t>
  </si>
  <si>
    <t>TOTAL Tarif</t>
  </si>
  <si>
    <t>La multiplication en fonction des variables du forfait</t>
  </si>
  <si>
    <t>NON</t>
  </si>
  <si>
    <t>Cette multiplication ne s'opere que pour TK, Taux Horaire et trinome. Si forfait, je reprends simplement le montant du forfait.</t>
  </si>
  <si>
    <t>Et c'est à partir de cette valeur, qu'on divisera en fonction des heure de chaque trajet pour avoir le tarif total du trajet</t>
  </si>
  <si>
    <t>C · Indexation carburant</t>
  </si>
  <si>
    <t>Type de carburant</t>
  </si>
  <si>
    <t>Gasoil B7 / GNV / GNL / HVO100 / Électrique</t>
  </si>
  <si>
    <t>Indexation, 03, 05</t>
  </si>
  <si>
    <t>Stable au niveau contrat ; override exceptionnel.</t>
  </si>
  <si>
    <t>Excel Rev-index B14</t>
  </si>
  <si>
    <t>L'indexation carburant se fait au niveau de la PRESTATION</t>
  </si>
  <si>
    <t>Indice de référence</t>
  </si>
  <si>
    <t>Sélecteur</t>
  </si>
  <si>
    <t>CNR GO PRO / CNR Gasoil HTVA / PMM DIREM / CNR GNV</t>
  </si>
  <si>
    <t>Indexation</t>
  </si>
  <si>
    <t>4 indices CNR distincts + bascule DIREM (jan. 2026).</t>
  </si>
  <si>
    <t>Indexation Client 2026 col. E</t>
  </si>
  <si>
    <t>Indice de référence Fioul</t>
  </si>
  <si>
    <t>CNR GNV Groupe froid autonome</t>
  </si>
  <si>
    <t>1 indices CNR propre</t>
  </si>
  <si>
    <t>Valeur de l'indice de référence</t>
  </si>
  <si>
    <t>Décimal</t>
  </si>
  <si>
    <t>174,88 (CAT) · 1,1654 (Chronopost)</t>
  </si>
  <si>
    <t>Valeur figée au moment de la signature contrat.</t>
  </si>
  <si>
    <t>Indexation Client 2026 col. D</t>
  </si>
  <si>
    <t>Valeur de l'indice de référence FIOUL</t>
  </si>
  <si>
    <t>Correspondance de la valeur de l'indice de référence</t>
  </si>
  <si>
    <t>174,88 correspond à 1,3245 €</t>
  </si>
  <si>
    <t>Calcul sur indexation</t>
  </si>
  <si>
    <t>L'objectif est de ramener en € un indice contractuel. C'est une saisie manuelle en fonction de la recherche dans les fichiers de Laurent</t>
  </si>
  <si>
    <t xml:space="preserve">si mon indice de référence est déja en €, je n'ai pas besoin de ressaisir </t>
  </si>
  <si>
    <t>Correspondance de la valeur de l'indice de référence FIOUL</t>
  </si>
  <si>
    <t>Date de l'indice de référence</t>
  </si>
  <si>
    <t>01/01/2024</t>
  </si>
  <si>
    <t>Date de l'indice base contractuelle.</t>
  </si>
  <si>
    <t>Date de l'indice de référence FIOUL</t>
  </si>
  <si>
    <t>Mode temporel</t>
  </si>
  <si>
    <t xml:space="preserve">M / M-1 (majoritaire) / M-2 </t>
  </si>
  <si>
    <t>Décalage temporel d'application de l'indice.</t>
  </si>
  <si>
    <t>Restitution HTML §06</t>
  </si>
  <si>
    <t>Mode temporel FIOUL</t>
  </si>
  <si>
    <t>Mode de facturation IGO</t>
  </si>
  <si>
    <t>% Pied de facture / Sur Km</t>
  </si>
  <si>
    <t xml:space="preserve">Comment l'indexation est appliquée sur la facture. Si je choisi le km, il faut que j'ai le forfait du km </t>
  </si>
  <si>
    <t>Indexation Client 2026 col. G</t>
  </si>
  <si>
    <t>% Pied de facture</t>
  </si>
  <si>
    <t>Pondération</t>
  </si>
  <si>
    <t>% ou L/100km</t>
  </si>
  <si>
    <t>0,25 (25%) · 0,28 · ou conso × km</t>
  </si>
  <si>
    <t>% du forfait OU L/100km × km contractuels.</t>
  </si>
  <si>
    <t>Indexation Client 2026 col. F</t>
  </si>
  <si>
    <t>Si c'est une pondération au km alors il faut rajouter la valeur de référence contractuel en terme de km. (la valeur de reference, ce sont les km de référence contractuel)</t>
  </si>
  <si>
    <t>Pondération FIOUL</t>
  </si>
  <si>
    <t>%</t>
  </si>
  <si>
    <t>TICPE</t>
  </si>
  <si>
    <t>valeur qu'il faudra déduire au prix au litre normal pour avoir un calcul exact du prix de la consommation</t>
  </si>
  <si>
    <t>Prix du litre au mois que je déduirai de la TICPE</t>
  </si>
  <si>
    <t>Prix total carburant - TICPE</t>
  </si>
  <si>
    <t xml:space="preserve">si un montant est complété dans TICPE, cela doit etre déduis </t>
  </si>
  <si>
    <t>Indices CNR/DIREM mensuels</t>
  </si>
  <si>
    <t>Numérique (table)</t>
  </si>
  <si>
    <t>192,03 (CNR GO pro nov-25) · 1,3882 (DIREM PMM)</t>
  </si>
  <si>
    <t>Référentiel Indices (alimentation API CNR + DIREM)</t>
  </si>
  <si>
    <t>Données externes mensuelles, hors présence commercial.</t>
  </si>
  <si>
    <t>Indexation Carburant 2026 onglet « indice »</t>
  </si>
  <si>
    <t>A voir comment on récupère la data qui est aujourdh'ui dans 2 tableaux. 1 premier tableau nous permettant de retrouver la date de l'indice concerné puis a partir de cette date, on retrouve la valeur de l'indice.
Et ça aussi bien sur le direm que sur le CNR</t>
  </si>
  <si>
    <t>Indices CNR FIOUL mensuels</t>
  </si>
  <si>
    <t>D · Véhicule prévu</t>
  </si>
  <si>
    <t>Type tracteur requis</t>
  </si>
  <si>
    <t>Tracteur GO / Tracteur GNC / Porteur SWAP GO / Porteur SWAP GNC / VL</t>
  </si>
  <si>
    <t>01, 03, 05, 09, 10, 11</t>
  </si>
  <si>
    <t>Choix du commercial par presta.</t>
  </si>
  <si>
    <t>Renta Avril 2025 « Liste » A1-A5</t>
  </si>
  <si>
    <t>Conso prévue 100 km</t>
  </si>
  <si>
    <t>TRAGO 28 L · TRAGZ 30,5 kg · PORGO 30 L · PORGZ 33 kg</t>
  </si>
  <si>
    <t>03</t>
  </si>
  <si>
    <t>Référentiel Véhicules (préremplie auto)</t>
  </si>
  <si>
    <t>Stable, modifiable en exception.</t>
  </si>
  <si>
    <t>Renta Avril 2025 « Liste » col. H + Excel Coût-Carburants B10-C11</t>
  </si>
  <si>
    <t>Type(s) de tracté (jusqu'à 4)</t>
  </si>
  <si>
    <t>Multi-énum</t>
  </si>
  <si>
    <t>Aérienne (Bachée/Classique/Frigo/Méga) / SR (Classique/Frigo/Méga/PC) / Remorque SWAP / Aucune</t>
  </si>
  <si>
    <t>02, 09, 10, 11</t>
  </si>
  <si>
    <r>
      <rPr>
        <rFont val="Arial"/>
        <color theme="1"/>
        <sz val="10.0"/>
      </rPr>
      <t xml:space="preserve">Module commercial + </t>
    </r>
    <r>
      <rPr>
        <rFont val="Arial"/>
        <color rgb="FFFF0000"/>
        <sz val="10.0"/>
      </rPr>
      <t>Référentiel Véhicules</t>
    </r>
  </si>
  <si>
    <t>Choix par presta — jusqu'à 4 tractés possibles.</t>
  </si>
  <si>
    <t>Renta Avril 2025 « Liste » A7-A15</t>
  </si>
  <si>
    <t>Allocation tracté (débord)</t>
  </si>
  <si>
    <t>Plein temps client / Débord 100% client / Partagé</t>
  </si>
  <si>
    <t>02</t>
  </si>
  <si>
    <t>Convention Discovery — détermine le coût alloué.</t>
  </si>
  <si>
    <t>Excel Coût-Tractés B20-C20</t>
  </si>
  <si>
    <t>Exemple avec GLS</t>
  </si>
  <si>
    <t>Frigo requis</t>
  </si>
  <si>
    <t>Booléen</t>
  </si>
  <si>
    <t>dépend de la catégorie du tracté (SRFRI etc...</t>
  </si>
  <si>
    <t>04</t>
  </si>
  <si>
    <t>Module commercial (ou inféré du type semi)</t>
  </si>
  <si>
    <t>Active poste 04 ; déjà partiellement via Contrainte Conducteur.</t>
  </si>
  <si>
    <t>En selectionnant le tracté, on va savoir qu'il s'agit d'un Frigo AERFR - SRFRI - SRMFR</t>
  </si>
  <si>
    <t>Heures fonctionnement frigo</t>
  </si>
  <si>
    <t>Nombre (h)</t>
  </si>
  <si>
    <t>50 h/mois</t>
  </si>
  <si>
    <t>Conditionnel si frigo = oui.</t>
  </si>
  <si>
    <t>Excel Coût-Fioul B13</t>
  </si>
  <si>
    <t>Prix du fioul pour le frigo</t>
  </si>
  <si>
    <t>Nombre (€)</t>
  </si>
  <si>
    <t>1,2 €/heure</t>
  </si>
  <si>
    <t>Référentiel Véhicules (table tarifaire)</t>
  </si>
  <si>
    <t>On est d'accord sur le prix du fioul est identique pour tous les contrats/client</t>
  </si>
  <si>
    <t>Km à vide planifiés</t>
  </si>
  <si>
    <t>80 km / cycle</t>
  </si>
  <si>
    <t>Distinguer du km productif.</t>
  </si>
  <si>
    <t>Excel Coût-Carburants D14</t>
  </si>
  <si>
    <t>Consomation à vide</t>
  </si>
  <si>
    <t>1,75 €/litre</t>
  </si>
  <si>
    <t>Loyer mensuel véhicule</t>
  </si>
  <si>
    <t>2 300 € (Tracteur GO) · 1 200 € (Aérienne)</t>
  </si>
  <si>
    <t>01, 02</t>
  </si>
  <si>
    <t>Tarif par type — stable.</t>
  </si>
  <si>
    <t>Renta Avril 2025 « Liste » col. D</t>
  </si>
  <si>
    <t>Loyer mensuel tracté</t>
  </si>
  <si>
    <t xml:space="preserve">Forfait Entretien </t>
  </si>
  <si>
    <t>Un prix diviser par 21 en fonction du nombre de tracteur et de tracté utilisé.
Prix par jour X nbre de véhicule</t>
  </si>
  <si>
    <t>09</t>
  </si>
  <si>
    <t>Référentiel Véhicules</t>
  </si>
  <si>
    <t>Renta Avril 2025 « Liste » col. G</t>
  </si>
  <si>
    <t>Forfait Pneumatiques</t>
  </si>
  <si>
    <t>10</t>
  </si>
  <si>
    <t>Renta Avril 2025 « Liste » col. F</t>
  </si>
  <si>
    <t>Forfait assurance mensuel</t>
  </si>
  <si>
    <t>11</t>
  </si>
  <si>
    <t>Loyer = loyer + assurance + géoloc (note Renta).</t>
  </si>
  <si>
    <t>Renta Avril 2025 « Liste » A17</t>
  </si>
  <si>
    <t>Coût géoloc mensuel</t>
  </si>
  <si>
    <t>Myrentacar / 21</t>
  </si>
  <si>
    <t>Géoloc</t>
  </si>
  <si>
    <t>Inclus dans le loyer agrégé.</t>
  </si>
  <si>
    <t>Besoin d'explication ?</t>
  </si>
  <si>
    <t>E · Conducteur prévu</t>
  </si>
  <si>
    <t>Typologie conducteur</t>
  </si>
  <si>
    <t>VL / CM / SPL / Polyvalent</t>
  </si>
  <si>
    <t>06, 07</t>
  </si>
  <si>
    <t>Choix per presta — alimente 06 et primes 07.</t>
  </si>
  <si>
    <t>Restitution HTML décision 04</t>
  </si>
  <si>
    <t>Nb conducteurs prévus</t>
  </si>
  <si>
    <t>Nombre (1-3)</t>
  </si>
  <si>
    <t>1 / 2 / 3</t>
  </si>
  <si>
    <t>06, 07, répartition CA</t>
  </si>
  <si>
    <t>Jusqu'à 3 conducteurs max</t>
  </si>
  <si>
    <t>Renta Avril 2025 Sommaire col. C-E</t>
  </si>
  <si>
    <t xml:space="preserve">A-t-on besoin de cette info </t>
  </si>
  <si>
    <t>Amplitude prévue / jour</t>
  </si>
  <si>
    <t>12 h (réf. atelier)</t>
  </si>
  <si>
    <t>Réf. atelier amplitude 12 h pour le forfait jour.</t>
  </si>
  <si>
    <t>Excel Coût-Salaires B10</t>
  </si>
  <si>
    <t>Jours travaillés prévus</t>
  </si>
  <si>
    <t>21 jours</t>
  </si>
  <si>
    <t>06</t>
  </si>
  <si>
    <t>Alimente formule jours / 21.</t>
  </si>
  <si>
    <t>Décision H1 arbitrée</t>
  </si>
  <si>
    <t>Non concerné</t>
  </si>
  <si>
    <t>TDS prévu / jour</t>
  </si>
  <si>
    <t>9 h / 10 h</t>
  </si>
  <si>
    <t>Comparaison avec tachygraphe Solid (réel).</t>
  </si>
  <si>
    <t>Renta Avril 2025 B9</t>
  </si>
  <si>
    <t>Découcher prévu</t>
  </si>
  <si>
    <t>Booléen + nb</t>
  </si>
  <si>
    <t>Oui, 2 nuits / sem.</t>
  </si>
  <si>
    <t>07</t>
  </si>
  <si>
    <t>Active prime + frais hôtel.</t>
  </si>
  <si>
    <t>Excel Coût-Salaires B11</t>
  </si>
  <si>
    <t>Est-ce qu niveau de Commercial ?</t>
  </si>
  <si>
    <t>Travail de nuit prévu</t>
  </si>
  <si>
    <t>Oui / Non</t>
  </si>
  <si>
    <t>Active prime de nuit.</t>
  </si>
  <si>
    <t>Dimanche / jour férié prévu</t>
  </si>
  <si>
    <t>Active prime dimanche / férié.</t>
  </si>
  <si>
    <t>Panier (déjeuner / dîner)</t>
  </si>
  <si>
    <t>Aucun / Déjeuner / Dîner / Les deux</t>
  </si>
  <si>
    <t>Active frais paniers.</t>
  </si>
  <si>
    <t>Taux journalier par profil</t>
  </si>
  <si>
    <t>€/jour</t>
  </si>
  <si>
    <t>SPL 210 € · CM 235 € · Polyvalent 305 € · VL TBD</t>
  </si>
  <si>
    <t>Référentiel Taux</t>
  </si>
  <si>
    <t>Stable — table commune (VL à confirmer Mathieu).</t>
  </si>
  <si>
    <t>Excel Coût-Salaires B11-D11</t>
  </si>
  <si>
    <t>Forfait moyen primes par profil</t>
  </si>
  <si>
    <t>Nuit / Dimanche / Découcher / Panier</t>
  </si>
  <si>
    <t>Stable — alimentation manuelle.</t>
  </si>
  <si>
    <t>Restitution HTML poste 07</t>
  </si>
  <si>
    <t>Contraintes conducteur</t>
  </si>
  <si>
    <t>Multi-tag</t>
  </si>
  <si>
    <t>ADR 1.3 · ADR 8.2 · APSAD P3 · APSAD P5 · Frigo · BPD · Sûreté</t>
  </si>
  <si>
    <t>Affectation, Équipements</t>
  </si>
  <si>
    <t>Conservé — déjà présent dans le formulaire.</t>
  </si>
  <si>
    <t>F · Trajet &amp; péages</t>
  </si>
  <si>
    <t>Km planifiés</t>
  </si>
  <si>
    <t>1 225 km / sem.</t>
  </si>
  <si>
    <t>Champ « Kilométrage réel » existant — à renommer « Km planifié ». Il faut intégrer que ce kilometrage peut evoluer en fonction de si on passe avec ou sans péage. Il faut interroger PTV</t>
  </si>
  <si>
    <t>Renta Avril 2025 B11</t>
  </si>
  <si>
    <t>Est-ce qu'on part de notre calcul ou bien renseigné à la main ?</t>
  </si>
  <si>
    <t>Trajet à péages</t>
  </si>
  <si>
    <t>Validés / Hors autoroute / Non</t>
  </si>
  <si>
    <t>08</t>
  </si>
  <si>
    <t>Module commercial (trajet)</t>
  </si>
  <si>
    <t>Option à cocher si péages non validés.</t>
  </si>
  <si>
    <t>Excel Coût-Péages C16</t>
  </si>
  <si>
    <t>Attention, des péages peuvent s'appliquer sur des HLP</t>
  </si>
  <si>
    <t>Coût péage de référence</t>
  </si>
  <si>
    <t>€ (auto)</t>
  </si>
  <si>
    <t>Calculé via API PTV</t>
  </si>
  <si>
    <t>Auto-calculé (intégration PTV)</t>
  </si>
  <si>
    <t>Pas saisi commercial — alimenté par API PTV.</t>
  </si>
  <si>
    <t>Excel Coût-Péages B14</t>
  </si>
  <si>
    <t>Type de matériel transporté</t>
  </si>
  <si>
    <t>Standard / Sensible / Dangereux / Pharma</t>
  </si>
  <si>
    <t>12 (typage casse)</t>
  </si>
  <si>
    <t>Casse ≈ 1,4 % CA mais différenciée par typologie.</t>
  </si>
  <si>
    <t>Excel Coût-Casse B20</t>
  </si>
  <si>
    <t>Non utile</t>
  </si>
  <si>
    <t>Taux casse référence</t>
  </si>
  <si>
    <t>% CA</t>
  </si>
  <si>
    <t>≈ 1,4 % (typé CM / SPL / VL+tractés)</t>
  </si>
  <si>
    <t>12</t>
  </si>
  <si>
    <t>Référentiel Conventions</t>
  </si>
  <si>
    <t>Tarif par typologie matériel — convention atelier.</t>
  </si>
  <si>
    <t>Excel Coût-Casse B10</t>
  </si>
  <si>
    <t>G · Équipements</t>
  </si>
  <si>
    <t>Transpalette requis</t>
  </si>
  <si>
    <t>Équipements</t>
  </si>
  <si>
    <t>OUI</t>
  </si>
  <si>
    <t>Active coût mensuel tirpalette.</t>
  </si>
  <si>
    <t>Renta Avril 2025 « Liste » A18 (55,28 €/mois)</t>
  </si>
  <si>
    <t>Chariot élévateur</t>
  </si>
  <si>
    <t>Active coût mensuel du chariot</t>
  </si>
  <si>
    <t>Hayon requis</t>
  </si>
  <si>
    <t>Active coût mensuel hayon.</t>
  </si>
  <si>
    <t>ADR (matières dangereuses)</t>
  </si>
  <si>
    <t>Déjà via Contrainte Conducteur — à formaliser comme équipement.</t>
  </si>
  <si>
    <t>APSAD P3 / P5</t>
  </si>
  <si>
    <t>Déjà via Contrainte Conducteur.</t>
  </si>
  <si>
    <t>BPD (Pharma)</t>
  </si>
  <si>
    <t>Coût mensuel équipement</t>
  </si>
  <si>
    <t>55,28 € (Tirpalette)</t>
  </si>
  <si>
    <t>Référentiel Équipements</t>
  </si>
  <si>
    <t>Tarif par type d'équipement.</t>
  </si>
  <si>
    <t>Renta Avril 2025 B18</t>
  </si>
  <si>
    <t>H · Sous-traitance</t>
  </si>
  <si>
    <t>Sous-traité ?</t>
  </si>
  <si>
    <t>13</t>
  </si>
  <si>
    <t>Module commercial (Prestation)</t>
  </si>
  <si>
    <t>Active tout le bloc sous-traitance.</t>
  </si>
  <si>
    <t>Est-ce que Laurent sait en avance qu'il va falloir un sous traitant pour une prestation ?</t>
  </si>
  <si>
    <t>Nom du sous-traitant</t>
  </si>
  <si>
    <t>Référentiel sous-traitants</t>
  </si>
  <si>
    <t>Module commercial + Référentiel Sous-traitants</t>
  </si>
  <si>
    <t>Per-presta choix dans liste pré-référencée.</t>
  </si>
  <si>
    <t>Excel Coût-Soustraitance B14</t>
  </si>
  <si>
    <t>Coût convenu sous-traitance</t>
  </si>
  <si>
    <t>1 500 €</t>
  </si>
  <si>
    <t>Per-presta — réel = théorique.</t>
  </si>
  <si>
    <t>Excel Coût-Soustraitance B9</t>
  </si>
  <si>
    <t>Utilisation Semi Parnass</t>
  </si>
  <si>
    <t>Active surcoût (loyer + entretien semi Parnass).</t>
  </si>
  <si>
    <t>Excel Coût-Soustraitance C13-E13</t>
  </si>
  <si>
    <t>Est-ce qu'on a l'info à l'avance ? Combien coute ce point ?</t>
  </si>
  <si>
    <t>Cout de la semi</t>
  </si>
  <si>
    <t>Laurent renseigne le cout d'utilisation du semi</t>
  </si>
  <si>
    <t>Mode ventilation sous-traitance</t>
  </si>
  <si>
    <t>Prorata h courses / h tournées</t>
  </si>
  <si>
    <t>Convention atelier — fixe.</t>
  </si>
  <si>
    <t>Excel Coût-Soustraitance B10</t>
  </si>
  <si>
    <t>I · Conventions de calcul</t>
  </si>
  <si>
    <t>Conso AdBlue théorique</t>
  </si>
  <si>
    <t>L/100km</t>
  </si>
  <si>
    <t>1,9 L / 100 km - (uniquement sur Gasoil)</t>
  </si>
  <si>
    <t>05</t>
  </si>
  <si>
    <t>Stable — MAJ ad hoc.</t>
  </si>
  <si>
    <t>Excel Coût-AdBlue B16</t>
  </si>
  <si>
    <t>Prix AdBlue référence</t>
  </si>
  <si>
    <t>€/L</t>
  </si>
  <si>
    <t>0,42 €/L</t>
  </si>
  <si>
    <t>Stable — MAJ mensuelle par Laurent.</t>
  </si>
  <si>
    <t>Excel Coût-AdBlue C16</t>
  </si>
  <si>
    <t>Conso frigo référence</t>
  </si>
  <si>
    <t>L/h</t>
  </si>
  <si>
    <t>2 L / heure</t>
  </si>
  <si>
    <t>Excel Coût-Fioul B16</t>
  </si>
  <si>
    <t>En fonction du type de frigo (froid ou surgelé)</t>
  </si>
  <si>
    <t>Conso Moteur de référence</t>
  </si>
  <si>
    <t>25 L / heure</t>
  </si>
  <si>
    <t>En fonction du type de véhoicule SPL ou CM</t>
  </si>
  <si>
    <t>Diviseur jours ouvrés (H1)</t>
  </si>
  <si>
    <t>21</t>
  </si>
  <si>
    <t>01, 02, 06, 07, 09, 10, 11</t>
  </si>
  <si>
    <t>Décision H1 arbitrée Discovery.</t>
  </si>
  <si>
    <t>Décision atelier 1 (H1)</t>
  </si>
  <si>
    <t>Synthèse par bloc fonctionnel</t>
  </si>
  <si>
    <t>Libellé</t>
  </si>
  <si>
    <t>Total champs</t>
  </si>
  <si>
    <t>Critique MVP</t>
  </si>
  <si>
    <t>Élevée MVP</t>
  </si>
  <si>
    <t>A</t>
  </si>
  <si>
    <t>Identification &amp; contrat</t>
  </si>
  <si>
    <t>B</t>
  </si>
  <si>
    <t>Tarification (CA)</t>
  </si>
  <si>
    <t>C</t>
  </si>
  <si>
    <t>Indexation carburant</t>
  </si>
  <si>
    <t>D</t>
  </si>
  <si>
    <t>Véhicule prévu</t>
  </si>
  <si>
    <t>E</t>
  </si>
  <si>
    <t>Conducteur prévu</t>
  </si>
  <si>
    <t>F</t>
  </si>
  <si>
    <t>Trajet &amp; péages</t>
  </si>
  <si>
    <t>G</t>
  </si>
  <si>
    <t>H</t>
  </si>
  <si>
    <t>Sous-traitance</t>
  </si>
  <si>
    <t>I</t>
  </si>
  <si>
    <t>Conventions de calcul</t>
  </si>
  <si>
    <t>TOTAL</t>
  </si>
  <si>
    <t>Synthèse par localisation recommandée</t>
  </si>
  <si>
    <t>Localisation</t>
  </si>
  <si>
    <t>Nombre de champs</t>
  </si>
  <si>
    <t>Module commercial + Référentiel Clients</t>
  </si>
  <si>
    <t>Module commercial + Référentiel Véhicules</t>
  </si>
  <si>
    <t>Référentiel Contrats (hérité) — override presta possible</t>
  </si>
  <si>
    <t>Référentiel Contrats + override Module Commercial (FedEx)</t>
  </si>
  <si>
    <t>Tables externes à créer (référentiels)</t>
  </si>
  <si>
    <t>Le module commercial s'appuie sur 9 référentiels externes (tables maîtres).</t>
  </si>
  <si>
    <t>#</t>
  </si>
  <si>
    <t>Référentiel</t>
  </si>
  <si>
    <t>Contenu</t>
  </si>
  <si>
    <t>Fréquence MAJ</t>
  </si>
  <si>
    <t>Source / propriétaire</t>
  </si>
  <si>
    <t>1</t>
  </si>
  <si>
    <t>Référentiel Clients</t>
  </si>
  <si>
    <t>ID client · raison sociale · groupes (CAT, CEVA, CHRONOPOST, GLS, DHL, UPS, FedEx, Auchan…)</t>
  </si>
  <si>
    <t>Ad hoc</t>
  </si>
  <si>
    <t>Commercial — Laurent</t>
  </si>
  <si>
    <t>2</t>
  </si>
  <si>
    <t>Référentiel Contrats</t>
  </si>
  <si>
    <t>ID contrat · client · libellé · code facturation · règles tarif par défaut · règles indexation par défaut</t>
  </si>
  <si>
    <t>Ad hoc (à chaque nouveau contrat / fin de contrat)</t>
  </si>
  <si>
    <t>3</t>
  </si>
  <si>
    <t>Type tracteur (TRAGO/TRAGZ/PORGO/PORGZ/VL) · type semi · loyer mensuel · conso 100 km · Tx Pneu €/km · Tx Entretien €/km · assurance</t>
  </si>
  <si>
    <t>Annuelle (MAJ contrats LLD)</t>
  </si>
  <si>
    <t>Parc — Raphael · MyRentCar</t>
  </si>
  <si>
    <t>4</t>
  </si>
  <si>
    <t>Référentiel Conducteurs / Profils</t>
  </si>
  <si>
    <t>Profils VL/CM/SPL/Polyvalent · taux journalier · primes (nuit / dimanche / découcher / panier) · frais hôtel</t>
  </si>
  <si>
    <t>Annuelle (NAO) + ad hoc</t>
  </si>
  <si>
    <t>RH / Paye — Mathieu</t>
  </si>
  <si>
    <t>5</t>
  </si>
  <si>
    <t>Référentiel Énergies</t>
  </si>
  <si>
    <t>Code énergie (Gasoil B7 / GNV / GNL / HVO100 / Électrique) · unité (L, kg) · table d'indexation associée</t>
  </si>
  <si>
    <t>Annuelle</t>
  </si>
  <si>
    <t>Indexation — Laurent</t>
  </si>
  <si>
    <t>6</t>
  </si>
  <si>
    <t>Référentiel Indices CNR + DIREM</t>
  </si>
  <si>
    <t>5 indices CNR (GO pro / GO HTVA / Cuve moy. / GNV / fioul) + 2 indices DIREM (PMM / fin de mois) · historique janvier 2000 → courant</t>
  </si>
  <si>
    <t>Mensuelle (CNR API · DIREM Excel hebdo)</t>
  </si>
  <si>
    <t>Externe — CNR + DIREM</t>
  </si>
  <si>
    <t>7</t>
  </si>
  <si>
    <t>Tirpalette · chariot élévateur · hayon · ADR · APSAD P3 · APSAD P5 · BPD · Frigo · coût mensuel par équipement</t>
  </si>
  <si>
    <t>Annuelle (renégoc. fournisseurs)</t>
  </si>
  <si>
    <t>8</t>
  </si>
  <si>
    <t>Référentiel Sous-traitants</t>
  </si>
  <si>
    <t>ID sous-traitant · raison sociale · zones desservies · taux moyen · qualité</t>
  </si>
  <si>
    <t>Exploitation — Housam</t>
  </si>
  <si>
    <t>9</t>
  </si>
  <si>
    <t>Référentiel Conventions de calcul</t>
  </si>
  <si>
    <t>Diviseur 21 j (H1) · conso AdBlue 1,9 L/100 km · prix AdBlue 0,42 €/L · conso frigo 2 L/h · taux casse ≈ 1,4 %</t>
  </si>
  <si>
    <t>Trimestrielle / ad hoc</t>
  </si>
  <si>
    <t>Discovery — Mathieu / Laurent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</si>
</sst>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23">
    <font>
      <sz val="11.0"/>
      <color theme="1"/>
      <name val="Calibri"/>
      <scheme val="minor"/>
    </font>
    <font>
      <b/>
      <sz val="18.0"/>
      <color rgb="FFFFFFFF"/>
      <name val="Arial"/>
    </font>
    <font/>
    <font>
      <i/>
      <sz val="10.0"/>
      <color rgb="FF475569"/>
      <name val="Arial"/>
    </font>
    <font>
      <b/>
      <sz val="12.0"/>
      <color rgb="FF1E1B4B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b/>
      <sz val="11.0"/>
      <color rgb="FF4F46E5"/>
      <name val="Arial"/>
    </font>
    <font>
      <b/>
      <sz val="10.0"/>
      <color rgb="FF047857"/>
      <name val="Arial"/>
    </font>
    <font>
      <b/>
      <sz val="10.0"/>
      <color rgb="FFB45309"/>
      <name val="Arial"/>
    </font>
    <font>
      <b/>
      <sz val="10.0"/>
      <color rgb="FFBE123C"/>
      <name val="Arial"/>
    </font>
    <font>
      <b/>
      <sz val="10.0"/>
      <color rgb="FF4F46E5"/>
      <name val="Arial"/>
    </font>
    <font>
      <b/>
      <sz val="10.0"/>
      <color rgb="FF7C3AED"/>
      <name val="Arial"/>
    </font>
    <font>
      <b/>
      <sz val="10.0"/>
      <color rgb="FFEA580C"/>
      <name val="Arial"/>
    </font>
    <font>
      <b/>
      <sz val="11.0"/>
      <color rgb="FFFFFFFF"/>
      <name val="Arial"/>
    </font>
    <font>
      <sz val="11.0"/>
      <color theme="1"/>
      <name val="Calibri"/>
    </font>
    <font>
      <b/>
      <sz val="10.0"/>
      <color rgb="FFFFFFFF"/>
      <name val="Arial"/>
    </font>
    <font>
      <sz val="10.0"/>
      <color rgb="FF475569"/>
      <name val="Arial"/>
    </font>
    <font>
      <sz val="9.0"/>
      <color theme="1"/>
      <name val="Arial"/>
    </font>
    <font>
      <i/>
      <sz val="9.0"/>
      <color rgb="FF475569"/>
      <name val="Arial"/>
    </font>
    <font>
      <color theme="1"/>
      <name val="Calibri"/>
      <scheme val="minor"/>
    </font>
    <font>
      <b/>
      <sz val="14.0"/>
      <color rgb="FFFFFFFF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1E1B4B"/>
        <bgColor rgb="FF1E1B4B"/>
      </patternFill>
    </fill>
    <fill>
      <patternFill patternType="solid">
        <fgColor rgb="FFF8FAFC"/>
        <bgColor rgb="FFF8FAFC"/>
      </patternFill>
    </fill>
    <fill>
      <patternFill patternType="solid">
        <fgColor rgb="FF6366F1"/>
        <bgColor rgb="FF6366F1"/>
      </patternFill>
    </fill>
    <fill>
      <patternFill patternType="solid">
        <fgColor rgb="FF7C3AED"/>
        <bgColor rgb="FF7C3AED"/>
      </patternFill>
    </fill>
    <fill>
      <patternFill patternType="solid">
        <fgColor rgb="FFDB2777"/>
        <bgColor rgb="FFDB2777"/>
      </patternFill>
    </fill>
    <fill>
      <patternFill patternType="solid">
        <fgColor rgb="FF0891B2"/>
        <bgColor rgb="FF0891B2"/>
      </patternFill>
    </fill>
    <fill>
      <patternFill patternType="solid">
        <fgColor rgb="FF059669"/>
        <bgColor rgb="FF059669"/>
      </patternFill>
    </fill>
    <fill>
      <patternFill patternType="solid">
        <fgColor rgb="FFEA580C"/>
        <bgColor rgb="FFEA580C"/>
      </patternFill>
    </fill>
    <fill>
      <patternFill patternType="solid">
        <fgColor rgb="FFFF0000"/>
        <bgColor rgb="FFFF0000"/>
      </patternFill>
    </fill>
    <fill>
      <patternFill patternType="solid">
        <fgColor rgb="FFCA8A04"/>
        <bgColor rgb="FFCA8A04"/>
      </patternFill>
    </fill>
    <fill>
      <patternFill patternType="solid">
        <fgColor rgb="FF9333EA"/>
        <bgColor rgb="FF9333EA"/>
      </patternFill>
    </fill>
    <fill>
      <patternFill patternType="solid">
        <fgColor rgb="FF475569"/>
        <bgColor rgb="FF475569"/>
      </patternFill>
    </fill>
    <fill>
      <patternFill patternType="solid">
        <fgColor rgb="FF4F46E5"/>
        <bgColor rgb="FF4F46E5"/>
      </patternFill>
    </fill>
    <fill>
      <patternFill patternType="solid">
        <fgColor rgb="FFF1F5F9"/>
        <bgColor rgb="FFF1F5F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 style="medium">
        <color rgb="FF1E1B4B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0" xfId="0" applyFont="1"/>
    <xf borderId="0" fillId="0" fontId="14" numFmtId="0" xfId="0" applyFont="1"/>
    <xf borderId="4" fillId="2" fontId="15" numFmtId="0" xfId="0" applyAlignment="1" applyBorder="1" applyFont="1">
      <alignment horizontal="center" shrinkToFit="0" vertical="center" wrapText="1"/>
    </xf>
    <xf borderId="5" fillId="3" fontId="16" numFmtId="0" xfId="0" applyAlignment="1" applyBorder="1" applyFill="1" applyFont="1">
      <alignment horizontal="center" shrinkToFit="0" vertical="center" wrapText="1"/>
    </xf>
    <xf borderId="5" fillId="4" fontId="17" numFmtId="0" xfId="0" applyAlignment="1" applyBorder="1" applyFill="1" applyFont="1">
      <alignment horizontal="left" shrinkToFit="0" vertical="center" wrapText="1"/>
    </xf>
    <xf borderId="5" fillId="3" fontId="5" numFmtId="0" xfId="0" applyAlignment="1" applyBorder="1" applyFont="1">
      <alignment horizontal="left" shrinkToFit="0" vertical="center" wrapText="1"/>
    </xf>
    <xf borderId="5" fillId="3" fontId="18" numFmtId="0" xfId="0" applyAlignment="1" applyBorder="1" applyFont="1">
      <alignment horizontal="left" shrinkToFit="0" vertical="center" wrapText="1"/>
    </xf>
    <xf borderId="5" fillId="3" fontId="6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5" fillId="3" fontId="19" numFmtId="0" xfId="0" applyAlignment="1" applyBorder="1" applyFont="1">
      <alignment horizontal="left" shrinkToFit="0" vertical="center" wrapText="1"/>
    </xf>
    <xf borderId="5" fillId="3" fontId="20" numFmtId="0" xfId="0" applyAlignment="1" applyBorder="1" applyFont="1">
      <alignment horizontal="left" shrinkToFit="0" vertical="center" wrapText="1"/>
    </xf>
    <xf borderId="5" fillId="0" fontId="16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5" fillId="0" fontId="19" numFmtId="0" xfId="0" applyAlignment="1" applyBorder="1" applyFont="1">
      <alignment horizontal="left" shrinkToFit="0" vertical="center" wrapText="1"/>
    </xf>
    <xf borderId="5" fillId="0" fontId="20" numFmtId="0" xfId="0" applyAlignment="1" applyBorder="1" applyFont="1">
      <alignment horizontal="left" shrinkToFit="0" vertical="center" wrapText="1"/>
    </xf>
    <xf borderId="5" fillId="5" fontId="17" numFmtId="0" xfId="0" applyAlignment="1" applyBorder="1" applyFill="1" applyFont="1">
      <alignment horizontal="left" shrinkToFit="0" vertical="center" wrapText="1"/>
    </xf>
    <xf borderId="0" fillId="0" fontId="21" numFmtId="0" xfId="0" applyFont="1"/>
    <xf borderId="5" fillId="0" fontId="19" numFmtId="0" xfId="0" applyAlignment="1" applyBorder="1" applyFont="1">
      <alignment horizontal="left" readingOrder="0" shrinkToFit="0" vertical="center" wrapText="1"/>
    </xf>
    <xf borderId="0" fillId="0" fontId="21" numFmtId="0" xfId="0" applyAlignment="1" applyFont="1">
      <alignment readingOrder="0"/>
    </xf>
    <xf borderId="5" fillId="3" fontId="5" numFmtId="0" xfId="0" applyAlignment="1" applyBorder="1" applyFont="1">
      <alignment horizontal="left" readingOrder="0" shrinkToFit="0" vertical="center" wrapText="1"/>
    </xf>
    <xf borderId="5" fillId="3" fontId="18" numFmtId="0" xfId="0" applyAlignment="1" applyBorder="1" applyFont="1">
      <alignment horizontal="left" readingOrder="0" shrinkToFit="0" vertical="center" wrapText="1"/>
    </xf>
    <xf borderId="5" fillId="3" fontId="6" numFmtId="0" xfId="0" applyAlignment="1" applyBorder="1" applyFont="1">
      <alignment horizontal="left" readingOrder="0" shrinkToFit="0" vertical="center" wrapText="1"/>
    </xf>
    <xf borderId="5" fillId="0" fontId="5" numFmtId="0" xfId="0" applyAlignment="1" applyBorder="1" applyFont="1">
      <alignment horizontal="left" readingOrder="0" shrinkToFit="0" vertical="center" wrapText="1"/>
    </xf>
    <xf borderId="5" fillId="3" fontId="19" numFmtId="0" xfId="0" applyAlignment="1" applyBorder="1" applyFont="1">
      <alignment horizontal="left" readingOrder="0" shrinkToFit="0" vertical="center" wrapText="1"/>
    </xf>
    <xf borderId="5" fillId="6" fontId="17" numFmtId="0" xfId="0" applyAlignment="1" applyBorder="1" applyFill="1" applyFont="1">
      <alignment horizontal="left" shrinkToFit="0" vertical="center" wrapText="1"/>
    </xf>
    <xf borderId="5" fillId="0" fontId="6" numFmtId="0" xfId="0" applyAlignment="1" applyBorder="1" applyFont="1">
      <alignment horizontal="left" readingOrder="0" shrinkToFit="0" vertical="center" wrapText="1"/>
    </xf>
    <xf borderId="5" fillId="0" fontId="18" numFmtId="0" xfId="0" applyAlignment="1" applyBorder="1" applyFont="1">
      <alignment horizontal="left" readingOrder="0" shrinkToFit="0" vertical="center" wrapText="1"/>
    </xf>
    <xf borderId="5" fillId="7" fontId="17" numFmtId="0" xfId="0" applyAlignment="1" applyBorder="1" applyFill="1" applyFont="1">
      <alignment horizontal="left" shrinkToFit="0" vertical="center" wrapText="1"/>
    </xf>
    <xf borderId="5" fillId="8" fontId="17" numFmtId="0" xfId="0" applyAlignment="1" applyBorder="1" applyFill="1" applyFont="1">
      <alignment horizontal="left" shrinkToFit="0" vertical="center" wrapText="1"/>
    </xf>
    <xf borderId="5" fillId="9" fontId="17" numFmtId="0" xfId="0" applyAlignment="1" applyBorder="1" applyFill="1" applyFont="1">
      <alignment horizontal="left" shrinkToFit="0" vertical="center" wrapText="1"/>
    </xf>
    <xf borderId="5" fillId="10" fontId="17" numFmtId="0" xfId="0" applyAlignment="1" applyBorder="1" applyFill="1" applyFont="1">
      <alignment horizontal="left" shrinkToFit="0" vertical="center" wrapText="1"/>
    </xf>
    <xf borderId="5" fillId="10" fontId="5" numFmtId="0" xfId="0" applyAlignment="1" applyBorder="1" applyFont="1">
      <alignment horizontal="left" shrinkToFit="0" vertical="center" wrapText="1"/>
    </xf>
    <xf borderId="5" fillId="10" fontId="18" numFmtId="0" xfId="0" applyAlignment="1" applyBorder="1" applyFont="1">
      <alignment horizontal="left" shrinkToFit="0" vertical="center" wrapText="1"/>
    </xf>
    <xf borderId="5" fillId="10" fontId="6" numFmtId="0" xfId="0" applyAlignment="1" applyBorder="1" applyFont="1">
      <alignment horizontal="left" shrinkToFit="0" vertical="center" wrapText="1"/>
    </xf>
    <xf borderId="5" fillId="10" fontId="19" numFmtId="0" xfId="0" applyAlignment="1" applyBorder="1" applyFont="1">
      <alignment horizontal="left" shrinkToFit="0" vertical="center" wrapText="1"/>
    </xf>
    <xf borderId="5" fillId="10" fontId="20" numFmtId="0" xfId="0" applyAlignment="1" applyBorder="1" applyFont="1">
      <alignment horizontal="left" shrinkToFit="0" vertical="center" wrapText="1"/>
    </xf>
    <xf borderId="5" fillId="11" fontId="17" numFmtId="0" xfId="0" applyAlignment="1" applyBorder="1" applyFill="1" applyFont="1">
      <alignment horizontal="left" shrinkToFit="0" vertical="center" wrapText="1"/>
    </xf>
    <xf borderId="5" fillId="12" fontId="17" numFmtId="0" xfId="0" applyAlignment="1" applyBorder="1" applyFill="1" applyFont="1">
      <alignment horizontal="left" shrinkToFit="0" vertical="center" wrapText="1"/>
    </xf>
    <xf borderId="5" fillId="3" fontId="6" numFmtId="164" xfId="0" applyAlignment="1" applyBorder="1" applyFont="1" applyNumberFormat="1">
      <alignment horizontal="left" readingOrder="0" shrinkToFit="0" vertical="center" wrapText="1"/>
    </xf>
    <xf borderId="5" fillId="13" fontId="17" numFmtId="0" xfId="0" applyAlignment="1" applyBorder="1" applyFill="1" applyFont="1">
      <alignment horizontal="left" shrinkToFit="0" vertical="center" wrapText="1"/>
    </xf>
    <xf borderId="1" fillId="2" fontId="22" numFmtId="0" xfId="0" applyAlignment="1" applyBorder="1" applyFont="1">
      <alignment horizontal="left" vertical="center"/>
    </xf>
    <xf borderId="6" fillId="14" fontId="17" numFmtId="0" xfId="0" applyAlignment="1" applyBorder="1" applyFill="1" applyFont="1">
      <alignment horizontal="center" shrinkToFit="0" vertical="center" wrapText="1"/>
    </xf>
    <xf borderId="6" fillId="4" fontId="17" numFmtId="0" xfId="0" applyAlignment="1" applyBorder="1" applyFont="1">
      <alignment horizontal="center" vertical="center"/>
    </xf>
    <xf borderId="0" fillId="0" fontId="16" numFmtId="0" xfId="0" applyAlignment="1" applyFont="1">
      <alignment horizontal="center" vertical="center"/>
    </xf>
    <xf borderId="6" fillId="5" fontId="17" numFmtId="0" xfId="0" applyAlignment="1" applyBorder="1" applyFont="1">
      <alignment horizontal="center" vertical="center"/>
    </xf>
    <xf borderId="6" fillId="6" fontId="17" numFmtId="0" xfId="0" applyAlignment="1" applyBorder="1" applyFont="1">
      <alignment horizontal="center" vertical="center"/>
    </xf>
    <xf borderId="6" fillId="7" fontId="17" numFmtId="0" xfId="0" applyAlignment="1" applyBorder="1" applyFont="1">
      <alignment horizontal="center" vertical="center"/>
    </xf>
    <xf borderId="6" fillId="8" fontId="17" numFmtId="0" xfId="0" applyAlignment="1" applyBorder="1" applyFont="1">
      <alignment horizontal="center" vertical="center"/>
    </xf>
    <xf borderId="6" fillId="9" fontId="17" numFmtId="0" xfId="0" applyAlignment="1" applyBorder="1" applyFont="1">
      <alignment horizontal="center" vertical="center"/>
    </xf>
    <xf borderId="6" fillId="11" fontId="17" numFmtId="0" xfId="0" applyAlignment="1" applyBorder="1" applyFont="1">
      <alignment horizontal="center" vertical="center"/>
    </xf>
    <xf borderId="6" fillId="12" fontId="17" numFmtId="0" xfId="0" applyAlignment="1" applyBorder="1" applyFont="1">
      <alignment horizontal="center" vertical="center"/>
    </xf>
    <xf borderId="6" fillId="13" fontId="17" numFmtId="0" xfId="0" applyAlignment="1" applyBorder="1" applyFont="1">
      <alignment horizontal="center" vertical="center"/>
    </xf>
    <xf borderId="6" fillId="15" fontId="5" numFmtId="0" xfId="0" applyBorder="1" applyFill="1" applyFont="1"/>
    <xf borderId="6" fillId="15" fontId="5" numFmtId="0" xfId="0" applyAlignment="1" applyBorder="1" applyFont="1">
      <alignment horizontal="center" vertical="center"/>
    </xf>
    <xf borderId="6" fillId="14" fontId="17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7">
    <dxf>
      <font>
        <b/>
        <sz val="10.0"/>
        <color rgb="FF047857"/>
        <name val="Arial"/>
      </font>
      <fill>
        <patternFill patternType="solid">
          <fgColor rgb="FFECFDF5"/>
          <bgColor rgb="FFECFDF5"/>
        </patternFill>
      </fill>
      <border/>
    </dxf>
    <dxf>
      <font>
        <b/>
        <sz val="10.0"/>
        <color rgb="FFB45309"/>
        <name val="Arial"/>
      </font>
      <fill>
        <patternFill patternType="solid">
          <fgColor rgb="FFFFFBEB"/>
          <bgColor rgb="FFFFFBEB"/>
        </patternFill>
      </fill>
      <border/>
    </dxf>
    <dxf>
      <font>
        <b/>
        <sz val="10.0"/>
        <color rgb="FFBE123C"/>
        <name val="Arial"/>
      </font>
      <fill>
        <patternFill patternType="solid">
          <fgColor rgb="FFFFF1F2"/>
          <bgColor rgb="FFFFF1F2"/>
        </patternFill>
      </fill>
      <border/>
    </dxf>
    <dxf>
      <font>
        <b/>
        <sz val="10.0"/>
        <color rgb="FF991B1B"/>
        <name val="Arial"/>
      </font>
      <fill>
        <patternFill patternType="solid">
          <fgColor rgb="FFFECACA"/>
          <bgColor rgb="FFFECACA"/>
        </patternFill>
      </fill>
      <border/>
    </dxf>
    <dxf>
      <font>
        <b/>
        <sz val="10.0"/>
        <color rgb="FF9A3412"/>
        <name val="Arial"/>
      </font>
      <fill>
        <patternFill patternType="solid">
          <fgColor rgb="FFFED7AA"/>
          <bgColor rgb="FFFED7AA"/>
        </patternFill>
      </fill>
      <border/>
    </dxf>
    <dxf>
      <font>
        <b/>
        <sz val="10.0"/>
        <color rgb="FF854D0E"/>
        <name val="Arial"/>
      </font>
      <fill>
        <patternFill patternType="solid">
          <fgColor rgb="FFFEF3C7"/>
          <bgColor rgb="FFFEF3C7"/>
        </patternFill>
      </fill>
      <border/>
    </dxf>
    <dxf>
      <font>
        <sz val="10.0"/>
        <color rgb="FF475569"/>
        <name val="Arial"/>
      </font>
      <fill>
        <patternFill patternType="solid">
          <fgColor rgb="FFE2E8F0"/>
          <bgColor rgb="FFE2E8F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6.0"/>
    <col customWidth="1" min="3" max="6" width="22.0"/>
    <col customWidth="1" min="7" max="26" width="8.71"/>
  </cols>
  <sheetData>
    <row r="1" ht="37.5" customHeight="1">
      <c r="A1" s="1" t="s">
        <v>0</v>
      </c>
      <c r="B1" s="2"/>
      <c r="C1" s="2"/>
      <c r="D1" s="2"/>
      <c r="E1" s="2"/>
      <c r="F1" s="3"/>
    </row>
    <row r="2">
      <c r="A2" s="4" t="s">
        <v>1</v>
      </c>
    </row>
    <row r="4">
      <c r="A4" s="5" t="s">
        <v>2</v>
      </c>
    </row>
    <row r="5">
      <c r="A5" s="6" t="s">
        <v>3</v>
      </c>
      <c r="B5" s="7" t="s">
        <v>4</v>
      </c>
    </row>
    <row r="6">
      <c r="A6" s="6" t="s">
        <v>5</v>
      </c>
      <c r="B6" s="7" t="s">
        <v>6</v>
      </c>
    </row>
    <row r="7">
      <c r="A7" s="6" t="s">
        <v>7</v>
      </c>
      <c r="B7" s="7" t="s">
        <v>8</v>
      </c>
    </row>
    <row r="8">
      <c r="A8" s="6" t="s">
        <v>9</v>
      </c>
      <c r="B8" s="7" t="s">
        <v>10</v>
      </c>
    </row>
    <row r="9">
      <c r="A9" s="6" t="s">
        <v>11</v>
      </c>
      <c r="B9" s="7" t="s">
        <v>12</v>
      </c>
    </row>
    <row r="12">
      <c r="A12" s="5" t="s">
        <v>13</v>
      </c>
    </row>
    <row r="14">
      <c r="A14" s="8" t="s">
        <v>14</v>
      </c>
      <c r="B14" s="9">
        <f>COUNTA(Champs!C2:C87)</f>
        <v>86</v>
      </c>
    </row>
    <row r="15">
      <c r="A15" s="7" t="s">
        <v>15</v>
      </c>
      <c r="B15" s="10">
        <f>COUNTIF(Champs!G2:G87,"Oui")</f>
        <v>16</v>
      </c>
    </row>
    <row r="16">
      <c r="A16" s="7" t="s">
        <v>16</v>
      </c>
      <c r="B16" s="11">
        <f>COUNTIF(Champs!G2:G87,"Partiel")</f>
        <v>6</v>
      </c>
    </row>
    <row r="17">
      <c r="A17" s="7" t="s">
        <v>17</v>
      </c>
      <c r="B17" s="12">
        <f>COUNTIF(Champs!G2:G87,"Non")</f>
        <v>64</v>
      </c>
    </row>
    <row r="19">
      <c r="A19" s="7" t="s">
        <v>18</v>
      </c>
      <c r="B19" s="13">
        <f>COUNTIF(Champs!H2:H87,"Module commercial") + COUNTIF(Champs!H2:H87,"Module commercial (conditionnel)") + COUNTIF(Champs!H2:H87,"Module commercial (ou inféré du type semi)")</f>
        <v>49</v>
      </c>
    </row>
    <row r="20">
      <c r="A20" s="7" t="s">
        <v>19</v>
      </c>
      <c r="B20" s="14">
        <f>COUNTA(Champs!C2:C87) - B19 - COUNTIF(Champs!H2:H87,"Auto-calculé (intégration PTV)")</f>
        <v>36</v>
      </c>
    </row>
    <row r="21" ht="15.75" customHeight="1">
      <c r="A21" s="7" t="s">
        <v>20</v>
      </c>
      <c r="B21" s="15">
        <f>COUNTIF(Champs!H2:H87,"Auto-calculé (intégration PTV)")</f>
        <v>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B5:F5"/>
    <mergeCell ref="B6:F6"/>
    <mergeCell ref="B7:F7"/>
    <mergeCell ref="B8:F8"/>
    <mergeCell ref="B9:F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0"/>
    <col customWidth="1" min="2" max="2" width="22.0"/>
    <col customWidth="1" min="3" max="3" width="30.0"/>
    <col customWidth="1" min="4" max="4" width="14.0"/>
    <col customWidth="1" min="5" max="5" width="38.0"/>
    <col customWidth="1" min="6" max="6" width="22.0"/>
    <col customWidth="1" min="7" max="7" width="11.0"/>
    <col customWidth="1" min="8" max="8" width="32.0"/>
    <col customWidth="1" min="9" max="9" width="38.0"/>
    <col customWidth="1" min="10" max="10" width="12.0"/>
    <col customWidth="1" min="11" max="11" width="36.0"/>
    <col customWidth="1" min="12" max="26" width="8.71"/>
  </cols>
  <sheetData>
    <row r="1" ht="42.0" customHeight="1">
      <c r="A1" s="16" t="s">
        <v>21</v>
      </c>
      <c r="B1" s="16" t="s">
        <v>22</v>
      </c>
      <c r="C1" s="16" t="s">
        <v>23</v>
      </c>
      <c r="D1" s="16" t="s">
        <v>24</v>
      </c>
      <c r="E1" s="16" t="s">
        <v>25</v>
      </c>
      <c r="F1" s="16" t="s">
        <v>26</v>
      </c>
      <c r="G1" s="16" t="s">
        <v>27</v>
      </c>
      <c r="H1" s="16" t="s">
        <v>28</v>
      </c>
      <c r="I1" s="16" t="s">
        <v>29</v>
      </c>
      <c r="J1" s="16" t="s">
        <v>30</v>
      </c>
      <c r="K1" s="16" t="s">
        <v>31</v>
      </c>
    </row>
    <row r="2">
      <c r="A2" s="17">
        <v>1.0</v>
      </c>
      <c r="B2" s="18" t="s">
        <v>32</v>
      </c>
      <c r="C2" s="19" t="s">
        <v>33</v>
      </c>
      <c r="D2" s="20" t="s">
        <v>34</v>
      </c>
      <c r="E2" s="21" t="s">
        <v>35</v>
      </c>
      <c r="F2" s="20" t="s">
        <v>36</v>
      </c>
      <c r="G2" s="22" t="s">
        <v>37</v>
      </c>
      <c r="H2" s="21" t="s">
        <v>38</v>
      </c>
      <c r="I2" s="23" t="s">
        <v>39</v>
      </c>
      <c r="J2" s="22" t="s">
        <v>40</v>
      </c>
      <c r="K2" s="24" t="s">
        <v>41</v>
      </c>
    </row>
    <row r="3">
      <c r="A3" s="25">
        <v>2.0</v>
      </c>
      <c r="B3" s="18" t="s">
        <v>32</v>
      </c>
      <c r="C3" s="22" t="s">
        <v>42</v>
      </c>
      <c r="D3" s="26" t="s">
        <v>43</v>
      </c>
      <c r="E3" s="27" t="s">
        <v>44</v>
      </c>
      <c r="F3" s="26" t="s">
        <v>45</v>
      </c>
      <c r="G3" s="22" t="s">
        <v>37</v>
      </c>
      <c r="H3" s="27" t="s">
        <v>46</v>
      </c>
      <c r="I3" s="28" t="s">
        <v>47</v>
      </c>
      <c r="J3" s="22" t="s">
        <v>40</v>
      </c>
      <c r="K3" s="29" t="s">
        <v>48</v>
      </c>
    </row>
    <row r="4">
      <c r="A4" s="17">
        <v>3.0</v>
      </c>
      <c r="B4" s="18" t="s">
        <v>32</v>
      </c>
      <c r="C4" s="19" t="s">
        <v>49</v>
      </c>
      <c r="D4" s="20" t="s">
        <v>43</v>
      </c>
      <c r="E4" s="21" t="s">
        <v>50</v>
      </c>
      <c r="F4" s="20" t="s">
        <v>51</v>
      </c>
      <c r="G4" s="22" t="s">
        <v>37</v>
      </c>
      <c r="H4" s="21" t="s">
        <v>52</v>
      </c>
      <c r="I4" s="23" t="s">
        <v>53</v>
      </c>
      <c r="J4" s="22" t="s">
        <v>40</v>
      </c>
      <c r="K4" s="24" t="s">
        <v>54</v>
      </c>
    </row>
    <row r="5">
      <c r="A5" s="25">
        <v>4.0</v>
      </c>
      <c r="B5" s="18" t="s">
        <v>32</v>
      </c>
      <c r="C5" s="22" t="s">
        <v>55</v>
      </c>
      <c r="D5" s="26" t="s">
        <v>34</v>
      </c>
      <c r="E5" s="27" t="s">
        <v>56</v>
      </c>
      <c r="F5" s="26" t="s">
        <v>57</v>
      </c>
      <c r="G5" s="22" t="s">
        <v>37</v>
      </c>
      <c r="H5" s="27" t="s">
        <v>58</v>
      </c>
      <c r="I5" s="28" t="s">
        <v>59</v>
      </c>
      <c r="J5" s="22" t="s">
        <v>60</v>
      </c>
      <c r="K5" s="29" t="s">
        <v>61</v>
      </c>
    </row>
    <row r="6">
      <c r="A6" s="17">
        <v>5.0</v>
      </c>
      <c r="B6" s="18" t="s">
        <v>32</v>
      </c>
      <c r="C6" s="19" t="s">
        <v>62</v>
      </c>
      <c r="D6" s="20" t="s">
        <v>63</v>
      </c>
      <c r="E6" s="21" t="s">
        <v>64</v>
      </c>
      <c r="F6" s="20" t="s">
        <v>65</v>
      </c>
      <c r="G6" s="22" t="s">
        <v>37</v>
      </c>
      <c r="H6" s="21" t="s">
        <v>38</v>
      </c>
      <c r="I6" s="23" t="s">
        <v>66</v>
      </c>
      <c r="J6" s="22" t="s">
        <v>40</v>
      </c>
      <c r="K6" s="24" t="s">
        <v>67</v>
      </c>
    </row>
    <row r="7">
      <c r="A7" s="25">
        <v>6.0</v>
      </c>
      <c r="B7" s="18" t="s">
        <v>32</v>
      </c>
      <c r="C7" s="22" t="s">
        <v>68</v>
      </c>
      <c r="D7" s="26" t="s">
        <v>63</v>
      </c>
      <c r="E7" s="27" t="s">
        <v>69</v>
      </c>
      <c r="F7" s="26" t="s">
        <v>65</v>
      </c>
      <c r="G7" s="22" t="s">
        <v>37</v>
      </c>
      <c r="H7" s="27" t="s">
        <v>38</v>
      </c>
      <c r="I7" s="28" t="s">
        <v>70</v>
      </c>
      <c r="J7" s="22" t="s">
        <v>40</v>
      </c>
      <c r="K7" s="29"/>
    </row>
    <row r="8">
      <c r="A8" s="17">
        <v>7.0</v>
      </c>
      <c r="B8" s="18" t="s">
        <v>32</v>
      </c>
      <c r="C8" s="19" t="s">
        <v>71</v>
      </c>
      <c r="D8" s="20" t="s">
        <v>72</v>
      </c>
      <c r="E8" s="21" t="s">
        <v>73</v>
      </c>
      <c r="F8" s="20" t="s">
        <v>74</v>
      </c>
      <c r="G8" s="22" t="s">
        <v>37</v>
      </c>
      <c r="H8" s="21" t="s">
        <v>38</v>
      </c>
      <c r="I8" s="23" t="s">
        <v>75</v>
      </c>
      <c r="J8" s="22" t="s">
        <v>60</v>
      </c>
      <c r="K8" s="24" t="s">
        <v>76</v>
      </c>
    </row>
    <row r="9">
      <c r="A9" s="25">
        <v>8.0</v>
      </c>
      <c r="B9" s="18" t="s">
        <v>32</v>
      </c>
      <c r="C9" s="22" t="s">
        <v>77</v>
      </c>
      <c r="D9" s="26" t="s">
        <v>78</v>
      </c>
      <c r="E9" s="27" t="s">
        <v>79</v>
      </c>
      <c r="F9" s="26" t="s">
        <v>74</v>
      </c>
      <c r="G9" s="22" t="s">
        <v>80</v>
      </c>
      <c r="H9" s="27" t="s">
        <v>38</v>
      </c>
      <c r="I9" s="28" t="s">
        <v>81</v>
      </c>
      <c r="J9" s="22" t="s">
        <v>60</v>
      </c>
      <c r="K9" s="29" t="s">
        <v>82</v>
      </c>
    </row>
    <row r="10">
      <c r="A10" s="25">
        <v>10.0</v>
      </c>
      <c r="B10" s="30" t="s">
        <v>83</v>
      </c>
      <c r="C10" s="19" t="s">
        <v>84</v>
      </c>
      <c r="D10" s="20" t="s">
        <v>72</v>
      </c>
      <c r="E10" s="21" t="s">
        <v>85</v>
      </c>
      <c r="F10" s="20" t="s">
        <v>74</v>
      </c>
      <c r="G10" s="22" t="s">
        <v>86</v>
      </c>
      <c r="H10" s="21" t="s">
        <v>38</v>
      </c>
      <c r="I10" s="23" t="s">
        <v>87</v>
      </c>
      <c r="J10" s="22" t="s">
        <v>40</v>
      </c>
      <c r="K10" s="24" t="s">
        <v>88</v>
      </c>
      <c r="L10" s="31" t="s">
        <v>89</v>
      </c>
    </row>
    <row r="11">
      <c r="A11" s="25">
        <v>11.0</v>
      </c>
      <c r="B11" s="30" t="s">
        <v>83</v>
      </c>
      <c r="C11" s="22" t="s">
        <v>90</v>
      </c>
      <c r="D11" s="26" t="s">
        <v>91</v>
      </c>
      <c r="E11" s="27" t="s">
        <v>92</v>
      </c>
      <c r="F11" s="26" t="s">
        <v>74</v>
      </c>
      <c r="G11" s="22" t="s">
        <v>37</v>
      </c>
      <c r="H11" s="27" t="s">
        <v>38</v>
      </c>
      <c r="I11" s="28" t="s">
        <v>93</v>
      </c>
      <c r="J11" s="22" t="s">
        <v>40</v>
      </c>
      <c r="K11" s="29"/>
    </row>
    <row r="12">
      <c r="A12" s="25">
        <v>12.0</v>
      </c>
      <c r="B12" s="30" t="s">
        <v>83</v>
      </c>
      <c r="C12" s="19" t="s">
        <v>94</v>
      </c>
      <c r="D12" s="20" t="s">
        <v>72</v>
      </c>
      <c r="E12" s="21" t="s">
        <v>95</v>
      </c>
      <c r="F12" s="20" t="s">
        <v>74</v>
      </c>
      <c r="G12" s="22" t="s">
        <v>86</v>
      </c>
      <c r="H12" s="21" t="s">
        <v>38</v>
      </c>
      <c r="I12" s="23" t="s">
        <v>96</v>
      </c>
      <c r="J12" s="22" t="s">
        <v>40</v>
      </c>
      <c r="K12" s="24"/>
    </row>
    <row r="13">
      <c r="A13" s="25">
        <v>13.0</v>
      </c>
      <c r="B13" s="30" t="s">
        <v>83</v>
      </c>
      <c r="C13" s="22" t="s">
        <v>97</v>
      </c>
      <c r="D13" s="26" t="s">
        <v>78</v>
      </c>
      <c r="E13" s="27" t="s">
        <v>98</v>
      </c>
      <c r="F13" s="26" t="s">
        <v>99</v>
      </c>
      <c r="G13" s="22" t="s">
        <v>86</v>
      </c>
      <c r="H13" s="27" t="s">
        <v>100</v>
      </c>
      <c r="I13" s="32" t="s">
        <v>101</v>
      </c>
      <c r="J13" s="22" t="s">
        <v>40</v>
      </c>
      <c r="K13" s="29" t="s">
        <v>102</v>
      </c>
      <c r="L13" s="33" t="s">
        <v>103</v>
      </c>
    </row>
    <row r="14">
      <c r="A14" s="25">
        <v>14.0</v>
      </c>
      <c r="B14" s="30" t="s">
        <v>83</v>
      </c>
      <c r="C14" s="19" t="s">
        <v>104</v>
      </c>
      <c r="D14" s="20" t="s">
        <v>78</v>
      </c>
      <c r="E14" s="21" t="s">
        <v>105</v>
      </c>
      <c r="F14" s="20" t="s">
        <v>74</v>
      </c>
      <c r="G14" s="22" t="s">
        <v>86</v>
      </c>
      <c r="H14" s="21" t="s">
        <v>100</v>
      </c>
      <c r="I14" s="23" t="s">
        <v>106</v>
      </c>
      <c r="J14" s="22" t="s">
        <v>40</v>
      </c>
      <c r="K14" s="24" t="s">
        <v>107</v>
      </c>
    </row>
    <row r="15">
      <c r="A15" s="25">
        <v>15.0</v>
      </c>
      <c r="B15" s="30" t="s">
        <v>83</v>
      </c>
      <c r="C15" s="22" t="s">
        <v>108</v>
      </c>
      <c r="D15" s="26" t="s">
        <v>91</v>
      </c>
      <c r="E15" s="27" t="s">
        <v>109</v>
      </c>
      <c r="F15" s="26" t="s">
        <v>74</v>
      </c>
      <c r="G15" s="22" t="s">
        <v>80</v>
      </c>
      <c r="H15" s="27" t="s">
        <v>100</v>
      </c>
      <c r="I15" s="28" t="s">
        <v>110</v>
      </c>
      <c r="J15" s="22" t="s">
        <v>60</v>
      </c>
      <c r="K15" s="29" t="s">
        <v>111</v>
      </c>
    </row>
    <row r="16">
      <c r="A16" s="25">
        <v>16.0</v>
      </c>
      <c r="B16" s="30" t="s">
        <v>83</v>
      </c>
      <c r="C16" s="19" t="s">
        <v>112</v>
      </c>
      <c r="D16" s="20" t="s">
        <v>72</v>
      </c>
      <c r="E16" s="21" t="s">
        <v>113</v>
      </c>
      <c r="F16" s="20" t="s">
        <v>74</v>
      </c>
      <c r="G16" s="22" t="s">
        <v>80</v>
      </c>
      <c r="H16" s="21" t="s">
        <v>38</v>
      </c>
      <c r="I16" s="23" t="s">
        <v>114</v>
      </c>
      <c r="J16" s="22" t="s">
        <v>115</v>
      </c>
      <c r="K16" s="24" t="s">
        <v>116</v>
      </c>
    </row>
    <row r="17">
      <c r="A17" s="25">
        <v>17.0</v>
      </c>
      <c r="B17" s="30" t="s">
        <v>83</v>
      </c>
      <c r="C17" s="22" t="s">
        <v>117</v>
      </c>
      <c r="D17" s="26" t="s">
        <v>72</v>
      </c>
      <c r="E17" s="27" t="s">
        <v>118</v>
      </c>
      <c r="F17" s="26" t="s">
        <v>119</v>
      </c>
      <c r="G17" s="22" t="s">
        <v>80</v>
      </c>
      <c r="H17" s="27" t="s">
        <v>38</v>
      </c>
      <c r="I17" s="28" t="s">
        <v>120</v>
      </c>
      <c r="J17" s="22" t="s">
        <v>60</v>
      </c>
      <c r="K17" s="29" t="s">
        <v>121</v>
      </c>
      <c r="L17" s="33" t="s">
        <v>122</v>
      </c>
    </row>
    <row r="18" ht="23.25" customHeight="1">
      <c r="A18" s="25">
        <v>17.0</v>
      </c>
      <c r="B18" s="30" t="s">
        <v>83</v>
      </c>
      <c r="C18" s="34" t="s">
        <v>123</v>
      </c>
      <c r="D18" s="35" t="s">
        <v>91</v>
      </c>
      <c r="E18" s="36" t="s">
        <v>124</v>
      </c>
      <c r="F18" s="20"/>
      <c r="G18" s="37" t="s">
        <v>125</v>
      </c>
      <c r="H18" s="36" t="s">
        <v>38</v>
      </c>
      <c r="I18" s="38" t="s">
        <v>126</v>
      </c>
      <c r="J18" s="22" t="s">
        <v>40</v>
      </c>
      <c r="K18" s="24"/>
      <c r="L18" s="33" t="s">
        <v>127</v>
      </c>
    </row>
    <row r="19">
      <c r="A19" s="25">
        <v>18.0</v>
      </c>
      <c r="B19" s="39" t="s">
        <v>128</v>
      </c>
      <c r="C19" s="19" t="s">
        <v>129</v>
      </c>
      <c r="D19" s="20" t="s">
        <v>72</v>
      </c>
      <c r="E19" s="21" t="s">
        <v>130</v>
      </c>
      <c r="F19" s="20" t="s">
        <v>131</v>
      </c>
      <c r="G19" s="22" t="s">
        <v>80</v>
      </c>
      <c r="H19" s="36" t="s">
        <v>38</v>
      </c>
      <c r="I19" s="23" t="s">
        <v>132</v>
      </c>
      <c r="J19" s="22" t="s">
        <v>40</v>
      </c>
      <c r="K19" s="24" t="s">
        <v>133</v>
      </c>
      <c r="L19" s="33" t="s">
        <v>134</v>
      </c>
    </row>
    <row r="20">
      <c r="A20" s="25">
        <v>19.0</v>
      </c>
      <c r="B20" s="39" t="s">
        <v>128</v>
      </c>
      <c r="C20" s="22" t="s">
        <v>135</v>
      </c>
      <c r="D20" s="26" t="s">
        <v>136</v>
      </c>
      <c r="E20" s="40" t="s">
        <v>137</v>
      </c>
      <c r="F20" s="26" t="s">
        <v>138</v>
      </c>
      <c r="G20" s="22" t="s">
        <v>80</v>
      </c>
      <c r="H20" s="36" t="s">
        <v>38</v>
      </c>
      <c r="I20" s="32" t="s">
        <v>139</v>
      </c>
      <c r="J20" s="22" t="s">
        <v>40</v>
      </c>
      <c r="K20" s="29" t="s">
        <v>140</v>
      </c>
    </row>
    <row r="21">
      <c r="A21" s="25"/>
      <c r="B21" s="39" t="s">
        <v>128</v>
      </c>
      <c r="C21" s="37" t="s">
        <v>141</v>
      </c>
      <c r="D21" s="26" t="s">
        <v>136</v>
      </c>
      <c r="E21" s="36" t="s">
        <v>142</v>
      </c>
      <c r="F21" s="26" t="s">
        <v>138</v>
      </c>
      <c r="G21" s="22" t="s">
        <v>80</v>
      </c>
      <c r="H21" s="36" t="s">
        <v>38</v>
      </c>
      <c r="I21" s="38" t="s">
        <v>143</v>
      </c>
      <c r="J21" s="22"/>
      <c r="K21" s="24"/>
    </row>
    <row r="22">
      <c r="A22" s="25">
        <v>20.0</v>
      </c>
      <c r="B22" s="39" t="s">
        <v>128</v>
      </c>
      <c r="C22" s="19" t="s">
        <v>144</v>
      </c>
      <c r="D22" s="20" t="s">
        <v>145</v>
      </c>
      <c r="E22" s="21" t="s">
        <v>146</v>
      </c>
      <c r="F22" s="20" t="s">
        <v>138</v>
      </c>
      <c r="G22" s="22" t="s">
        <v>80</v>
      </c>
      <c r="H22" s="36" t="s">
        <v>38</v>
      </c>
      <c r="I22" s="23" t="s">
        <v>147</v>
      </c>
      <c r="J22" s="22" t="s">
        <v>40</v>
      </c>
      <c r="K22" s="24" t="s">
        <v>148</v>
      </c>
    </row>
    <row r="23" ht="15.75" customHeight="1">
      <c r="A23" s="25"/>
      <c r="B23" s="39" t="s">
        <v>128</v>
      </c>
      <c r="C23" s="34" t="s">
        <v>149</v>
      </c>
      <c r="D23" s="20" t="s">
        <v>145</v>
      </c>
      <c r="E23" s="40">
        <v>244.0</v>
      </c>
      <c r="F23" s="41"/>
      <c r="G23" s="22" t="s">
        <v>80</v>
      </c>
      <c r="H23" s="36" t="s">
        <v>38</v>
      </c>
      <c r="I23" s="32"/>
      <c r="J23" s="22"/>
      <c r="K23" s="29"/>
      <c r="L23" s="33"/>
    </row>
    <row r="24" ht="15.75" customHeight="1">
      <c r="A24" s="25"/>
      <c r="B24" s="39" t="s">
        <v>128</v>
      </c>
      <c r="C24" s="37" t="s">
        <v>150</v>
      </c>
      <c r="D24" s="41" t="s">
        <v>91</v>
      </c>
      <c r="E24" s="40" t="s">
        <v>151</v>
      </c>
      <c r="F24" s="41" t="s">
        <v>152</v>
      </c>
      <c r="G24" s="22" t="s">
        <v>80</v>
      </c>
      <c r="H24" s="36" t="s">
        <v>38</v>
      </c>
      <c r="I24" s="32" t="s">
        <v>153</v>
      </c>
      <c r="J24" s="22" t="s">
        <v>40</v>
      </c>
      <c r="K24" s="29"/>
      <c r="L24" s="33" t="s">
        <v>154</v>
      </c>
    </row>
    <row r="25" ht="15.75" customHeight="1">
      <c r="A25" s="25"/>
      <c r="B25" s="39" t="s">
        <v>128</v>
      </c>
      <c r="C25" s="37" t="s">
        <v>155</v>
      </c>
      <c r="D25" s="41" t="s">
        <v>91</v>
      </c>
      <c r="E25" s="40">
        <v>1.5</v>
      </c>
      <c r="F25" s="26"/>
      <c r="G25" s="22" t="s">
        <v>80</v>
      </c>
      <c r="H25" s="36" t="s">
        <v>38</v>
      </c>
      <c r="I25" s="28"/>
      <c r="J25" s="22"/>
      <c r="K25" s="29"/>
    </row>
    <row r="26" ht="15.75" customHeight="1">
      <c r="A26" s="25">
        <v>21.0</v>
      </c>
      <c r="B26" s="39" t="s">
        <v>128</v>
      </c>
      <c r="C26" s="22" t="s">
        <v>156</v>
      </c>
      <c r="D26" s="26" t="s">
        <v>63</v>
      </c>
      <c r="E26" s="27" t="s">
        <v>157</v>
      </c>
      <c r="F26" s="26" t="s">
        <v>138</v>
      </c>
      <c r="G26" s="22" t="s">
        <v>80</v>
      </c>
      <c r="H26" s="36" t="s">
        <v>38</v>
      </c>
      <c r="I26" s="28" t="s">
        <v>158</v>
      </c>
      <c r="J26" s="22" t="s">
        <v>40</v>
      </c>
      <c r="K26" s="29"/>
    </row>
    <row r="27" ht="15.75" customHeight="1">
      <c r="A27" s="25"/>
      <c r="B27" s="39" t="s">
        <v>128</v>
      </c>
      <c r="C27" s="37" t="s">
        <v>159</v>
      </c>
      <c r="D27" s="26" t="s">
        <v>63</v>
      </c>
      <c r="E27" s="27" t="s">
        <v>157</v>
      </c>
      <c r="F27" s="20"/>
      <c r="G27" s="22" t="s">
        <v>80</v>
      </c>
      <c r="H27" s="36" t="s">
        <v>38</v>
      </c>
      <c r="I27" s="23"/>
      <c r="J27" s="22"/>
      <c r="K27" s="24"/>
    </row>
    <row r="28" ht="15.75" customHeight="1">
      <c r="A28" s="25">
        <v>22.0</v>
      </c>
      <c r="B28" s="39" t="s">
        <v>128</v>
      </c>
      <c r="C28" s="19" t="s">
        <v>160</v>
      </c>
      <c r="D28" s="20" t="s">
        <v>72</v>
      </c>
      <c r="E28" s="36" t="s">
        <v>161</v>
      </c>
      <c r="F28" s="20" t="s">
        <v>138</v>
      </c>
      <c r="G28" s="22" t="s">
        <v>80</v>
      </c>
      <c r="H28" s="36" t="s">
        <v>38</v>
      </c>
      <c r="I28" s="23" t="s">
        <v>162</v>
      </c>
      <c r="J28" s="22" t="s">
        <v>40</v>
      </c>
      <c r="K28" s="24" t="s">
        <v>163</v>
      </c>
    </row>
    <row r="29" ht="15.75" customHeight="1">
      <c r="A29" s="25"/>
      <c r="B29" s="39" t="s">
        <v>128</v>
      </c>
      <c r="C29" s="34" t="s">
        <v>164</v>
      </c>
      <c r="D29" s="20" t="s">
        <v>72</v>
      </c>
      <c r="E29" s="36" t="s">
        <v>161</v>
      </c>
      <c r="F29" s="26"/>
      <c r="G29" s="22" t="s">
        <v>80</v>
      </c>
      <c r="H29" s="36" t="s">
        <v>38</v>
      </c>
      <c r="I29" s="32"/>
      <c r="J29" s="22"/>
      <c r="K29" s="29"/>
    </row>
    <row r="30" ht="15.75" customHeight="1">
      <c r="A30" s="25">
        <v>23.0</v>
      </c>
      <c r="B30" s="39" t="s">
        <v>128</v>
      </c>
      <c r="C30" s="22" t="s">
        <v>165</v>
      </c>
      <c r="D30" s="26" t="s">
        <v>72</v>
      </c>
      <c r="E30" s="27" t="s">
        <v>166</v>
      </c>
      <c r="F30" s="26" t="s">
        <v>138</v>
      </c>
      <c r="G30" s="22" t="s">
        <v>80</v>
      </c>
      <c r="H30" s="36" t="s">
        <v>38</v>
      </c>
      <c r="I30" s="32" t="s">
        <v>167</v>
      </c>
      <c r="J30" s="22" t="s">
        <v>40</v>
      </c>
      <c r="K30" s="29" t="s">
        <v>168</v>
      </c>
    </row>
    <row r="31" ht="15.75" customHeight="1">
      <c r="A31" s="25"/>
      <c r="B31" s="39" t="s">
        <v>128</v>
      </c>
      <c r="C31" s="22" t="s">
        <v>165</v>
      </c>
      <c r="D31" s="26" t="s">
        <v>72</v>
      </c>
      <c r="E31" s="36" t="s">
        <v>169</v>
      </c>
      <c r="F31" s="20"/>
      <c r="G31" s="22" t="s">
        <v>80</v>
      </c>
      <c r="H31" s="36" t="s">
        <v>38</v>
      </c>
      <c r="I31" s="23"/>
      <c r="J31" s="22"/>
      <c r="K31" s="24"/>
    </row>
    <row r="32" ht="15.75" customHeight="1">
      <c r="A32" s="25">
        <v>24.0</v>
      </c>
      <c r="B32" s="39" t="s">
        <v>128</v>
      </c>
      <c r="C32" s="19" t="s">
        <v>170</v>
      </c>
      <c r="D32" s="20" t="s">
        <v>171</v>
      </c>
      <c r="E32" s="21" t="s">
        <v>172</v>
      </c>
      <c r="F32" s="20" t="s">
        <v>138</v>
      </c>
      <c r="G32" s="22" t="s">
        <v>80</v>
      </c>
      <c r="H32" s="36" t="s">
        <v>38</v>
      </c>
      <c r="I32" s="23" t="s">
        <v>173</v>
      </c>
      <c r="J32" s="22" t="s">
        <v>40</v>
      </c>
      <c r="K32" s="24" t="s">
        <v>174</v>
      </c>
      <c r="L32" s="31" t="s">
        <v>175</v>
      </c>
    </row>
    <row r="33" ht="15.75" customHeight="1">
      <c r="A33" s="25"/>
      <c r="B33" s="39" t="s">
        <v>128</v>
      </c>
      <c r="C33" s="34" t="s">
        <v>176</v>
      </c>
      <c r="D33" s="41" t="s">
        <v>177</v>
      </c>
      <c r="E33" s="40"/>
      <c r="F33" s="26"/>
      <c r="G33" s="22" t="s">
        <v>80</v>
      </c>
      <c r="H33" s="36" t="s">
        <v>38</v>
      </c>
      <c r="I33" s="32"/>
      <c r="J33" s="22"/>
      <c r="K33" s="29"/>
    </row>
    <row r="34" ht="15.75" customHeight="1">
      <c r="A34" s="25">
        <v>25.0</v>
      </c>
      <c r="B34" s="39" t="s">
        <v>128</v>
      </c>
      <c r="C34" s="37" t="s">
        <v>178</v>
      </c>
      <c r="D34" s="41" t="s">
        <v>91</v>
      </c>
      <c r="E34" s="40" t="s">
        <v>179</v>
      </c>
      <c r="F34" s="26" t="s">
        <v>138</v>
      </c>
      <c r="G34" s="22" t="s">
        <v>80</v>
      </c>
      <c r="H34" s="36" t="s">
        <v>38</v>
      </c>
      <c r="I34" s="32" t="s">
        <v>180</v>
      </c>
      <c r="J34" s="22" t="s">
        <v>60</v>
      </c>
      <c r="K34" s="29" t="s">
        <v>163</v>
      </c>
    </row>
    <row r="35" ht="15.75" customHeight="1">
      <c r="A35" s="25"/>
      <c r="B35" s="39" t="s">
        <v>128</v>
      </c>
      <c r="C35" s="34" t="s">
        <v>181</v>
      </c>
      <c r="D35" s="35" t="s">
        <v>91</v>
      </c>
      <c r="E35" s="36" t="s">
        <v>182</v>
      </c>
      <c r="F35" s="20"/>
      <c r="G35" s="22" t="s">
        <v>80</v>
      </c>
      <c r="H35" s="36" t="s">
        <v>38</v>
      </c>
      <c r="I35" s="23"/>
      <c r="J35" s="22"/>
      <c r="K35" s="24"/>
    </row>
    <row r="36" ht="15.75" customHeight="1">
      <c r="A36" s="25">
        <v>26.0</v>
      </c>
      <c r="B36" s="39" t="s">
        <v>128</v>
      </c>
      <c r="C36" s="19" t="s">
        <v>183</v>
      </c>
      <c r="D36" s="20" t="s">
        <v>184</v>
      </c>
      <c r="E36" s="21" t="s">
        <v>185</v>
      </c>
      <c r="F36" s="20" t="s">
        <v>138</v>
      </c>
      <c r="G36" s="22" t="s">
        <v>80</v>
      </c>
      <c r="H36" s="21" t="s">
        <v>186</v>
      </c>
      <c r="I36" s="23" t="s">
        <v>187</v>
      </c>
      <c r="J36" s="22" t="s">
        <v>40</v>
      </c>
      <c r="K36" s="24" t="s">
        <v>188</v>
      </c>
      <c r="L36" s="33" t="s">
        <v>189</v>
      </c>
    </row>
    <row r="37" ht="15.75" customHeight="1">
      <c r="A37" s="25"/>
      <c r="B37" s="39" t="s">
        <v>128</v>
      </c>
      <c r="C37" s="34" t="s">
        <v>190</v>
      </c>
      <c r="D37" s="20" t="s">
        <v>184</v>
      </c>
      <c r="E37" s="21" t="s">
        <v>185</v>
      </c>
      <c r="F37" s="20" t="s">
        <v>138</v>
      </c>
      <c r="G37" s="22" t="s">
        <v>80</v>
      </c>
      <c r="H37" s="21" t="s">
        <v>186</v>
      </c>
      <c r="I37" s="23" t="s">
        <v>187</v>
      </c>
      <c r="J37" s="22" t="s">
        <v>40</v>
      </c>
      <c r="K37" s="29"/>
    </row>
    <row r="38" ht="15.75" customHeight="1">
      <c r="A38" s="25">
        <v>27.0</v>
      </c>
      <c r="B38" s="42" t="s">
        <v>191</v>
      </c>
      <c r="C38" s="22" t="s">
        <v>192</v>
      </c>
      <c r="D38" s="26" t="s">
        <v>72</v>
      </c>
      <c r="E38" s="27" t="s">
        <v>193</v>
      </c>
      <c r="F38" s="26" t="s">
        <v>194</v>
      </c>
      <c r="G38" s="22" t="s">
        <v>37</v>
      </c>
      <c r="H38" s="27" t="s">
        <v>38</v>
      </c>
      <c r="I38" s="28" t="s">
        <v>195</v>
      </c>
      <c r="J38" s="22" t="s">
        <v>40</v>
      </c>
      <c r="K38" s="29" t="s">
        <v>196</v>
      </c>
    </row>
    <row r="39" ht="15.75" customHeight="1">
      <c r="A39" s="25">
        <v>28.0</v>
      </c>
      <c r="B39" s="42" t="s">
        <v>191</v>
      </c>
      <c r="C39" s="19" t="s">
        <v>197</v>
      </c>
      <c r="D39" s="20" t="s">
        <v>78</v>
      </c>
      <c r="E39" s="21" t="s">
        <v>198</v>
      </c>
      <c r="F39" s="20" t="s">
        <v>199</v>
      </c>
      <c r="G39" s="22" t="s">
        <v>80</v>
      </c>
      <c r="H39" s="21" t="s">
        <v>200</v>
      </c>
      <c r="I39" s="23" t="s">
        <v>201</v>
      </c>
      <c r="J39" s="22" t="s">
        <v>60</v>
      </c>
      <c r="K39" s="24" t="s">
        <v>202</v>
      </c>
    </row>
    <row r="40" ht="15.75" customHeight="1">
      <c r="A40" s="25">
        <v>29.0</v>
      </c>
      <c r="B40" s="42" t="s">
        <v>191</v>
      </c>
      <c r="C40" s="22" t="s">
        <v>203</v>
      </c>
      <c r="D40" s="26" t="s">
        <v>204</v>
      </c>
      <c r="E40" s="27" t="s">
        <v>205</v>
      </c>
      <c r="F40" s="26" t="s">
        <v>206</v>
      </c>
      <c r="G40" s="22" t="s">
        <v>86</v>
      </c>
      <c r="H40" s="27" t="s">
        <v>207</v>
      </c>
      <c r="I40" s="28" t="s">
        <v>208</v>
      </c>
      <c r="J40" s="22" t="s">
        <v>40</v>
      </c>
      <c r="K40" s="29" t="s">
        <v>209</v>
      </c>
    </row>
    <row r="41" ht="15.75" customHeight="1">
      <c r="A41" s="25">
        <v>30.0</v>
      </c>
      <c r="B41" s="42" t="s">
        <v>191</v>
      </c>
      <c r="C41" s="19" t="s">
        <v>210</v>
      </c>
      <c r="D41" s="20" t="s">
        <v>72</v>
      </c>
      <c r="E41" s="21" t="s">
        <v>211</v>
      </c>
      <c r="F41" s="20" t="s">
        <v>212</v>
      </c>
      <c r="G41" s="22" t="s">
        <v>80</v>
      </c>
      <c r="H41" s="21" t="s">
        <v>38</v>
      </c>
      <c r="I41" s="23" t="s">
        <v>213</v>
      </c>
      <c r="J41" s="22" t="s">
        <v>60</v>
      </c>
      <c r="K41" s="24" t="s">
        <v>214</v>
      </c>
      <c r="L41" s="33" t="s">
        <v>215</v>
      </c>
    </row>
    <row r="42" ht="15.75" customHeight="1">
      <c r="A42" s="25">
        <v>31.0</v>
      </c>
      <c r="B42" s="42" t="s">
        <v>191</v>
      </c>
      <c r="C42" s="22" t="s">
        <v>216</v>
      </c>
      <c r="D42" s="26" t="s">
        <v>217</v>
      </c>
      <c r="E42" s="40" t="s">
        <v>218</v>
      </c>
      <c r="F42" s="26" t="s">
        <v>219</v>
      </c>
      <c r="G42" s="37" t="s">
        <v>37</v>
      </c>
      <c r="H42" s="27" t="s">
        <v>220</v>
      </c>
      <c r="I42" s="28" t="s">
        <v>221</v>
      </c>
      <c r="J42" s="22" t="s">
        <v>40</v>
      </c>
      <c r="K42" s="29"/>
      <c r="L42" s="33" t="s">
        <v>222</v>
      </c>
    </row>
    <row r="43" ht="15.75" customHeight="1">
      <c r="A43" s="25">
        <v>32.0</v>
      </c>
      <c r="B43" s="42" t="s">
        <v>191</v>
      </c>
      <c r="C43" s="19" t="s">
        <v>223</v>
      </c>
      <c r="D43" s="20" t="s">
        <v>224</v>
      </c>
      <c r="E43" s="21" t="s">
        <v>225</v>
      </c>
      <c r="F43" s="20" t="s">
        <v>219</v>
      </c>
      <c r="G43" s="22" t="s">
        <v>80</v>
      </c>
      <c r="H43" s="21" t="s">
        <v>100</v>
      </c>
      <c r="I43" s="23" t="s">
        <v>226</v>
      </c>
      <c r="J43" s="22" t="s">
        <v>40</v>
      </c>
      <c r="K43" s="24" t="s">
        <v>227</v>
      </c>
    </row>
    <row r="44" ht="15.75" customHeight="1">
      <c r="A44" s="25"/>
      <c r="B44" s="42" t="s">
        <v>191</v>
      </c>
      <c r="C44" s="19" t="s">
        <v>228</v>
      </c>
      <c r="D44" s="20" t="s">
        <v>229</v>
      </c>
      <c r="E44" s="21" t="s">
        <v>230</v>
      </c>
      <c r="F44" s="20">
        <v>4.0</v>
      </c>
      <c r="G44" s="22" t="s">
        <v>80</v>
      </c>
      <c r="H44" s="21" t="s">
        <v>231</v>
      </c>
      <c r="I44" s="23"/>
      <c r="J44" s="22" t="s">
        <v>40</v>
      </c>
      <c r="K44" s="24" t="s">
        <v>232</v>
      </c>
    </row>
    <row r="45" ht="15.75" customHeight="1">
      <c r="A45" s="25">
        <v>33.0</v>
      </c>
      <c r="B45" s="42" t="s">
        <v>191</v>
      </c>
      <c r="C45" s="22" t="s">
        <v>233</v>
      </c>
      <c r="D45" s="26" t="s">
        <v>78</v>
      </c>
      <c r="E45" s="27" t="s">
        <v>234</v>
      </c>
      <c r="F45" s="26" t="s">
        <v>199</v>
      </c>
      <c r="G45" s="22" t="s">
        <v>80</v>
      </c>
      <c r="H45" s="27" t="s">
        <v>38</v>
      </c>
      <c r="I45" s="28" t="s">
        <v>235</v>
      </c>
      <c r="J45" s="22" t="s">
        <v>60</v>
      </c>
      <c r="K45" s="29" t="s">
        <v>236</v>
      </c>
    </row>
    <row r="46" ht="15.75" customHeight="1">
      <c r="A46" s="25"/>
      <c r="B46" s="42" t="s">
        <v>191</v>
      </c>
      <c r="C46" s="22" t="s">
        <v>237</v>
      </c>
      <c r="D46" s="26" t="s">
        <v>78</v>
      </c>
      <c r="E46" s="27" t="s">
        <v>238</v>
      </c>
      <c r="F46" s="26"/>
      <c r="G46" s="22" t="s">
        <v>80</v>
      </c>
      <c r="H46" s="21" t="s">
        <v>231</v>
      </c>
      <c r="I46" s="28"/>
      <c r="J46" s="22" t="s">
        <v>40</v>
      </c>
      <c r="K46" s="29"/>
    </row>
    <row r="47" ht="15.75" customHeight="1">
      <c r="A47" s="25">
        <v>34.0</v>
      </c>
      <c r="B47" s="42" t="s">
        <v>191</v>
      </c>
      <c r="C47" s="19" t="s">
        <v>239</v>
      </c>
      <c r="D47" s="20" t="s">
        <v>91</v>
      </c>
      <c r="E47" s="21" t="s">
        <v>240</v>
      </c>
      <c r="F47" s="20" t="s">
        <v>241</v>
      </c>
      <c r="G47" s="22" t="s">
        <v>80</v>
      </c>
      <c r="H47" s="21" t="s">
        <v>231</v>
      </c>
      <c r="I47" s="23" t="s">
        <v>242</v>
      </c>
      <c r="J47" s="22" t="s">
        <v>40</v>
      </c>
      <c r="K47" s="24" t="s">
        <v>243</v>
      </c>
    </row>
    <row r="48" ht="15.75" customHeight="1">
      <c r="A48" s="25"/>
      <c r="B48" s="42" t="s">
        <v>191</v>
      </c>
      <c r="C48" s="19" t="s">
        <v>244</v>
      </c>
      <c r="D48" s="20" t="s">
        <v>91</v>
      </c>
      <c r="E48" s="21" t="s">
        <v>240</v>
      </c>
      <c r="F48" s="20" t="s">
        <v>241</v>
      </c>
      <c r="G48" s="22" t="s">
        <v>80</v>
      </c>
      <c r="H48" s="21" t="s">
        <v>231</v>
      </c>
      <c r="I48" s="23" t="s">
        <v>242</v>
      </c>
      <c r="J48" s="22" t="s">
        <v>40</v>
      </c>
      <c r="K48" s="24" t="s">
        <v>243</v>
      </c>
    </row>
    <row r="49" ht="15.75" customHeight="1">
      <c r="A49" s="25">
        <v>35.0</v>
      </c>
      <c r="B49" s="42" t="s">
        <v>191</v>
      </c>
      <c r="C49" s="22" t="s">
        <v>245</v>
      </c>
      <c r="D49" s="26" t="s">
        <v>91</v>
      </c>
      <c r="E49" s="27" t="s">
        <v>246</v>
      </c>
      <c r="F49" s="26" t="s">
        <v>247</v>
      </c>
      <c r="G49" s="22" t="s">
        <v>80</v>
      </c>
      <c r="H49" s="27" t="s">
        <v>248</v>
      </c>
      <c r="I49" s="28" t="s">
        <v>242</v>
      </c>
      <c r="J49" s="22" t="s">
        <v>40</v>
      </c>
      <c r="K49" s="29" t="s">
        <v>249</v>
      </c>
    </row>
    <row r="50" ht="15.75" customHeight="1">
      <c r="A50" s="25">
        <v>36.0</v>
      </c>
      <c r="B50" s="42" t="s">
        <v>191</v>
      </c>
      <c r="C50" s="19" t="s">
        <v>250</v>
      </c>
      <c r="D50" s="20" t="s">
        <v>91</v>
      </c>
      <c r="E50" s="27" t="s">
        <v>246</v>
      </c>
      <c r="F50" s="20" t="s">
        <v>251</v>
      </c>
      <c r="G50" s="22" t="s">
        <v>80</v>
      </c>
      <c r="H50" s="21" t="s">
        <v>248</v>
      </c>
      <c r="I50" s="23" t="s">
        <v>242</v>
      </c>
      <c r="J50" s="22" t="s">
        <v>40</v>
      </c>
      <c r="K50" s="24" t="s">
        <v>252</v>
      </c>
    </row>
    <row r="51" ht="15.75" customHeight="1">
      <c r="A51" s="25">
        <v>37.0</v>
      </c>
      <c r="B51" s="42" t="s">
        <v>191</v>
      </c>
      <c r="C51" s="22" t="s">
        <v>253</v>
      </c>
      <c r="D51" s="26" t="s">
        <v>91</v>
      </c>
      <c r="E51" s="27" t="s">
        <v>246</v>
      </c>
      <c r="F51" s="26" t="s">
        <v>254</v>
      </c>
      <c r="G51" s="22" t="s">
        <v>80</v>
      </c>
      <c r="H51" s="27" t="s">
        <v>248</v>
      </c>
      <c r="I51" s="28" t="s">
        <v>255</v>
      </c>
      <c r="J51" s="22" t="s">
        <v>60</v>
      </c>
      <c r="K51" s="29" t="s">
        <v>256</v>
      </c>
    </row>
    <row r="52" ht="15.75" customHeight="1">
      <c r="A52" s="25">
        <v>38.0</v>
      </c>
      <c r="B52" s="42" t="s">
        <v>191</v>
      </c>
      <c r="C52" s="19" t="s">
        <v>257</v>
      </c>
      <c r="D52" s="20" t="s">
        <v>91</v>
      </c>
      <c r="E52" s="21" t="s">
        <v>258</v>
      </c>
      <c r="F52" s="20" t="s">
        <v>259</v>
      </c>
      <c r="G52" s="22" t="s">
        <v>80</v>
      </c>
      <c r="H52" s="21" t="s">
        <v>248</v>
      </c>
      <c r="I52" s="23" t="s">
        <v>260</v>
      </c>
      <c r="J52" s="22" t="s">
        <v>115</v>
      </c>
      <c r="K52" s="24"/>
      <c r="L52" s="31" t="s">
        <v>261</v>
      </c>
    </row>
    <row r="53" ht="15.75" customHeight="1">
      <c r="A53" s="25">
        <v>39.0</v>
      </c>
      <c r="B53" s="43" t="s">
        <v>262</v>
      </c>
      <c r="C53" s="22" t="s">
        <v>263</v>
      </c>
      <c r="D53" s="26" t="s">
        <v>72</v>
      </c>
      <c r="E53" s="27" t="s">
        <v>264</v>
      </c>
      <c r="F53" s="26" t="s">
        <v>265</v>
      </c>
      <c r="G53" s="22" t="s">
        <v>80</v>
      </c>
      <c r="H53" s="27" t="s">
        <v>38</v>
      </c>
      <c r="I53" s="28" t="s">
        <v>266</v>
      </c>
      <c r="J53" s="22" t="s">
        <v>40</v>
      </c>
      <c r="K53" s="29" t="s">
        <v>267</v>
      </c>
    </row>
    <row r="54" ht="15.75" customHeight="1">
      <c r="A54" s="25">
        <v>40.0</v>
      </c>
      <c r="B54" s="43" t="s">
        <v>262</v>
      </c>
      <c r="C54" s="19" t="s">
        <v>268</v>
      </c>
      <c r="D54" s="20" t="s">
        <v>269</v>
      </c>
      <c r="E54" s="21" t="s">
        <v>270</v>
      </c>
      <c r="F54" s="20" t="s">
        <v>271</v>
      </c>
      <c r="G54" s="22" t="s">
        <v>80</v>
      </c>
      <c r="H54" s="21"/>
      <c r="I54" s="23" t="s">
        <v>272</v>
      </c>
      <c r="J54" s="22" t="s">
        <v>40</v>
      </c>
      <c r="K54" s="24" t="s">
        <v>273</v>
      </c>
      <c r="L54" s="31" t="s">
        <v>274</v>
      </c>
    </row>
    <row r="55" ht="15.75" customHeight="1">
      <c r="A55" s="25">
        <v>41.0</v>
      </c>
      <c r="B55" s="43" t="s">
        <v>262</v>
      </c>
      <c r="C55" s="22" t="s">
        <v>275</v>
      </c>
      <c r="D55" s="26" t="s">
        <v>224</v>
      </c>
      <c r="E55" s="27" t="s">
        <v>276</v>
      </c>
      <c r="F55" s="26" t="s">
        <v>265</v>
      </c>
      <c r="G55" s="22" t="s">
        <v>80</v>
      </c>
      <c r="H55" s="27"/>
      <c r="I55" s="28" t="s">
        <v>277</v>
      </c>
      <c r="J55" s="22" t="s">
        <v>60</v>
      </c>
      <c r="K55" s="29" t="s">
        <v>278</v>
      </c>
    </row>
    <row r="56" ht="15.75" customHeight="1">
      <c r="A56" s="25">
        <v>42.0</v>
      </c>
      <c r="B56" s="43" t="s">
        <v>262</v>
      </c>
      <c r="C56" s="19" t="s">
        <v>279</v>
      </c>
      <c r="D56" s="20" t="s">
        <v>78</v>
      </c>
      <c r="E56" s="21" t="s">
        <v>280</v>
      </c>
      <c r="F56" s="20" t="s">
        <v>281</v>
      </c>
      <c r="G56" s="22" t="s">
        <v>80</v>
      </c>
      <c r="H56" s="21"/>
      <c r="I56" s="23" t="s">
        <v>282</v>
      </c>
      <c r="J56" s="22" t="s">
        <v>60</v>
      </c>
      <c r="K56" s="24" t="s">
        <v>283</v>
      </c>
      <c r="L56" s="31" t="s">
        <v>284</v>
      </c>
    </row>
    <row r="57" ht="15.75" customHeight="1">
      <c r="A57" s="25">
        <v>43.0</v>
      </c>
      <c r="B57" s="43" t="s">
        <v>262</v>
      </c>
      <c r="C57" s="22" t="s">
        <v>285</v>
      </c>
      <c r="D57" s="26" t="s">
        <v>224</v>
      </c>
      <c r="E57" s="27" t="s">
        <v>286</v>
      </c>
      <c r="F57" s="26" t="s">
        <v>281</v>
      </c>
      <c r="G57" s="22" t="s">
        <v>80</v>
      </c>
      <c r="H57" s="27"/>
      <c r="I57" s="28" t="s">
        <v>287</v>
      </c>
      <c r="J57" s="22" t="s">
        <v>115</v>
      </c>
      <c r="K57" s="29" t="s">
        <v>288</v>
      </c>
    </row>
    <row r="58" ht="15.75" customHeight="1">
      <c r="A58" s="25">
        <v>44.0</v>
      </c>
      <c r="B58" s="43" t="s">
        <v>262</v>
      </c>
      <c r="C58" s="19" t="s">
        <v>289</v>
      </c>
      <c r="D58" s="20" t="s">
        <v>290</v>
      </c>
      <c r="E58" s="21" t="s">
        <v>291</v>
      </c>
      <c r="F58" s="20" t="s">
        <v>292</v>
      </c>
      <c r="G58" s="22" t="s">
        <v>80</v>
      </c>
      <c r="H58" s="27"/>
      <c r="I58" s="23" t="s">
        <v>293</v>
      </c>
      <c r="J58" s="22" t="s">
        <v>60</v>
      </c>
      <c r="K58" s="24" t="s">
        <v>294</v>
      </c>
      <c r="L58" s="31" t="s">
        <v>295</v>
      </c>
    </row>
    <row r="59" ht="15.75" customHeight="1">
      <c r="A59" s="25">
        <v>45.0</v>
      </c>
      <c r="B59" s="43" t="s">
        <v>262</v>
      </c>
      <c r="C59" s="22" t="s">
        <v>296</v>
      </c>
      <c r="D59" s="26" t="s">
        <v>217</v>
      </c>
      <c r="E59" s="27" t="s">
        <v>297</v>
      </c>
      <c r="F59" s="26" t="s">
        <v>292</v>
      </c>
      <c r="G59" s="22" t="s">
        <v>80</v>
      </c>
      <c r="H59" s="27"/>
      <c r="I59" s="28" t="s">
        <v>298</v>
      </c>
      <c r="J59" s="22" t="s">
        <v>60</v>
      </c>
      <c r="K59" s="29"/>
      <c r="L59" s="31" t="s">
        <v>295</v>
      </c>
    </row>
    <row r="60" ht="15.75" customHeight="1">
      <c r="A60" s="25">
        <v>46.0</v>
      </c>
      <c r="B60" s="43" t="s">
        <v>262</v>
      </c>
      <c r="C60" s="19" t="s">
        <v>299</v>
      </c>
      <c r="D60" s="20" t="s">
        <v>217</v>
      </c>
      <c r="E60" s="21" t="s">
        <v>297</v>
      </c>
      <c r="F60" s="20" t="s">
        <v>292</v>
      </c>
      <c r="G60" s="22" t="s">
        <v>80</v>
      </c>
      <c r="H60" s="21"/>
      <c r="I60" s="23" t="s">
        <v>300</v>
      </c>
      <c r="J60" s="22" t="s">
        <v>115</v>
      </c>
      <c r="K60" s="24"/>
      <c r="L60" s="31" t="s">
        <v>295</v>
      </c>
    </row>
    <row r="61" ht="15.75" customHeight="1">
      <c r="A61" s="25">
        <v>47.0</v>
      </c>
      <c r="B61" s="43" t="s">
        <v>262</v>
      </c>
      <c r="C61" s="22" t="s">
        <v>301</v>
      </c>
      <c r="D61" s="26" t="s">
        <v>72</v>
      </c>
      <c r="E61" s="27" t="s">
        <v>302</v>
      </c>
      <c r="F61" s="26" t="s">
        <v>292</v>
      </c>
      <c r="G61" s="22" t="s">
        <v>80</v>
      </c>
      <c r="H61" s="27"/>
      <c r="I61" s="28" t="s">
        <v>303</v>
      </c>
      <c r="J61" s="22" t="s">
        <v>115</v>
      </c>
      <c r="K61" s="29"/>
      <c r="L61" s="31" t="s">
        <v>295</v>
      </c>
    </row>
    <row r="62" ht="15.75" customHeight="1">
      <c r="A62" s="25">
        <v>48.0</v>
      </c>
      <c r="B62" s="43" t="s">
        <v>262</v>
      </c>
      <c r="C62" s="19" t="s">
        <v>304</v>
      </c>
      <c r="D62" s="20" t="s">
        <v>305</v>
      </c>
      <c r="E62" s="21" t="s">
        <v>306</v>
      </c>
      <c r="F62" s="20" t="s">
        <v>281</v>
      </c>
      <c r="G62" s="22" t="s">
        <v>80</v>
      </c>
      <c r="H62" s="21" t="s">
        <v>307</v>
      </c>
      <c r="I62" s="23" t="s">
        <v>308</v>
      </c>
      <c r="J62" s="22" t="s">
        <v>40</v>
      </c>
      <c r="K62" s="24" t="s">
        <v>309</v>
      </c>
    </row>
    <row r="63" ht="15.75" customHeight="1">
      <c r="A63" s="25">
        <v>49.0</v>
      </c>
      <c r="B63" s="43" t="s">
        <v>262</v>
      </c>
      <c r="C63" s="22" t="s">
        <v>310</v>
      </c>
      <c r="D63" s="26" t="s">
        <v>91</v>
      </c>
      <c r="E63" s="27" t="s">
        <v>311</v>
      </c>
      <c r="F63" s="26" t="s">
        <v>292</v>
      </c>
      <c r="G63" s="22" t="s">
        <v>80</v>
      </c>
      <c r="H63" s="27" t="s">
        <v>307</v>
      </c>
      <c r="I63" s="28" t="s">
        <v>312</v>
      </c>
      <c r="J63" s="22" t="s">
        <v>60</v>
      </c>
      <c r="K63" s="29" t="s">
        <v>313</v>
      </c>
    </row>
    <row r="64" ht="15.75" customHeight="1">
      <c r="A64" s="25">
        <v>50.0</v>
      </c>
      <c r="B64" s="43" t="s">
        <v>262</v>
      </c>
      <c r="C64" s="19" t="s">
        <v>314</v>
      </c>
      <c r="D64" s="20" t="s">
        <v>315</v>
      </c>
      <c r="E64" s="21" t="s">
        <v>316</v>
      </c>
      <c r="F64" s="20" t="s">
        <v>317</v>
      </c>
      <c r="G64" s="22" t="s">
        <v>37</v>
      </c>
      <c r="H64" s="21" t="s">
        <v>38</v>
      </c>
      <c r="I64" s="23" t="s">
        <v>318</v>
      </c>
      <c r="J64" s="22" t="s">
        <v>60</v>
      </c>
      <c r="K64" s="24"/>
    </row>
    <row r="65" ht="15.75" customHeight="1">
      <c r="A65" s="25">
        <v>51.0</v>
      </c>
      <c r="B65" s="44" t="s">
        <v>319</v>
      </c>
      <c r="C65" s="22" t="s">
        <v>320</v>
      </c>
      <c r="D65" s="26" t="s">
        <v>78</v>
      </c>
      <c r="E65" s="27" t="s">
        <v>321</v>
      </c>
      <c r="F65" s="26" t="s">
        <v>199</v>
      </c>
      <c r="G65" s="22" t="s">
        <v>86</v>
      </c>
      <c r="H65" s="27" t="s">
        <v>38</v>
      </c>
      <c r="I65" s="32" t="s">
        <v>322</v>
      </c>
      <c r="J65" s="22" t="s">
        <v>40</v>
      </c>
      <c r="K65" s="29" t="s">
        <v>323</v>
      </c>
      <c r="L65" s="31" t="s">
        <v>324</v>
      </c>
    </row>
    <row r="66" ht="15.75" customHeight="1">
      <c r="A66" s="25">
        <v>52.0</v>
      </c>
      <c r="B66" s="44" t="s">
        <v>319</v>
      </c>
      <c r="C66" s="19" t="s">
        <v>325</v>
      </c>
      <c r="D66" s="20" t="s">
        <v>72</v>
      </c>
      <c r="E66" s="21" t="s">
        <v>326</v>
      </c>
      <c r="F66" s="20" t="s">
        <v>327</v>
      </c>
      <c r="G66" s="22" t="s">
        <v>80</v>
      </c>
      <c r="H66" s="21" t="s">
        <v>328</v>
      </c>
      <c r="I66" s="23" t="s">
        <v>329</v>
      </c>
      <c r="J66" s="22" t="s">
        <v>60</v>
      </c>
      <c r="K66" s="24" t="s">
        <v>330</v>
      </c>
      <c r="L66" s="33" t="s">
        <v>331</v>
      </c>
    </row>
    <row r="67" ht="15.75" customHeight="1">
      <c r="A67" s="25">
        <v>53.0</v>
      </c>
      <c r="B67" s="44" t="s">
        <v>319</v>
      </c>
      <c r="C67" s="22" t="s">
        <v>332</v>
      </c>
      <c r="D67" s="26" t="s">
        <v>333</v>
      </c>
      <c r="E67" s="27" t="s">
        <v>334</v>
      </c>
      <c r="F67" s="26" t="s">
        <v>327</v>
      </c>
      <c r="G67" s="22" t="s">
        <v>80</v>
      </c>
      <c r="H67" s="27" t="s">
        <v>335</v>
      </c>
      <c r="I67" s="28" t="s">
        <v>336</v>
      </c>
      <c r="J67" s="22" t="s">
        <v>40</v>
      </c>
      <c r="K67" s="29" t="s">
        <v>337</v>
      </c>
    </row>
    <row r="68" ht="15.75" customHeight="1">
      <c r="A68" s="25">
        <v>54.0</v>
      </c>
      <c r="B68" s="45" t="s">
        <v>319</v>
      </c>
      <c r="C68" s="46" t="s">
        <v>338</v>
      </c>
      <c r="D68" s="47" t="s">
        <v>72</v>
      </c>
      <c r="E68" s="48" t="s">
        <v>339</v>
      </c>
      <c r="F68" s="47" t="s">
        <v>340</v>
      </c>
      <c r="G68" s="46" t="s">
        <v>80</v>
      </c>
      <c r="H68" s="48" t="s">
        <v>38</v>
      </c>
      <c r="I68" s="49" t="s">
        <v>341</v>
      </c>
      <c r="J68" s="46" t="s">
        <v>60</v>
      </c>
      <c r="K68" s="50" t="s">
        <v>342</v>
      </c>
      <c r="L68" s="33" t="s">
        <v>343</v>
      </c>
    </row>
    <row r="69" ht="15.75" customHeight="1">
      <c r="A69" s="25">
        <v>55.0</v>
      </c>
      <c r="B69" s="44" t="s">
        <v>319</v>
      </c>
      <c r="C69" s="22" t="s">
        <v>344</v>
      </c>
      <c r="D69" s="26" t="s">
        <v>345</v>
      </c>
      <c r="E69" s="27" t="s">
        <v>346</v>
      </c>
      <c r="F69" s="26" t="s">
        <v>347</v>
      </c>
      <c r="G69" s="22" t="s">
        <v>80</v>
      </c>
      <c r="H69" s="27" t="s">
        <v>348</v>
      </c>
      <c r="I69" s="28" t="s">
        <v>349</v>
      </c>
      <c r="J69" s="22" t="s">
        <v>40</v>
      </c>
      <c r="K69" s="29" t="s">
        <v>350</v>
      </c>
    </row>
    <row r="70" ht="15.75" customHeight="1">
      <c r="A70" s="25">
        <v>56.0</v>
      </c>
      <c r="B70" s="51" t="s">
        <v>351</v>
      </c>
      <c r="C70" s="34" t="s">
        <v>352</v>
      </c>
      <c r="D70" s="20" t="s">
        <v>217</v>
      </c>
      <c r="E70" s="21" t="s">
        <v>297</v>
      </c>
      <c r="F70" s="20" t="s">
        <v>353</v>
      </c>
      <c r="G70" s="37" t="s">
        <v>354</v>
      </c>
      <c r="H70" s="21" t="s">
        <v>38</v>
      </c>
      <c r="I70" s="23" t="s">
        <v>355</v>
      </c>
      <c r="J70" s="22" t="s">
        <v>60</v>
      </c>
      <c r="K70" s="24" t="s">
        <v>356</v>
      </c>
    </row>
    <row r="71" ht="15.75" customHeight="1">
      <c r="A71" s="25"/>
      <c r="B71" s="51" t="s">
        <v>351</v>
      </c>
      <c r="C71" s="19" t="s">
        <v>357</v>
      </c>
      <c r="D71" s="20" t="s">
        <v>217</v>
      </c>
      <c r="E71" s="21" t="s">
        <v>297</v>
      </c>
      <c r="F71" s="20" t="s">
        <v>353</v>
      </c>
      <c r="G71" s="22" t="s">
        <v>80</v>
      </c>
      <c r="H71" s="21" t="s">
        <v>38</v>
      </c>
      <c r="I71" s="23" t="s">
        <v>358</v>
      </c>
      <c r="J71" s="22" t="s">
        <v>60</v>
      </c>
      <c r="K71" s="24" t="s">
        <v>356</v>
      </c>
    </row>
    <row r="72" ht="15.75" customHeight="1">
      <c r="A72" s="25">
        <v>57.0</v>
      </c>
      <c r="B72" s="51" t="s">
        <v>351</v>
      </c>
      <c r="C72" s="22" t="s">
        <v>359</v>
      </c>
      <c r="D72" s="26" t="s">
        <v>217</v>
      </c>
      <c r="E72" s="27" t="s">
        <v>297</v>
      </c>
      <c r="F72" s="26" t="s">
        <v>353</v>
      </c>
      <c r="G72" s="22" t="s">
        <v>37</v>
      </c>
      <c r="H72" s="27" t="s">
        <v>38</v>
      </c>
      <c r="I72" s="28" t="s">
        <v>360</v>
      </c>
      <c r="J72" s="22" t="s">
        <v>115</v>
      </c>
      <c r="K72" s="29"/>
    </row>
    <row r="73" ht="15.75" customHeight="1">
      <c r="A73" s="25">
        <v>58.0</v>
      </c>
      <c r="B73" s="51" t="s">
        <v>351</v>
      </c>
      <c r="C73" s="19" t="s">
        <v>361</v>
      </c>
      <c r="D73" s="20" t="s">
        <v>217</v>
      </c>
      <c r="E73" s="21" t="s">
        <v>297</v>
      </c>
      <c r="F73" s="20" t="s">
        <v>353</v>
      </c>
      <c r="G73" s="22" t="s">
        <v>37</v>
      </c>
      <c r="H73" s="21" t="s">
        <v>38</v>
      </c>
      <c r="I73" s="23" t="s">
        <v>362</v>
      </c>
      <c r="J73" s="22" t="s">
        <v>60</v>
      </c>
      <c r="K73" s="24"/>
    </row>
    <row r="74" ht="15.75" customHeight="1">
      <c r="A74" s="25">
        <v>59.0</v>
      </c>
      <c r="B74" s="51" t="s">
        <v>351</v>
      </c>
      <c r="C74" s="22" t="s">
        <v>363</v>
      </c>
      <c r="D74" s="26" t="s">
        <v>217</v>
      </c>
      <c r="E74" s="27" t="s">
        <v>297</v>
      </c>
      <c r="F74" s="26" t="s">
        <v>353</v>
      </c>
      <c r="G74" s="22" t="s">
        <v>37</v>
      </c>
      <c r="H74" s="27" t="s">
        <v>38</v>
      </c>
      <c r="I74" s="28" t="s">
        <v>364</v>
      </c>
      <c r="J74" s="22" t="s">
        <v>115</v>
      </c>
      <c r="K74" s="29"/>
    </row>
    <row r="75" ht="15.75" customHeight="1">
      <c r="A75" s="25">
        <v>60.0</v>
      </c>
      <c r="B75" s="51" t="s">
        <v>351</v>
      </c>
      <c r="C75" s="19" t="s">
        <v>365</v>
      </c>
      <c r="D75" s="20" t="s">
        <v>217</v>
      </c>
      <c r="E75" s="21" t="s">
        <v>297</v>
      </c>
      <c r="F75" s="20" t="s">
        <v>353</v>
      </c>
      <c r="G75" s="22" t="s">
        <v>37</v>
      </c>
      <c r="H75" s="21" t="s">
        <v>38</v>
      </c>
      <c r="I75" s="23" t="s">
        <v>364</v>
      </c>
      <c r="J75" s="22" t="s">
        <v>115</v>
      </c>
      <c r="K75" s="24"/>
    </row>
    <row r="76" ht="15.75" customHeight="1">
      <c r="A76" s="25">
        <v>61.0</v>
      </c>
      <c r="B76" s="51" t="s">
        <v>351</v>
      </c>
      <c r="C76" s="22" t="s">
        <v>366</v>
      </c>
      <c r="D76" s="26" t="s">
        <v>91</v>
      </c>
      <c r="E76" s="27" t="s">
        <v>367</v>
      </c>
      <c r="F76" s="26" t="s">
        <v>353</v>
      </c>
      <c r="G76" s="22" t="s">
        <v>80</v>
      </c>
      <c r="H76" s="27" t="s">
        <v>368</v>
      </c>
      <c r="I76" s="28" t="s">
        <v>369</v>
      </c>
      <c r="J76" s="22" t="s">
        <v>60</v>
      </c>
      <c r="K76" s="29" t="s">
        <v>370</v>
      </c>
    </row>
    <row r="77" ht="15.75" customHeight="1">
      <c r="A77" s="25">
        <v>62.0</v>
      </c>
      <c r="B77" s="52" t="s">
        <v>371</v>
      </c>
      <c r="C77" s="19" t="s">
        <v>372</v>
      </c>
      <c r="D77" s="20" t="s">
        <v>217</v>
      </c>
      <c r="E77" s="21" t="s">
        <v>297</v>
      </c>
      <c r="F77" s="20" t="s">
        <v>373</v>
      </c>
      <c r="G77" s="22" t="s">
        <v>80</v>
      </c>
      <c r="H77" s="21" t="s">
        <v>374</v>
      </c>
      <c r="I77" s="23" t="s">
        <v>375</v>
      </c>
      <c r="J77" s="22" t="s">
        <v>40</v>
      </c>
      <c r="K77" s="24"/>
      <c r="L77" s="31" t="s">
        <v>376</v>
      </c>
    </row>
    <row r="78" ht="15.75" customHeight="1">
      <c r="A78" s="25">
        <v>63.0</v>
      </c>
      <c r="B78" s="52" t="s">
        <v>371</v>
      </c>
      <c r="C78" s="22" t="s">
        <v>377</v>
      </c>
      <c r="D78" s="26" t="s">
        <v>43</v>
      </c>
      <c r="E78" s="27" t="s">
        <v>378</v>
      </c>
      <c r="F78" s="26" t="s">
        <v>373</v>
      </c>
      <c r="G78" s="22" t="s">
        <v>80</v>
      </c>
      <c r="H78" s="27" t="s">
        <v>379</v>
      </c>
      <c r="I78" s="28" t="s">
        <v>380</v>
      </c>
      <c r="J78" s="22" t="s">
        <v>60</v>
      </c>
      <c r="K78" s="29" t="s">
        <v>381</v>
      </c>
    </row>
    <row r="79" ht="15.75" customHeight="1">
      <c r="A79" s="25">
        <v>64.0</v>
      </c>
      <c r="B79" s="52" t="s">
        <v>371</v>
      </c>
      <c r="C79" s="19" t="s">
        <v>382</v>
      </c>
      <c r="D79" s="20" t="s">
        <v>91</v>
      </c>
      <c r="E79" s="21" t="s">
        <v>383</v>
      </c>
      <c r="F79" s="20" t="s">
        <v>373</v>
      </c>
      <c r="G79" s="22" t="s">
        <v>80</v>
      </c>
      <c r="H79" s="21" t="s">
        <v>38</v>
      </c>
      <c r="I79" s="23" t="s">
        <v>384</v>
      </c>
      <c r="J79" s="22" t="s">
        <v>40</v>
      </c>
      <c r="K79" s="24" t="s">
        <v>385</v>
      </c>
    </row>
    <row r="80" ht="15.75" customHeight="1">
      <c r="A80" s="25">
        <v>65.0</v>
      </c>
      <c r="B80" s="52" t="s">
        <v>371</v>
      </c>
      <c r="C80" s="22" t="s">
        <v>386</v>
      </c>
      <c r="D80" s="26" t="s">
        <v>217</v>
      </c>
      <c r="E80" s="27" t="s">
        <v>297</v>
      </c>
      <c r="F80" s="26" t="s">
        <v>373</v>
      </c>
      <c r="G80" s="22" t="s">
        <v>80</v>
      </c>
      <c r="H80" s="27" t="s">
        <v>38</v>
      </c>
      <c r="I80" s="28" t="s">
        <v>387</v>
      </c>
      <c r="J80" s="22" t="s">
        <v>115</v>
      </c>
      <c r="K80" s="29" t="s">
        <v>388</v>
      </c>
      <c r="L80" s="31" t="s">
        <v>389</v>
      </c>
    </row>
    <row r="81" ht="15.75" customHeight="1">
      <c r="A81" s="25"/>
      <c r="B81" s="52" t="s">
        <v>371</v>
      </c>
      <c r="C81" s="34" t="s">
        <v>390</v>
      </c>
      <c r="D81" s="35" t="s">
        <v>91</v>
      </c>
      <c r="E81" s="53">
        <v>500.0</v>
      </c>
      <c r="F81" s="35">
        <v>13.0</v>
      </c>
      <c r="G81" s="37" t="s">
        <v>80</v>
      </c>
      <c r="H81" s="36" t="s">
        <v>38</v>
      </c>
      <c r="I81" s="38" t="s">
        <v>391</v>
      </c>
      <c r="J81" s="22" t="s">
        <v>60</v>
      </c>
      <c r="K81" s="24"/>
    </row>
    <row r="82" ht="15.75" customHeight="1">
      <c r="A82" s="25">
        <v>66.0</v>
      </c>
      <c r="B82" s="52" t="s">
        <v>371</v>
      </c>
      <c r="C82" s="19" t="s">
        <v>392</v>
      </c>
      <c r="D82" s="20" t="s">
        <v>72</v>
      </c>
      <c r="E82" s="21" t="s">
        <v>393</v>
      </c>
      <c r="F82" s="20" t="s">
        <v>373</v>
      </c>
      <c r="G82" s="22" t="s">
        <v>80</v>
      </c>
      <c r="H82" s="21" t="s">
        <v>348</v>
      </c>
      <c r="I82" s="23" t="s">
        <v>394</v>
      </c>
      <c r="J82" s="22" t="s">
        <v>60</v>
      </c>
      <c r="K82" s="24" t="s">
        <v>395</v>
      </c>
    </row>
    <row r="83" ht="15.75" customHeight="1">
      <c r="A83" s="25">
        <v>67.0</v>
      </c>
      <c r="B83" s="54" t="s">
        <v>396</v>
      </c>
      <c r="C83" s="22" t="s">
        <v>397</v>
      </c>
      <c r="D83" s="26" t="s">
        <v>398</v>
      </c>
      <c r="E83" s="27" t="s">
        <v>399</v>
      </c>
      <c r="F83" s="26" t="s">
        <v>400</v>
      </c>
      <c r="G83" s="22" t="s">
        <v>80</v>
      </c>
      <c r="H83" s="27" t="s">
        <v>348</v>
      </c>
      <c r="I83" s="28" t="s">
        <v>401</v>
      </c>
      <c r="J83" s="22" t="s">
        <v>60</v>
      </c>
      <c r="K83" s="29" t="s">
        <v>402</v>
      </c>
    </row>
    <row r="84" ht="15.75" customHeight="1">
      <c r="A84" s="25">
        <v>68.0</v>
      </c>
      <c r="B84" s="54" t="s">
        <v>396</v>
      </c>
      <c r="C84" s="19" t="s">
        <v>403</v>
      </c>
      <c r="D84" s="20" t="s">
        <v>404</v>
      </c>
      <c r="E84" s="21" t="s">
        <v>405</v>
      </c>
      <c r="F84" s="20" t="s">
        <v>400</v>
      </c>
      <c r="G84" s="22" t="s">
        <v>80</v>
      </c>
      <c r="H84" s="21" t="s">
        <v>348</v>
      </c>
      <c r="I84" s="23" t="s">
        <v>406</v>
      </c>
      <c r="J84" s="22" t="s">
        <v>60</v>
      </c>
      <c r="K84" s="24" t="s">
        <v>407</v>
      </c>
    </row>
    <row r="85" ht="15.75" customHeight="1">
      <c r="A85" s="25">
        <v>69.0</v>
      </c>
      <c r="B85" s="54" t="s">
        <v>396</v>
      </c>
      <c r="C85" s="22" t="s">
        <v>408</v>
      </c>
      <c r="D85" s="26" t="s">
        <v>409</v>
      </c>
      <c r="E85" s="27" t="s">
        <v>410</v>
      </c>
      <c r="F85" s="26" t="s">
        <v>219</v>
      </c>
      <c r="G85" s="22" t="s">
        <v>80</v>
      </c>
      <c r="H85" s="27" t="s">
        <v>348</v>
      </c>
      <c r="I85" s="28" t="s">
        <v>401</v>
      </c>
      <c r="J85" s="22" t="s">
        <v>60</v>
      </c>
      <c r="K85" s="29" t="s">
        <v>411</v>
      </c>
      <c r="L85" s="33" t="s">
        <v>412</v>
      </c>
    </row>
    <row r="86" ht="15.75" customHeight="1">
      <c r="A86" s="25"/>
      <c r="B86" s="54" t="s">
        <v>396</v>
      </c>
      <c r="C86" s="34" t="s">
        <v>413</v>
      </c>
      <c r="D86" s="26" t="s">
        <v>409</v>
      </c>
      <c r="E86" s="40" t="s">
        <v>414</v>
      </c>
      <c r="F86" s="26" t="s">
        <v>219</v>
      </c>
      <c r="G86" s="22" t="s">
        <v>80</v>
      </c>
      <c r="H86" s="27" t="s">
        <v>348</v>
      </c>
      <c r="I86" s="28" t="s">
        <v>401</v>
      </c>
      <c r="J86" s="22" t="s">
        <v>60</v>
      </c>
      <c r="K86" s="29" t="s">
        <v>411</v>
      </c>
      <c r="L86" s="33" t="s">
        <v>415</v>
      </c>
    </row>
    <row r="87" ht="15.75" customHeight="1">
      <c r="A87" s="25">
        <v>70.0</v>
      </c>
      <c r="B87" s="54" t="s">
        <v>396</v>
      </c>
      <c r="C87" s="19" t="s">
        <v>416</v>
      </c>
      <c r="D87" s="20" t="s">
        <v>78</v>
      </c>
      <c r="E87" s="21" t="s">
        <v>417</v>
      </c>
      <c r="F87" s="20" t="s">
        <v>418</v>
      </c>
      <c r="G87" s="22" t="s">
        <v>80</v>
      </c>
      <c r="H87" s="21" t="s">
        <v>348</v>
      </c>
      <c r="I87" s="23" t="s">
        <v>419</v>
      </c>
      <c r="J87" s="22" t="s">
        <v>40</v>
      </c>
      <c r="K87" s="24" t="s">
        <v>420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autoFilter ref="$A$1:$K$87"/>
  <conditionalFormatting sqref="G2:G87">
    <cfRule type="cellIs" dxfId="0" priority="1" operator="equal">
      <formula>"Oui"</formula>
    </cfRule>
  </conditionalFormatting>
  <conditionalFormatting sqref="G2:G87">
    <cfRule type="cellIs" dxfId="1" priority="2" operator="equal">
      <formula>"Partiel"</formula>
    </cfRule>
  </conditionalFormatting>
  <conditionalFormatting sqref="G2:G87">
    <cfRule type="cellIs" dxfId="2" priority="3" operator="equal">
      <formula>"Non"</formula>
    </cfRule>
  </conditionalFormatting>
  <conditionalFormatting sqref="J2:J87">
    <cfRule type="cellIs" dxfId="3" priority="4" operator="equal">
      <formula>"Critique"</formula>
    </cfRule>
  </conditionalFormatting>
  <conditionalFormatting sqref="J2:J87">
    <cfRule type="cellIs" dxfId="4" priority="5" operator="equal">
      <formula>"Élevée"</formula>
    </cfRule>
  </conditionalFormatting>
  <conditionalFormatting sqref="J2:J87">
    <cfRule type="cellIs" dxfId="5" priority="6" operator="equal">
      <formula>"Moyenne"</formula>
    </cfRule>
  </conditionalFormatting>
  <conditionalFormatting sqref="J2:J87">
    <cfRule type="cellIs" dxfId="6" priority="7" operator="equal">
      <formula>"Faible"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56.0"/>
    <col customWidth="1" min="3" max="8" width="16.0"/>
    <col customWidth="1" min="9" max="26" width="8.71"/>
  </cols>
  <sheetData>
    <row r="1" ht="30.0" customHeight="1">
      <c r="A1" s="55" t="s">
        <v>421</v>
      </c>
      <c r="B1" s="2"/>
      <c r="C1" s="2"/>
      <c r="D1" s="2"/>
      <c r="E1" s="2"/>
      <c r="F1" s="2"/>
      <c r="G1" s="2"/>
      <c r="H1" s="3"/>
    </row>
    <row r="3" ht="31.5" customHeight="1">
      <c r="A3" s="56" t="s">
        <v>22</v>
      </c>
      <c r="B3" s="56" t="s">
        <v>422</v>
      </c>
      <c r="C3" s="56" t="s">
        <v>423</v>
      </c>
      <c r="D3" s="56" t="s">
        <v>15</v>
      </c>
      <c r="E3" s="56" t="s">
        <v>86</v>
      </c>
      <c r="F3" s="56" t="s">
        <v>80</v>
      </c>
      <c r="G3" s="56" t="s">
        <v>424</v>
      </c>
      <c r="H3" s="56" t="s">
        <v>425</v>
      </c>
    </row>
    <row r="4">
      <c r="A4" s="57" t="s">
        <v>426</v>
      </c>
      <c r="B4" s="7" t="s">
        <v>427</v>
      </c>
      <c r="C4" s="58">
        <f>COUNTIF(Champs!B:B,"A · Identification &amp; contrat")</f>
        <v>8</v>
      </c>
      <c r="D4" s="58">
        <f>COUNTIFS(Champs!B:B,"A · Identification &amp; contrat",Champs!G:G,"Oui")</f>
        <v>7</v>
      </c>
      <c r="E4" s="58">
        <f>COUNTIFS(Champs!B:B,"A · Identification &amp; contrat",Champs!G:G,"Partiel")</f>
        <v>0</v>
      </c>
      <c r="F4" s="58">
        <f>COUNTIFS(Champs!B:B,"A · Identification &amp; contrat",Champs!G:G,"Non")</f>
        <v>1</v>
      </c>
      <c r="G4" s="58">
        <f>COUNTIFS(Champs!B:B,"A · Identification &amp; contrat",Champs!J:J,"Critique")</f>
        <v>5</v>
      </c>
      <c r="H4" s="58">
        <f>COUNTIFS(Champs!B:B,"A · Identification &amp; contrat",Champs!J:J,"Élevée")</f>
        <v>3</v>
      </c>
    </row>
    <row r="5">
      <c r="A5" s="59" t="s">
        <v>428</v>
      </c>
      <c r="B5" s="7" t="s">
        <v>429</v>
      </c>
      <c r="C5" s="58">
        <f>COUNTIF(Champs!B:B,"B · Tarification (CA)")</f>
        <v>9</v>
      </c>
      <c r="D5" s="58">
        <f>COUNTIFS(Champs!B:B,"B · Tarification (CA)",Champs!G:G,"Oui")</f>
        <v>1</v>
      </c>
      <c r="E5" s="58">
        <f>COUNTIFS(Champs!B:B,"B · Tarification (CA)",Champs!G:G,"Partiel")</f>
        <v>4</v>
      </c>
      <c r="F5" s="58">
        <f>COUNTIFS(Champs!B:B,"B · Tarification (CA)",Champs!G:G,"Non")</f>
        <v>4</v>
      </c>
      <c r="G5" s="58">
        <f>COUNTIFS(Champs!B:B,"B · Tarification (CA)",Champs!J:J,"Critique")</f>
        <v>6</v>
      </c>
      <c r="H5" s="58">
        <f>COUNTIFS(Champs!B:B,"B · Tarification (CA)",Champs!J:J,"Élevée")</f>
        <v>2</v>
      </c>
    </row>
    <row r="6">
      <c r="A6" s="60" t="s">
        <v>430</v>
      </c>
      <c r="B6" s="7" t="s">
        <v>431</v>
      </c>
      <c r="C6" s="58">
        <f>COUNTIF(Champs!B:B,"C · Indexation carburant")</f>
        <v>19</v>
      </c>
      <c r="D6" s="58">
        <f>COUNTIFS(Champs!B:B,"C · Indexation carburant",Champs!G:G,"Oui")</f>
        <v>0</v>
      </c>
      <c r="E6" s="58">
        <f>COUNTIFS(Champs!B:B,"C · Indexation carburant",Champs!G:G,"Partiel")</f>
        <v>0</v>
      </c>
      <c r="F6" s="58">
        <f>COUNTIFS(Champs!B:B,"C · Indexation carburant",Champs!G:G,"Non")</f>
        <v>19</v>
      </c>
      <c r="G6" s="58">
        <f>COUNTIFS(Champs!B:B,"C · Indexation carburant",Champs!J:J,"Critique")</f>
        <v>10</v>
      </c>
      <c r="H6" s="58">
        <f>COUNTIFS(Champs!B:B,"C · Indexation carburant",Champs!J:J,"Élevée")</f>
        <v>1</v>
      </c>
    </row>
    <row r="7">
      <c r="A7" s="61" t="s">
        <v>432</v>
      </c>
      <c r="B7" s="7" t="s">
        <v>433</v>
      </c>
      <c r="C7" s="58">
        <f>COUNTIF(Champs!B:B,"D · Véhicule prévu")</f>
        <v>15</v>
      </c>
      <c r="D7" s="58">
        <f>COUNTIFS(Champs!B:B,"D · Véhicule prévu",Champs!G:G,"Oui")</f>
        <v>2</v>
      </c>
      <c r="E7" s="58">
        <f>COUNTIFS(Champs!B:B,"D · Véhicule prévu",Champs!G:G,"Partiel")</f>
        <v>1</v>
      </c>
      <c r="F7" s="58">
        <f>COUNTIFS(Champs!B:B,"D · Véhicule prévu",Champs!G:G,"Non")</f>
        <v>12</v>
      </c>
      <c r="G7" s="58">
        <f>COUNTIFS(Champs!B:B,"D · Véhicule prévu",Champs!J:J,"Critique")</f>
        <v>10</v>
      </c>
      <c r="H7" s="58">
        <f>COUNTIFS(Champs!B:B,"D · Véhicule prévu",Champs!J:J,"Élevée")</f>
        <v>4</v>
      </c>
    </row>
    <row r="8">
      <c r="A8" s="62" t="s">
        <v>434</v>
      </c>
      <c r="B8" s="7" t="s">
        <v>435</v>
      </c>
      <c r="C8" s="58">
        <f>COUNTIF(Champs!B:B,"E · Conducteur prévu")</f>
        <v>12</v>
      </c>
      <c r="D8" s="58">
        <f>COUNTIFS(Champs!B:B,"E · Conducteur prévu",Champs!G:G,"Oui")</f>
        <v>1</v>
      </c>
      <c r="E8" s="58">
        <f>COUNTIFS(Champs!B:B,"E · Conducteur prévu",Champs!G:G,"Partiel")</f>
        <v>0</v>
      </c>
      <c r="F8" s="58">
        <f>COUNTIFS(Champs!B:B,"E · Conducteur prévu",Champs!G:G,"Non")</f>
        <v>11</v>
      </c>
      <c r="G8" s="58">
        <f>COUNTIFS(Champs!B:B,"E · Conducteur prévu",Champs!J:J,"Critique")</f>
        <v>3</v>
      </c>
      <c r="H8" s="58">
        <f>COUNTIFS(Champs!B:B,"E · Conducteur prévu",Champs!J:J,"Élevée")</f>
        <v>6</v>
      </c>
    </row>
    <row r="9">
      <c r="A9" s="63" t="s">
        <v>436</v>
      </c>
      <c r="B9" s="7" t="s">
        <v>437</v>
      </c>
      <c r="C9" s="58">
        <f>COUNTIF(Champs!B:B,"F · Trajet &amp; péages")</f>
        <v>5</v>
      </c>
      <c r="D9" s="58">
        <f>COUNTIFS(Champs!B:B,"F · Trajet &amp; péages",Champs!G:G,"Oui")</f>
        <v>0</v>
      </c>
      <c r="E9" s="58">
        <f>COUNTIFS(Champs!B:B,"F · Trajet &amp; péages",Champs!G:G,"Partiel")</f>
        <v>1</v>
      </c>
      <c r="F9" s="58">
        <f>COUNTIFS(Champs!B:B,"F · Trajet &amp; péages",Champs!G:G,"Non")</f>
        <v>4</v>
      </c>
      <c r="G9" s="58">
        <f>COUNTIFS(Champs!B:B,"F · Trajet &amp; péages",Champs!J:J,"Critique")</f>
        <v>3</v>
      </c>
      <c r="H9" s="58">
        <f>COUNTIFS(Champs!B:B,"F · Trajet &amp; péages",Champs!J:J,"Élevée")</f>
        <v>2</v>
      </c>
    </row>
    <row r="10">
      <c r="A10" s="64" t="s">
        <v>438</v>
      </c>
      <c r="B10" s="7" t="s">
        <v>353</v>
      </c>
      <c r="C10" s="58">
        <f>COUNTIF(Champs!B:B,"G · Équipements")</f>
        <v>7</v>
      </c>
      <c r="D10" s="58">
        <f>COUNTIFS(Champs!B:B,"G · Équipements",Champs!G:G,"Oui")</f>
        <v>5</v>
      </c>
      <c r="E10" s="58">
        <f>COUNTIFS(Champs!B:B,"G · Équipements",Champs!G:G,"Partiel")</f>
        <v>0</v>
      </c>
      <c r="F10" s="58">
        <f>COUNTIFS(Champs!B:B,"G · Équipements",Champs!G:G,"Non")</f>
        <v>2</v>
      </c>
      <c r="G10" s="58">
        <f>COUNTIFS(Champs!B:B,"G · Équipements",Champs!J:J,"Critique")</f>
        <v>0</v>
      </c>
      <c r="H10" s="58">
        <f>COUNTIFS(Champs!B:B,"G · Équipements",Champs!J:J,"Élevée")</f>
        <v>4</v>
      </c>
    </row>
    <row r="11">
      <c r="A11" s="65" t="s">
        <v>439</v>
      </c>
      <c r="B11" s="7" t="s">
        <v>440</v>
      </c>
      <c r="C11" s="58">
        <f>COUNTIF(Champs!B:B,"H · Sous-traitance")</f>
        <v>6</v>
      </c>
      <c r="D11" s="58">
        <f>COUNTIFS(Champs!B:B,"H · Sous-traitance",Champs!G:G,"Oui")</f>
        <v>0</v>
      </c>
      <c r="E11" s="58">
        <f>COUNTIFS(Champs!B:B,"H · Sous-traitance",Champs!G:G,"Partiel")</f>
        <v>0</v>
      </c>
      <c r="F11" s="58">
        <f>COUNTIFS(Champs!B:B,"H · Sous-traitance",Champs!G:G,"Non")</f>
        <v>6</v>
      </c>
      <c r="G11" s="58">
        <f>COUNTIFS(Champs!B:B,"H · Sous-traitance",Champs!J:J,"Critique")</f>
        <v>2</v>
      </c>
      <c r="H11" s="58">
        <f>COUNTIFS(Champs!B:B,"H · Sous-traitance",Champs!J:J,"Élevée")</f>
        <v>3</v>
      </c>
    </row>
    <row r="12">
      <c r="A12" s="66" t="s">
        <v>441</v>
      </c>
      <c r="B12" s="7" t="s">
        <v>442</v>
      </c>
      <c r="C12" s="58">
        <f>COUNTIF(Champs!B:B,"I · Conventions de calcul")</f>
        <v>5</v>
      </c>
      <c r="D12" s="58">
        <f>COUNTIFS(Champs!B:B,"I · Conventions de calcul",Champs!G:G,"Oui")</f>
        <v>0</v>
      </c>
      <c r="E12" s="58">
        <f>COUNTIFS(Champs!B:B,"I · Conventions de calcul",Champs!G:G,"Partiel")</f>
        <v>0</v>
      </c>
      <c r="F12" s="58">
        <f>COUNTIFS(Champs!B:B,"I · Conventions de calcul",Champs!G:G,"Non")</f>
        <v>5</v>
      </c>
      <c r="G12" s="58">
        <f>COUNTIFS(Champs!B:B,"I · Conventions de calcul",Champs!J:J,"Critique")</f>
        <v>1</v>
      </c>
      <c r="H12" s="58">
        <f>COUNTIFS(Champs!B:B,"I · Conventions de calcul",Champs!J:J,"Élevée")</f>
        <v>4</v>
      </c>
    </row>
    <row r="13">
      <c r="B13" s="67" t="s">
        <v>443</v>
      </c>
      <c r="C13" s="68">
        <f t="shared" ref="C13:H13" si="1">SUM(C4:C12)</f>
        <v>86</v>
      </c>
      <c r="D13" s="68">
        <f t="shared" si="1"/>
        <v>16</v>
      </c>
      <c r="E13" s="68">
        <f t="shared" si="1"/>
        <v>6</v>
      </c>
      <c r="F13" s="68">
        <f t="shared" si="1"/>
        <v>64</v>
      </c>
      <c r="G13" s="68">
        <f t="shared" si="1"/>
        <v>40</v>
      </c>
      <c r="H13" s="68">
        <f t="shared" si="1"/>
        <v>29</v>
      </c>
    </row>
    <row r="16">
      <c r="A16" s="5" t="s">
        <v>444</v>
      </c>
    </row>
    <row r="18">
      <c r="A18" s="69" t="s">
        <v>445</v>
      </c>
      <c r="B18" s="69" t="s">
        <v>446</v>
      </c>
    </row>
    <row r="19">
      <c r="A19" s="7" t="s">
        <v>38</v>
      </c>
      <c r="B19" s="58">
        <f>COUNTIF(Champs!H:H,A19)</f>
        <v>44</v>
      </c>
    </row>
    <row r="20">
      <c r="A20" s="7" t="s">
        <v>100</v>
      </c>
      <c r="B20" s="58">
        <f>COUNTIF(Champs!H:H,A20)</f>
        <v>4</v>
      </c>
    </row>
    <row r="21" ht="15.75" customHeight="1">
      <c r="A21" s="7" t="s">
        <v>447</v>
      </c>
      <c r="B21" s="58">
        <f>COUNTIF(Champs!H:H,A21)</f>
        <v>0</v>
      </c>
    </row>
    <row r="22" ht="15.75" customHeight="1">
      <c r="A22" s="7" t="s">
        <v>379</v>
      </c>
      <c r="B22" s="58">
        <f>COUNTIF(Champs!H:H,A22)</f>
        <v>1</v>
      </c>
    </row>
    <row r="23" ht="15.75" customHeight="1">
      <c r="A23" s="7" t="s">
        <v>448</v>
      </c>
      <c r="B23" s="58">
        <f>COUNTIF(Champs!H:H,A23)</f>
        <v>1</v>
      </c>
    </row>
    <row r="24" ht="15.75" customHeight="1">
      <c r="A24" s="7" t="s">
        <v>220</v>
      </c>
      <c r="B24" s="58">
        <f>COUNTIF(Champs!H:H,A24)</f>
        <v>1</v>
      </c>
    </row>
    <row r="25" ht="15.75" customHeight="1">
      <c r="A25" s="7" t="s">
        <v>46</v>
      </c>
      <c r="B25" s="58">
        <f>COUNTIF(Champs!H:H,A25)</f>
        <v>1</v>
      </c>
    </row>
    <row r="26" ht="15.75" customHeight="1">
      <c r="A26" s="7" t="s">
        <v>52</v>
      </c>
      <c r="B26" s="58">
        <f>COUNTIF(Champs!H:H,A26)</f>
        <v>1</v>
      </c>
    </row>
    <row r="27" ht="15.75" customHeight="1">
      <c r="A27" s="7" t="s">
        <v>58</v>
      </c>
      <c r="B27" s="58">
        <f>COUNTIF(Champs!H:H,A27)</f>
        <v>1</v>
      </c>
    </row>
    <row r="28" ht="15.75" customHeight="1">
      <c r="A28" s="7" t="s">
        <v>449</v>
      </c>
      <c r="B28" s="58">
        <f>COUNTIF(Champs!H:H,A28)</f>
        <v>0</v>
      </c>
    </row>
    <row r="29" ht="15.75" customHeight="1">
      <c r="A29" s="7" t="s">
        <v>450</v>
      </c>
      <c r="B29" s="58">
        <f>COUNTIF(Champs!H:H,A29)</f>
        <v>0</v>
      </c>
    </row>
    <row r="30" ht="15.75" customHeight="1">
      <c r="A30" s="7" t="s">
        <v>248</v>
      </c>
      <c r="B30" s="58">
        <f>COUNTIF(Champs!H:H,A30)</f>
        <v>4</v>
      </c>
    </row>
    <row r="31" ht="15.75" customHeight="1">
      <c r="A31" s="7" t="s">
        <v>200</v>
      </c>
      <c r="B31" s="58">
        <f>COUNTIF(Champs!H:H,A31)</f>
        <v>1</v>
      </c>
    </row>
    <row r="32" ht="15.75" customHeight="1">
      <c r="A32" s="7" t="s">
        <v>231</v>
      </c>
      <c r="B32" s="58">
        <f>COUNTIF(Champs!H:H,A32)</f>
        <v>4</v>
      </c>
    </row>
    <row r="33" ht="15.75" customHeight="1">
      <c r="A33" s="7" t="s">
        <v>307</v>
      </c>
      <c r="B33" s="58">
        <f>COUNTIF(Champs!H:H,A33)</f>
        <v>2</v>
      </c>
    </row>
    <row r="34" ht="15.75" customHeight="1">
      <c r="A34" s="7" t="s">
        <v>368</v>
      </c>
      <c r="B34" s="58">
        <f>COUNTIF(Champs!H:H,A34)</f>
        <v>1</v>
      </c>
    </row>
    <row r="35" ht="15.75" customHeight="1">
      <c r="A35" s="7" t="s">
        <v>348</v>
      </c>
      <c r="B35" s="58">
        <f>COUNTIF(Champs!H:H,A35)</f>
        <v>7</v>
      </c>
    </row>
    <row r="36" ht="15.75" customHeight="1">
      <c r="A36" s="7" t="s">
        <v>186</v>
      </c>
      <c r="B36" s="58">
        <f>COUNTIF(Champs!H:H,A36)</f>
        <v>2</v>
      </c>
    </row>
    <row r="37" ht="15.75" customHeight="1">
      <c r="A37" s="7" t="s">
        <v>335</v>
      </c>
      <c r="B37" s="58">
        <f>COUNTIF(Champs!H:H,A37)</f>
        <v>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6.0"/>
    <col customWidth="1" min="3" max="3" width="70.0"/>
    <col customWidth="1" min="4" max="4" width="28.0"/>
    <col customWidth="1" min="5" max="5" width="30.0"/>
    <col customWidth="1" min="6" max="26" width="8.71"/>
  </cols>
  <sheetData>
    <row r="1" ht="30.0" customHeight="1">
      <c r="A1" s="55" t="s">
        <v>451</v>
      </c>
      <c r="B1" s="2"/>
      <c r="C1" s="2"/>
      <c r="D1" s="2"/>
      <c r="E1" s="3"/>
    </row>
    <row r="3">
      <c r="A3" s="4" t="s">
        <v>452</v>
      </c>
    </row>
    <row r="5" ht="30.0" customHeight="1">
      <c r="A5" s="56" t="s">
        <v>453</v>
      </c>
      <c r="B5" s="56" t="s">
        <v>454</v>
      </c>
      <c r="C5" s="56" t="s">
        <v>455</v>
      </c>
      <c r="D5" s="56" t="s">
        <v>456</v>
      </c>
      <c r="E5" s="56" t="s">
        <v>457</v>
      </c>
    </row>
    <row r="6">
      <c r="A6" s="70" t="s">
        <v>458</v>
      </c>
      <c r="B6" s="19" t="s">
        <v>459</v>
      </c>
      <c r="C6" s="21" t="s">
        <v>460</v>
      </c>
      <c r="D6" s="20" t="s">
        <v>461</v>
      </c>
      <c r="E6" s="71" t="s">
        <v>462</v>
      </c>
    </row>
    <row r="7">
      <c r="A7" s="70" t="s">
        <v>463</v>
      </c>
      <c r="B7" s="22" t="s">
        <v>464</v>
      </c>
      <c r="C7" s="27" t="s">
        <v>465</v>
      </c>
      <c r="D7" s="26" t="s">
        <v>466</v>
      </c>
      <c r="E7" s="72" t="s">
        <v>462</v>
      </c>
    </row>
    <row r="8">
      <c r="A8" s="70" t="s">
        <v>467</v>
      </c>
      <c r="B8" s="19" t="s">
        <v>248</v>
      </c>
      <c r="C8" s="21" t="s">
        <v>468</v>
      </c>
      <c r="D8" s="20" t="s">
        <v>469</v>
      </c>
      <c r="E8" s="71" t="s">
        <v>470</v>
      </c>
    </row>
    <row r="9">
      <c r="A9" s="70" t="s">
        <v>471</v>
      </c>
      <c r="B9" s="22" t="s">
        <v>472</v>
      </c>
      <c r="C9" s="27" t="s">
        <v>473</v>
      </c>
      <c r="D9" s="26" t="s">
        <v>474</v>
      </c>
      <c r="E9" s="72" t="s">
        <v>475</v>
      </c>
    </row>
    <row r="10">
      <c r="A10" s="70" t="s">
        <v>476</v>
      </c>
      <c r="B10" s="19" t="s">
        <v>477</v>
      </c>
      <c r="C10" s="21" t="s">
        <v>478</v>
      </c>
      <c r="D10" s="20" t="s">
        <v>479</v>
      </c>
      <c r="E10" s="71" t="s">
        <v>480</v>
      </c>
    </row>
    <row r="11">
      <c r="A11" s="70" t="s">
        <v>481</v>
      </c>
      <c r="B11" s="22" t="s">
        <v>482</v>
      </c>
      <c r="C11" s="27" t="s">
        <v>483</v>
      </c>
      <c r="D11" s="26" t="s">
        <v>484</v>
      </c>
      <c r="E11" s="72" t="s">
        <v>485</v>
      </c>
    </row>
    <row r="12">
      <c r="A12" s="70" t="s">
        <v>486</v>
      </c>
      <c r="B12" s="19" t="s">
        <v>368</v>
      </c>
      <c r="C12" s="21" t="s">
        <v>487</v>
      </c>
      <c r="D12" s="20" t="s">
        <v>488</v>
      </c>
      <c r="E12" s="71" t="s">
        <v>470</v>
      </c>
    </row>
    <row r="13">
      <c r="A13" s="70" t="s">
        <v>489</v>
      </c>
      <c r="B13" s="22" t="s">
        <v>490</v>
      </c>
      <c r="C13" s="27" t="s">
        <v>491</v>
      </c>
      <c r="D13" s="26" t="s">
        <v>461</v>
      </c>
      <c r="E13" s="72" t="s">
        <v>492</v>
      </c>
    </row>
    <row r="14">
      <c r="A14" s="70" t="s">
        <v>493</v>
      </c>
      <c r="B14" s="19" t="s">
        <v>494</v>
      </c>
      <c r="C14" s="21" t="s">
        <v>495</v>
      </c>
      <c r="D14" s="20" t="s">
        <v>496</v>
      </c>
      <c r="E14" s="71" t="s">
        <v>497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3:E3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2026-05-12T14:23:59Z</dcterms:created>
  <dc:creator>openpyxl</dc:creator>
</cp:coreProperties>
</file>
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ransportparnassservices.sharepoint.com/sites/DATA/Documents partages/CONTRÔLE DE GESTION/3- Carburants/1- Indexation/"/>
    </mc:Choice>
  </mc:AlternateContent>
  <xr:revisionPtr revIDLastSave="2842" documentId="13_ncr:1_{F2AFF934-F914-4185-BBBF-92D2CABF5A6A}" xr6:coauthVersionLast="47" xr6:coauthVersionMax="47" xr10:uidLastSave="{7BBCDA0F-6907-402C-ABF6-E73AB17135AF}"/>
  <bookViews>
    <workbookView xWindow="-108" yWindow="-108" windowWidth="23256" windowHeight="12456" activeTab="1" xr2:uid="{A12E1BBC-32C3-4825-9B9F-FDB543B6AFBA}"/>
  </bookViews>
  <sheets>
    <sheet name="indice Carburant" sheetId="1" r:id="rId1"/>
    <sheet name="Indexation Client 2026" sheetId="2" r:id="rId2"/>
  </sheets>
  <definedNames>
    <definedName name="_xlnm._FilterDatabase" localSheetId="1" hidden="1">'Indexation Client 2026'!$A$5:$U$167</definedName>
    <definedName name="_xlnm.Print_Area" localSheetId="1">'Indexation Client 2026'!$A$1:$N$55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1" i="2" l="1"/>
  <c r="L141" i="2"/>
  <c r="M141" i="2"/>
  <c r="N141" i="2"/>
  <c r="O141" i="2"/>
  <c r="P141" i="2"/>
  <c r="Q141" i="2"/>
  <c r="R141" i="2"/>
  <c r="S141" i="2"/>
  <c r="T141" i="2"/>
  <c r="U141" i="2"/>
  <c r="K142" i="2"/>
  <c r="L142" i="2"/>
  <c r="M142" i="2"/>
  <c r="N142" i="2"/>
  <c r="O142" i="2"/>
  <c r="P142" i="2"/>
  <c r="Q142" i="2"/>
  <c r="R142" i="2"/>
  <c r="S142" i="2"/>
  <c r="T142" i="2"/>
  <c r="U142" i="2"/>
  <c r="K143" i="2"/>
  <c r="L143" i="2"/>
  <c r="M143" i="2"/>
  <c r="N143" i="2"/>
  <c r="O143" i="2"/>
  <c r="P143" i="2"/>
  <c r="Q143" i="2"/>
  <c r="R143" i="2"/>
  <c r="S143" i="2"/>
  <c r="T143" i="2"/>
  <c r="U143" i="2"/>
  <c r="K144" i="2"/>
  <c r="L144" i="2"/>
  <c r="M144" i="2"/>
  <c r="N144" i="2"/>
  <c r="O144" i="2"/>
  <c r="P144" i="2"/>
  <c r="Q144" i="2"/>
  <c r="R144" i="2"/>
  <c r="S144" i="2"/>
  <c r="T144" i="2"/>
  <c r="U144" i="2"/>
  <c r="K145" i="2"/>
  <c r="L145" i="2"/>
  <c r="M145" i="2"/>
  <c r="N145" i="2"/>
  <c r="O145" i="2"/>
  <c r="P145" i="2"/>
  <c r="Q145" i="2"/>
  <c r="R145" i="2"/>
  <c r="S145" i="2"/>
  <c r="T145" i="2"/>
  <c r="U145" i="2"/>
  <c r="K146" i="2"/>
  <c r="L146" i="2"/>
  <c r="M146" i="2"/>
  <c r="N146" i="2"/>
  <c r="O146" i="2"/>
  <c r="P146" i="2"/>
  <c r="Q146" i="2"/>
  <c r="R146" i="2"/>
  <c r="S146" i="2"/>
  <c r="T146" i="2"/>
  <c r="U146" i="2"/>
  <c r="K147" i="2"/>
  <c r="L147" i="2"/>
  <c r="M147" i="2"/>
  <c r="N147" i="2"/>
  <c r="O147" i="2"/>
  <c r="P147" i="2"/>
  <c r="Q147" i="2"/>
  <c r="R147" i="2"/>
  <c r="S147" i="2"/>
  <c r="T147" i="2"/>
  <c r="U147" i="2"/>
  <c r="K148" i="2"/>
  <c r="L148" i="2"/>
  <c r="M148" i="2"/>
  <c r="N148" i="2"/>
  <c r="O148" i="2"/>
  <c r="P148" i="2"/>
  <c r="Q148" i="2"/>
  <c r="R148" i="2"/>
  <c r="S148" i="2"/>
  <c r="T148" i="2"/>
  <c r="U148" i="2"/>
  <c r="K149" i="2"/>
  <c r="L149" i="2"/>
  <c r="M149" i="2"/>
  <c r="N149" i="2"/>
  <c r="O149" i="2"/>
  <c r="P149" i="2"/>
  <c r="Q149" i="2"/>
  <c r="R149" i="2"/>
  <c r="S149" i="2"/>
  <c r="T149" i="2"/>
  <c r="U149" i="2"/>
  <c r="K150" i="2"/>
  <c r="L150" i="2"/>
  <c r="M150" i="2"/>
  <c r="N150" i="2"/>
  <c r="O150" i="2"/>
  <c r="P150" i="2"/>
  <c r="Q150" i="2"/>
  <c r="R150" i="2"/>
  <c r="S150" i="2"/>
  <c r="T150" i="2"/>
  <c r="U150" i="2"/>
  <c r="K151" i="2"/>
  <c r="L151" i="2"/>
  <c r="M151" i="2"/>
  <c r="N151" i="2"/>
  <c r="O151" i="2"/>
  <c r="P151" i="2"/>
  <c r="Q151" i="2"/>
  <c r="R151" i="2"/>
  <c r="S151" i="2"/>
  <c r="T151" i="2"/>
  <c r="U151" i="2"/>
  <c r="J151" i="2"/>
  <c r="J150" i="2"/>
  <c r="J149" i="2"/>
  <c r="J148" i="2"/>
  <c r="J147" i="2"/>
  <c r="J146" i="2"/>
  <c r="J145" i="2"/>
  <c r="J144" i="2"/>
  <c r="J143" i="2"/>
  <c r="J142" i="2"/>
  <c r="J141" i="2"/>
  <c r="U140" i="2"/>
  <c r="K140" i="2"/>
  <c r="L140" i="2"/>
  <c r="M140" i="2"/>
  <c r="N140" i="2"/>
  <c r="O140" i="2"/>
  <c r="P140" i="2"/>
  <c r="Q140" i="2"/>
  <c r="R140" i="2"/>
  <c r="S140" i="2"/>
  <c r="T140" i="2"/>
  <c r="J140" i="2"/>
  <c r="K139" i="2"/>
  <c r="L139" i="2"/>
  <c r="M139" i="2"/>
  <c r="N139" i="2"/>
  <c r="O139" i="2"/>
  <c r="P139" i="2"/>
  <c r="Q139" i="2"/>
  <c r="R139" i="2"/>
  <c r="S139" i="2"/>
  <c r="T139" i="2"/>
  <c r="U139" i="2"/>
  <c r="J139" i="2"/>
  <c r="K138" i="2"/>
  <c r="L138" i="2"/>
  <c r="M138" i="2"/>
  <c r="N138" i="2"/>
  <c r="O138" i="2"/>
  <c r="P138" i="2"/>
  <c r="Q138" i="2"/>
  <c r="R138" i="2"/>
  <c r="S138" i="2"/>
  <c r="T138" i="2"/>
  <c r="U138" i="2"/>
  <c r="J138" i="2"/>
  <c r="K137" i="2"/>
  <c r="L137" i="2"/>
  <c r="M137" i="2"/>
  <c r="N137" i="2"/>
  <c r="O137" i="2"/>
  <c r="P137" i="2"/>
  <c r="Q137" i="2"/>
  <c r="R137" i="2"/>
  <c r="S137" i="2"/>
  <c r="T137" i="2"/>
  <c r="U137" i="2"/>
  <c r="J137" i="2"/>
  <c r="K136" i="2"/>
  <c r="L136" i="2"/>
  <c r="M136" i="2"/>
  <c r="N136" i="2"/>
  <c r="O136" i="2"/>
  <c r="P136" i="2"/>
  <c r="Q136" i="2"/>
  <c r="R136" i="2"/>
  <c r="S136" i="2"/>
  <c r="T136" i="2"/>
  <c r="U136" i="2"/>
  <c r="J136" i="2"/>
  <c r="K135" i="2"/>
  <c r="L135" i="2"/>
  <c r="M135" i="2"/>
  <c r="N135" i="2"/>
  <c r="O135" i="2"/>
  <c r="P135" i="2"/>
  <c r="Q135" i="2"/>
  <c r="R135" i="2"/>
  <c r="S135" i="2"/>
  <c r="T135" i="2"/>
  <c r="U135" i="2"/>
  <c r="J135" i="2"/>
  <c r="K134" i="2"/>
  <c r="L134" i="2"/>
  <c r="M134" i="2"/>
  <c r="N134" i="2"/>
  <c r="O134" i="2"/>
  <c r="P134" i="2"/>
  <c r="Q134" i="2"/>
  <c r="R134" i="2"/>
  <c r="S134" i="2"/>
  <c r="T134" i="2"/>
  <c r="U134" i="2"/>
  <c r="J134" i="2"/>
  <c r="K133" i="2"/>
  <c r="L133" i="2"/>
  <c r="M133" i="2"/>
  <c r="N133" i="2"/>
  <c r="O133" i="2"/>
  <c r="P133" i="2"/>
  <c r="Q133" i="2"/>
  <c r="R133" i="2"/>
  <c r="S133" i="2"/>
  <c r="T133" i="2"/>
  <c r="U133" i="2"/>
  <c r="J133" i="2"/>
  <c r="K123" i="2"/>
  <c r="L123" i="2"/>
  <c r="M123" i="2"/>
  <c r="N123" i="2"/>
  <c r="O123" i="2"/>
  <c r="P123" i="2"/>
  <c r="Q123" i="2"/>
  <c r="R123" i="2"/>
  <c r="S123" i="2"/>
  <c r="T123" i="2"/>
  <c r="U123" i="2"/>
  <c r="J123" i="2"/>
  <c r="K122" i="2"/>
  <c r="L122" i="2"/>
  <c r="M122" i="2"/>
  <c r="N122" i="2"/>
  <c r="O122" i="2"/>
  <c r="P122" i="2"/>
  <c r="Q122" i="2"/>
  <c r="R122" i="2"/>
  <c r="S122" i="2"/>
  <c r="T122" i="2"/>
  <c r="U122" i="2"/>
  <c r="J122" i="2"/>
  <c r="K124" i="2"/>
  <c r="L124" i="2"/>
  <c r="M124" i="2"/>
  <c r="N124" i="2"/>
  <c r="O124" i="2"/>
  <c r="P124" i="2"/>
  <c r="Q124" i="2"/>
  <c r="R124" i="2"/>
  <c r="S124" i="2"/>
  <c r="T124" i="2"/>
  <c r="U124" i="2"/>
  <c r="J124" i="2"/>
  <c r="K121" i="2"/>
  <c r="L121" i="2"/>
  <c r="M121" i="2"/>
  <c r="N121" i="2"/>
  <c r="O121" i="2"/>
  <c r="P121" i="2"/>
  <c r="Q121" i="2"/>
  <c r="R121" i="2"/>
  <c r="S121" i="2"/>
  <c r="T121" i="2"/>
  <c r="U121" i="2"/>
  <c r="J121" i="2"/>
  <c r="K120" i="2"/>
  <c r="L120" i="2"/>
  <c r="M120" i="2"/>
  <c r="N120" i="2"/>
  <c r="O120" i="2"/>
  <c r="P120" i="2"/>
  <c r="Q120" i="2"/>
  <c r="R120" i="2"/>
  <c r="S120" i="2"/>
  <c r="T120" i="2"/>
  <c r="U120" i="2"/>
  <c r="J120" i="2"/>
  <c r="K119" i="2"/>
  <c r="L119" i="2"/>
  <c r="M119" i="2"/>
  <c r="N119" i="2"/>
  <c r="O119" i="2"/>
  <c r="P119" i="2"/>
  <c r="Q119" i="2"/>
  <c r="R119" i="2"/>
  <c r="S119" i="2"/>
  <c r="T119" i="2"/>
  <c r="U119" i="2"/>
  <c r="J119" i="2"/>
  <c r="K118" i="2"/>
  <c r="L118" i="2"/>
  <c r="M118" i="2"/>
  <c r="N118" i="2"/>
  <c r="O118" i="2"/>
  <c r="P118" i="2"/>
  <c r="Q118" i="2"/>
  <c r="R118" i="2"/>
  <c r="S118" i="2"/>
  <c r="T118" i="2"/>
  <c r="U118" i="2"/>
  <c r="J118" i="2"/>
  <c r="K27" i="2"/>
  <c r="L167" i="2"/>
  <c r="M167" i="2"/>
  <c r="N167" i="2"/>
  <c r="O167" i="2"/>
  <c r="P167" i="2"/>
  <c r="Q167" i="2"/>
  <c r="R167" i="2"/>
  <c r="S167" i="2"/>
  <c r="T167" i="2"/>
  <c r="U167" i="2"/>
  <c r="K167" i="2"/>
  <c r="L81" i="2"/>
  <c r="M81" i="2"/>
  <c r="N81" i="2"/>
  <c r="O81" i="2"/>
  <c r="P81" i="2"/>
  <c r="Q81" i="2"/>
  <c r="R81" i="2"/>
  <c r="S81" i="2"/>
  <c r="T81" i="2"/>
  <c r="U81" i="2"/>
  <c r="K81" i="2"/>
  <c r="L80" i="2"/>
  <c r="M80" i="2"/>
  <c r="N80" i="2"/>
  <c r="O80" i="2"/>
  <c r="P80" i="2"/>
  <c r="Q80" i="2"/>
  <c r="R80" i="2"/>
  <c r="S80" i="2"/>
  <c r="T80" i="2"/>
  <c r="U80" i="2"/>
  <c r="K80" i="2"/>
  <c r="L77" i="2"/>
  <c r="M77" i="2"/>
  <c r="N77" i="2"/>
  <c r="O77" i="2"/>
  <c r="P77" i="2"/>
  <c r="Q77" i="2"/>
  <c r="R77" i="2"/>
  <c r="S77" i="2"/>
  <c r="T77" i="2"/>
  <c r="U77" i="2"/>
  <c r="K77" i="2"/>
  <c r="L76" i="2"/>
  <c r="M76" i="2"/>
  <c r="N76" i="2"/>
  <c r="O76" i="2"/>
  <c r="P76" i="2"/>
  <c r="Q76" i="2"/>
  <c r="R76" i="2"/>
  <c r="S76" i="2"/>
  <c r="T76" i="2"/>
  <c r="U76" i="2"/>
  <c r="K76" i="2"/>
  <c r="L75" i="2"/>
  <c r="M75" i="2"/>
  <c r="N75" i="2"/>
  <c r="O75" i="2"/>
  <c r="P75" i="2"/>
  <c r="Q75" i="2"/>
  <c r="R75" i="2"/>
  <c r="S75" i="2"/>
  <c r="T75" i="2"/>
  <c r="U75" i="2"/>
  <c r="K75" i="2"/>
  <c r="L74" i="2"/>
  <c r="M74" i="2"/>
  <c r="N74" i="2"/>
  <c r="O74" i="2"/>
  <c r="P74" i="2"/>
  <c r="Q74" i="2"/>
  <c r="R74" i="2"/>
  <c r="S74" i="2"/>
  <c r="T74" i="2"/>
  <c r="U74" i="2"/>
  <c r="K74" i="2"/>
  <c r="L73" i="2"/>
  <c r="M73" i="2"/>
  <c r="N73" i="2"/>
  <c r="O73" i="2"/>
  <c r="P73" i="2"/>
  <c r="Q73" i="2"/>
  <c r="R73" i="2"/>
  <c r="S73" i="2"/>
  <c r="T73" i="2"/>
  <c r="U73" i="2"/>
  <c r="K73" i="2"/>
  <c r="L72" i="2"/>
  <c r="M72" i="2"/>
  <c r="N72" i="2"/>
  <c r="O72" i="2"/>
  <c r="P72" i="2"/>
  <c r="Q72" i="2"/>
  <c r="R72" i="2"/>
  <c r="S72" i="2"/>
  <c r="T72" i="2"/>
  <c r="U72" i="2"/>
  <c r="K72" i="2"/>
  <c r="L66" i="2"/>
  <c r="M66" i="2"/>
  <c r="N66" i="2"/>
  <c r="O66" i="2"/>
  <c r="P66" i="2"/>
  <c r="Q66" i="2"/>
  <c r="R66" i="2"/>
  <c r="S66" i="2"/>
  <c r="T66" i="2"/>
  <c r="U66" i="2"/>
  <c r="K66" i="2"/>
  <c r="L65" i="2"/>
  <c r="M65" i="2"/>
  <c r="N65" i="2"/>
  <c r="O65" i="2"/>
  <c r="P65" i="2"/>
  <c r="Q65" i="2"/>
  <c r="R65" i="2"/>
  <c r="S65" i="2"/>
  <c r="T65" i="2"/>
  <c r="U65" i="2"/>
  <c r="K65" i="2"/>
  <c r="L64" i="2"/>
  <c r="M64" i="2"/>
  <c r="N64" i="2"/>
  <c r="O64" i="2"/>
  <c r="P64" i="2"/>
  <c r="Q64" i="2"/>
  <c r="R64" i="2"/>
  <c r="S64" i="2"/>
  <c r="T64" i="2"/>
  <c r="U64" i="2"/>
  <c r="K64" i="2"/>
  <c r="L63" i="2"/>
  <c r="M63" i="2"/>
  <c r="N63" i="2"/>
  <c r="O63" i="2"/>
  <c r="P63" i="2"/>
  <c r="Q63" i="2"/>
  <c r="R63" i="2"/>
  <c r="S63" i="2"/>
  <c r="T63" i="2"/>
  <c r="U63" i="2"/>
  <c r="K63" i="2"/>
  <c r="L62" i="2"/>
  <c r="M62" i="2"/>
  <c r="N62" i="2"/>
  <c r="O62" i="2"/>
  <c r="P62" i="2"/>
  <c r="Q62" i="2"/>
  <c r="R62" i="2"/>
  <c r="S62" i="2"/>
  <c r="T62" i="2"/>
  <c r="U62" i="2"/>
  <c r="K62" i="2"/>
  <c r="M161" i="2"/>
  <c r="N161" i="2"/>
  <c r="O161" i="2"/>
  <c r="P161" i="2"/>
  <c r="Q161" i="2"/>
  <c r="R161" i="2"/>
  <c r="S161" i="2"/>
  <c r="T161" i="2"/>
  <c r="U161" i="2"/>
  <c r="L161" i="2"/>
  <c r="K166" i="2"/>
  <c r="L166" i="2"/>
  <c r="M166" i="2"/>
  <c r="N166" i="2"/>
  <c r="O166" i="2"/>
  <c r="P166" i="2"/>
  <c r="Q166" i="2"/>
  <c r="R166" i="2"/>
  <c r="S166" i="2"/>
  <c r="T166" i="2"/>
  <c r="U166" i="2"/>
  <c r="J166" i="2"/>
  <c r="K132" i="2"/>
  <c r="L132" i="2"/>
  <c r="M132" i="2"/>
  <c r="N132" i="2"/>
  <c r="O132" i="2"/>
  <c r="P132" i="2"/>
  <c r="Q132" i="2"/>
  <c r="R132" i="2"/>
  <c r="S132" i="2"/>
  <c r="T132" i="2"/>
  <c r="U132" i="2"/>
  <c r="J132" i="2"/>
  <c r="K131" i="2"/>
  <c r="L131" i="2"/>
  <c r="M131" i="2"/>
  <c r="N131" i="2"/>
  <c r="O131" i="2"/>
  <c r="P131" i="2"/>
  <c r="Q131" i="2"/>
  <c r="R131" i="2"/>
  <c r="S131" i="2"/>
  <c r="T131" i="2"/>
  <c r="U131" i="2"/>
  <c r="J131" i="2"/>
  <c r="K79" i="2"/>
  <c r="L79" i="2"/>
  <c r="M79" i="2"/>
  <c r="N79" i="2"/>
  <c r="O79" i="2"/>
  <c r="P79" i="2"/>
  <c r="Q79" i="2"/>
  <c r="R79" i="2"/>
  <c r="S79" i="2"/>
  <c r="T79" i="2"/>
  <c r="U79" i="2"/>
  <c r="J79" i="2"/>
  <c r="J165" i="2"/>
  <c r="K69" i="2"/>
  <c r="L69" i="2"/>
  <c r="M69" i="2"/>
  <c r="N69" i="2"/>
  <c r="O69" i="2"/>
  <c r="P69" i="2"/>
  <c r="Q69" i="2"/>
  <c r="R69" i="2"/>
  <c r="S69" i="2"/>
  <c r="T69" i="2"/>
  <c r="U69" i="2"/>
  <c r="J69" i="2"/>
  <c r="K68" i="2"/>
  <c r="L68" i="2"/>
  <c r="M68" i="2"/>
  <c r="N68" i="2"/>
  <c r="O68" i="2"/>
  <c r="P68" i="2"/>
  <c r="Q68" i="2"/>
  <c r="R68" i="2"/>
  <c r="S68" i="2"/>
  <c r="T68" i="2"/>
  <c r="U68" i="2"/>
  <c r="J68" i="2"/>
  <c r="K165" i="2"/>
  <c r="L165" i="2"/>
  <c r="M165" i="2"/>
  <c r="N165" i="2"/>
  <c r="O165" i="2"/>
  <c r="P165" i="2"/>
  <c r="Q165" i="2"/>
  <c r="R165" i="2"/>
  <c r="S165" i="2"/>
  <c r="T165" i="2"/>
  <c r="U165" i="2"/>
  <c r="K28" i="2"/>
  <c r="L28" i="2"/>
  <c r="M28" i="2"/>
  <c r="N28" i="2"/>
  <c r="O28" i="2"/>
  <c r="P28" i="2"/>
  <c r="Q28" i="2"/>
  <c r="R28" i="2"/>
  <c r="S28" i="2"/>
  <c r="T28" i="2"/>
  <c r="U28" i="2"/>
  <c r="J28" i="2"/>
  <c r="L27" i="2"/>
  <c r="M27" i="2"/>
  <c r="N27" i="2"/>
  <c r="O27" i="2"/>
  <c r="P27" i="2"/>
  <c r="Q27" i="2"/>
  <c r="R27" i="2"/>
  <c r="S27" i="2"/>
  <c r="T27" i="2"/>
  <c r="U27" i="2"/>
  <c r="J27" i="2"/>
  <c r="K164" i="2"/>
  <c r="L164" i="2"/>
  <c r="M164" i="2"/>
  <c r="N164" i="2"/>
  <c r="O164" i="2"/>
  <c r="P164" i="2"/>
  <c r="Q164" i="2"/>
  <c r="R164" i="2"/>
  <c r="S164" i="2"/>
  <c r="T164" i="2"/>
  <c r="U164" i="2"/>
  <c r="J164" i="2"/>
  <c r="K61" i="2"/>
  <c r="L61" i="2"/>
  <c r="M61" i="2"/>
  <c r="N61" i="2"/>
  <c r="O61" i="2"/>
  <c r="P61" i="2"/>
  <c r="Q61" i="2"/>
  <c r="R61" i="2"/>
  <c r="S61" i="2"/>
  <c r="T61" i="2"/>
  <c r="U61" i="2"/>
  <c r="J61" i="2"/>
  <c r="K60" i="2"/>
  <c r="L60" i="2"/>
  <c r="M60" i="2"/>
  <c r="N60" i="2"/>
  <c r="O60" i="2"/>
  <c r="P60" i="2"/>
  <c r="Q60" i="2"/>
  <c r="R60" i="2"/>
  <c r="S60" i="2"/>
  <c r="T60" i="2"/>
  <c r="U60" i="2"/>
  <c r="J60" i="2"/>
  <c r="K6" i="2"/>
  <c r="L6" i="2"/>
  <c r="M6" i="2"/>
  <c r="N6" i="2"/>
  <c r="O6" i="2"/>
  <c r="P6" i="2"/>
  <c r="Q6" i="2"/>
  <c r="R6" i="2"/>
  <c r="S6" i="2"/>
  <c r="T6" i="2"/>
  <c r="U6" i="2"/>
  <c r="K7" i="2"/>
  <c r="L7" i="2"/>
  <c r="M7" i="2"/>
  <c r="N7" i="2"/>
  <c r="O7" i="2"/>
  <c r="P7" i="2"/>
  <c r="Q7" i="2"/>
  <c r="R7" i="2"/>
  <c r="S7" i="2"/>
  <c r="T7" i="2"/>
  <c r="U7" i="2"/>
  <c r="J30" i="2"/>
  <c r="K59" i="2"/>
  <c r="L59" i="2"/>
  <c r="M59" i="2"/>
  <c r="N59" i="2"/>
  <c r="O59" i="2"/>
  <c r="P59" i="2"/>
  <c r="Q59" i="2"/>
  <c r="R59" i="2"/>
  <c r="S59" i="2"/>
  <c r="T59" i="2"/>
  <c r="U59" i="2"/>
  <c r="J59" i="2"/>
  <c r="K58" i="2" l="1"/>
  <c r="L58" i="2"/>
  <c r="M58" i="2"/>
  <c r="N58" i="2"/>
  <c r="O58" i="2"/>
  <c r="P58" i="2"/>
  <c r="Q58" i="2"/>
  <c r="R58" i="2"/>
  <c r="S58" i="2"/>
  <c r="T58" i="2"/>
  <c r="U58" i="2"/>
  <c r="J58" i="2"/>
  <c r="K67" i="2" l="1"/>
  <c r="L67" i="2"/>
  <c r="M67" i="2"/>
  <c r="N67" i="2"/>
  <c r="O67" i="2"/>
  <c r="P67" i="2"/>
  <c r="Q67" i="2"/>
  <c r="R67" i="2"/>
  <c r="S67" i="2"/>
  <c r="T67" i="2"/>
  <c r="U67" i="2"/>
  <c r="J67" i="2"/>
  <c r="K57" i="2" l="1"/>
  <c r="L57" i="2"/>
  <c r="M57" i="2"/>
  <c r="N57" i="2"/>
  <c r="O57" i="2"/>
  <c r="P57" i="2"/>
  <c r="Q57" i="2"/>
  <c r="R57" i="2"/>
  <c r="S57" i="2"/>
  <c r="T57" i="2"/>
  <c r="U57" i="2"/>
  <c r="J57" i="2"/>
  <c r="K155" i="2" l="1"/>
  <c r="L155" i="2"/>
  <c r="M155" i="2"/>
  <c r="N155" i="2"/>
  <c r="O155" i="2"/>
  <c r="P155" i="2"/>
  <c r="Q155" i="2"/>
  <c r="R155" i="2"/>
  <c r="S155" i="2"/>
  <c r="T155" i="2"/>
  <c r="U155" i="2"/>
  <c r="J155" i="2"/>
  <c r="K78" i="2"/>
  <c r="L78" i="2"/>
  <c r="M78" i="2"/>
  <c r="N78" i="2"/>
  <c r="O78" i="2"/>
  <c r="P78" i="2"/>
  <c r="Q78" i="2"/>
  <c r="R78" i="2"/>
  <c r="S78" i="2"/>
  <c r="T78" i="2"/>
  <c r="U78" i="2"/>
  <c r="J78" i="2"/>
  <c r="Q91" i="2"/>
  <c r="R91" i="2"/>
  <c r="S91" i="2"/>
  <c r="T91" i="2"/>
  <c r="U91" i="2"/>
  <c r="K25" i="2" l="1"/>
  <c r="L25" i="2"/>
  <c r="M25" i="2"/>
  <c r="N25" i="2"/>
  <c r="O25" i="2"/>
  <c r="P25" i="2"/>
  <c r="Q25" i="2"/>
  <c r="R25" i="2"/>
  <c r="S25" i="2"/>
  <c r="T25" i="2"/>
  <c r="U25" i="2"/>
  <c r="J25" i="2"/>
  <c r="K97" i="2" l="1"/>
  <c r="L97" i="2"/>
  <c r="M97" i="2"/>
  <c r="N97" i="2"/>
  <c r="O97" i="2"/>
  <c r="P97" i="2"/>
  <c r="Q97" i="2"/>
  <c r="R97" i="2"/>
  <c r="S97" i="2"/>
  <c r="T97" i="2"/>
  <c r="U97" i="2"/>
  <c r="J97" i="2"/>
  <c r="K96" i="2"/>
  <c r="L96" i="2"/>
  <c r="M96" i="2"/>
  <c r="N96" i="2"/>
  <c r="O96" i="2"/>
  <c r="P96" i="2"/>
  <c r="Q96" i="2"/>
  <c r="R96" i="2"/>
  <c r="S96" i="2"/>
  <c r="T96" i="2"/>
  <c r="U96" i="2"/>
  <c r="J96" i="2"/>
  <c r="K95" i="2"/>
  <c r="L95" i="2"/>
  <c r="M95" i="2"/>
  <c r="N95" i="2"/>
  <c r="O95" i="2"/>
  <c r="P95" i="2"/>
  <c r="Q95" i="2"/>
  <c r="R95" i="2"/>
  <c r="S95" i="2"/>
  <c r="T95" i="2"/>
  <c r="U95" i="2"/>
  <c r="J95" i="2"/>
  <c r="K94" i="2"/>
  <c r="L94" i="2"/>
  <c r="M94" i="2"/>
  <c r="N94" i="2"/>
  <c r="O94" i="2"/>
  <c r="P94" i="2"/>
  <c r="Q94" i="2"/>
  <c r="R94" i="2"/>
  <c r="S94" i="2"/>
  <c r="T94" i="2"/>
  <c r="U94" i="2"/>
  <c r="J94" i="2"/>
  <c r="K93" i="2"/>
  <c r="L93" i="2"/>
  <c r="M93" i="2"/>
  <c r="N93" i="2"/>
  <c r="O93" i="2"/>
  <c r="P93" i="2"/>
  <c r="Q93" i="2"/>
  <c r="R93" i="2"/>
  <c r="S93" i="2"/>
  <c r="T93" i="2"/>
  <c r="U93" i="2"/>
  <c r="J93" i="2"/>
  <c r="K92" i="2"/>
  <c r="L92" i="2"/>
  <c r="M92" i="2"/>
  <c r="N92" i="2"/>
  <c r="O92" i="2"/>
  <c r="P92" i="2"/>
  <c r="Q92" i="2"/>
  <c r="R92" i="2"/>
  <c r="S92" i="2"/>
  <c r="T92" i="2"/>
  <c r="U92" i="2"/>
  <c r="J92" i="2"/>
  <c r="K91" i="2"/>
  <c r="L91" i="2"/>
  <c r="M91" i="2"/>
  <c r="N91" i="2"/>
  <c r="O91" i="2"/>
  <c r="P91" i="2"/>
  <c r="J91" i="2"/>
  <c r="K56" i="2"/>
  <c r="L56" i="2"/>
  <c r="M56" i="2"/>
  <c r="N56" i="2"/>
  <c r="O56" i="2"/>
  <c r="P56" i="2"/>
  <c r="Q56" i="2"/>
  <c r="R56" i="2"/>
  <c r="S56" i="2"/>
  <c r="T56" i="2"/>
  <c r="U56" i="2"/>
  <c r="J56" i="2"/>
  <c r="J7" i="2"/>
  <c r="J6" i="2"/>
  <c r="K55" i="2"/>
  <c r="L55" i="2"/>
  <c r="M55" i="2"/>
  <c r="N55" i="2"/>
  <c r="O55" i="2"/>
  <c r="P55" i="2"/>
  <c r="Q55" i="2"/>
  <c r="R55" i="2"/>
  <c r="S55" i="2"/>
  <c r="T55" i="2"/>
  <c r="U55" i="2"/>
  <c r="J55" i="2"/>
  <c r="K54" i="2"/>
  <c r="L54" i="2"/>
  <c r="M54" i="2"/>
  <c r="N54" i="2"/>
  <c r="O54" i="2"/>
  <c r="P54" i="2"/>
  <c r="Q54" i="2"/>
  <c r="R54" i="2"/>
  <c r="S54" i="2"/>
  <c r="T54" i="2"/>
  <c r="U54" i="2"/>
  <c r="J54" i="2"/>
  <c r="K110" i="2"/>
  <c r="L110" i="2"/>
  <c r="M110" i="2"/>
  <c r="N110" i="2"/>
  <c r="O110" i="2"/>
  <c r="P110" i="2"/>
  <c r="Q110" i="2"/>
  <c r="R110" i="2"/>
  <c r="S110" i="2"/>
  <c r="T110" i="2"/>
  <c r="U110" i="2"/>
  <c r="J110" i="2"/>
  <c r="N40" i="2"/>
  <c r="M37" i="2"/>
  <c r="M35" i="2"/>
  <c r="M31" i="2"/>
  <c r="M51" i="2"/>
  <c r="M44" i="2"/>
  <c r="K26" i="2"/>
  <c r="L26" i="2"/>
  <c r="M26" i="2"/>
  <c r="N26" i="2"/>
  <c r="O26" i="2"/>
  <c r="P26" i="2"/>
  <c r="Q26" i="2"/>
  <c r="R26" i="2"/>
  <c r="S26" i="2"/>
  <c r="T26" i="2"/>
  <c r="U26" i="2"/>
  <c r="J26" i="2"/>
  <c r="K24" i="2"/>
  <c r="L24" i="2"/>
  <c r="M24" i="2"/>
  <c r="N24" i="2"/>
  <c r="O24" i="2"/>
  <c r="P24" i="2"/>
  <c r="Q24" i="2"/>
  <c r="R24" i="2"/>
  <c r="S24" i="2"/>
  <c r="T24" i="2"/>
  <c r="U24" i="2"/>
  <c r="J24" i="2"/>
  <c r="K23" i="2"/>
  <c r="L23" i="2"/>
  <c r="M23" i="2"/>
  <c r="N23" i="2"/>
  <c r="O23" i="2"/>
  <c r="P23" i="2"/>
  <c r="Q23" i="2"/>
  <c r="R23" i="2"/>
  <c r="S23" i="2"/>
  <c r="T23" i="2"/>
  <c r="U23" i="2"/>
  <c r="J23" i="2"/>
  <c r="N22" i="2"/>
  <c r="O22" i="2"/>
  <c r="P22" i="2"/>
  <c r="Q22" i="2"/>
  <c r="R22" i="2"/>
  <c r="S22" i="2"/>
  <c r="T22" i="2"/>
  <c r="U22" i="2"/>
  <c r="K22" i="2"/>
  <c r="L22" i="2"/>
  <c r="M22" i="2"/>
  <c r="J22" i="2"/>
  <c r="B172" i="2"/>
  <c r="B173" i="2" s="1"/>
  <c r="K53" i="2" l="1"/>
  <c r="L53" i="2"/>
  <c r="M53" i="2"/>
  <c r="N53" i="2"/>
  <c r="O53" i="2"/>
  <c r="P53" i="2"/>
  <c r="Q53" i="2"/>
  <c r="R53" i="2"/>
  <c r="S53" i="2"/>
  <c r="T53" i="2"/>
  <c r="U53" i="2"/>
  <c r="J53" i="2"/>
  <c r="K14" i="2"/>
  <c r="L14" i="2"/>
  <c r="M14" i="2"/>
  <c r="N14" i="2"/>
  <c r="O14" i="2"/>
  <c r="P14" i="2"/>
  <c r="Q14" i="2"/>
  <c r="R14" i="2"/>
  <c r="S14" i="2"/>
  <c r="T14" i="2"/>
  <c r="U14" i="2"/>
  <c r="J14" i="2"/>
  <c r="K13" i="2"/>
  <c r="L13" i="2"/>
  <c r="M13" i="2"/>
  <c r="N13" i="2"/>
  <c r="O13" i="2"/>
  <c r="P13" i="2"/>
  <c r="Q13" i="2"/>
  <c r="R13" i="2"/>
  <c r="S13" i="2"/>
  <c r="T13" i="2"/>
  <c r="U13" i="2"/>
  <c r="J13" i="2"/>
  <c r="K52" i="2"/>
  <c r="L52" i="2"/>
  <c r="M52" i="2"/>
  <c r="N52" i="2"/>
  <c r="O52" i="2"/>
  <c r="P52" i="2"/>
  <c r="Q52" i="2"/>
  <c r="R52" i="2"/>
  <c r="S52" i="2"/>
  <c r="T52" i="2"/>
  <c r="U52" i="2"/>
  <c r="J52" i="2"/>
  <c r="K159" i="2" l="1"/>
  <c r="L159" i="2"/>
  <c r="M159" i="2"/>
  <c r="N159" i="2"/>
  <c r="O159" i="2"/>
  <c r="P159" i="2"/>
  <c r="Q159" i="2"/>
  <c r="R159" i="2"/>
  <c r="S159" i="2"/>
  <c r="T159" i="2"/>
  <c r="U159" i="2"/>
  <c r="J159" i="2"/>
  <c r="K17" i="2" l="1"/>
  <c r="L17" i="2"/>
  <c r="M17" i="2"/>
  <c r="N17" i="2"/>
  <c r="O17" i="2"/>
  <c r="P17" i="2"/>
  <c r="Q17" i="2"/>
  <c r="R17" i="2"/>
  <c r="S17" i="2"/>
  <c r="T17" i="2"/>
  <c r="U17" i="2"/>
  <c r="J17" i="2"/>
  <c r="K16" i="2"/>
  <c r="L16" i="2"/>
  <c r="M16" i="2"/>
  <c r="N16" i="2"/>
  <c r="O16" i="2"/>
  <c r="P16" i="2"/>
  <c r="Q16" i="2"/>
  <c r="R16" i="2"/>
  <c r="S16" i="2"/>
  <c r="T16" i="2"/>
  <c r="U16" i="2"/>
  <c r="J16" i="2"/>
  <c r="K15" i="2"/>
  <c r="L15" i="2"/>
  <c r="M15" i="2"/>
  <c r="N15" i="2"/>
  <c r="O15" i="2"/>
  <c r="P15" i="2"/>
  <c r="Q15" i="2"/>
  <c r="R15" i="2"/>
  <c r="S15" i="2"/>
  <c r="T15" i="2"/>
  <c r="U15" i="2"/>
  <c r="J15" i="2"/>
  <c r="K12" i="2"/>
  <c r="L12" i="2"/>
  <c r="M12" i="2"/>
  <c r="N12" i="2"/>
  <c r="O12" i="2"/>
  <c r="P12" i="2"/>
  <c r="Q12" i="2"/>
  <c r="R12" i="2"/>
  <c r="S12" i="2"/>
  <c r="T12" i="2"/>
  <c r="U12" i="2"/>
  <c r="J12" i="2"/>
  <c r="K11" i="2"/>
  <c r="L11" i="2"/>
  <c r="M11" i="2"/>
  <c r="N11" i="2"/>
  <c r="O11" i="2"/>
  <c r="P11" i="2"/>
  <c r="Q11" i="2"/>
  <c r="R11" i="2"/>
  <c r="S11" i="2"/>
  <c r="T11" i="2"/>
  <c r="U11" i="2"/>
  <c r="J11" i="2"/>
  <c r="K10" i="2"/>
  <c r="L10" i="2"/>
  <c r="M10" i="2"/>
  <c r="N10" i="2"/>
  <c r="O10" i="2"/>
  <c r="P10" i="2"/>
  <c r="Q10" i="2"/>
  <c r="R10" i="2"/>
  <c r="S10" i="2"/>
  <c r="T10" i="2"/>
  <c r="U10" i="2"/>
  <c r="J10" i="2"/>
  <c r="K102" i="2"/>
  <c r="L102" i="2"/>
  <c r="M102" i="2"/>
  <c r="N102" i="2"/>
  <c r="O102" i="2"/>
  <c r="P102" i="2"/>
  <c r="Q102" i="2"/>
  <c r="R102" i="2"/>
  <c r="S102" i="2"/>
  <c r="T102" i="2"/>
  <c r="U102" i="2"/>
  <c r="J102" i="2"/>
  <c r="K104" i="2" l="1"/>
  <c r="L104" i="2"/>
  <c r="M104" i="2"/>
  <c r="N104" i="2"/>
  <c r="O104" i="2"/>
  <c r="P104" i="2"/>
  <c r="Q104" i="2"/>
  <c r="R104" i="2"/>
  <c r="S104" i="2"/>
  <c r="T104" i="2"/>
  <c r="U104" i="2"/>
  <c r="J104" i="2"/>
  <c r="K107" i="2"/>
  <c r="L107" i="2"/>
  <c r="M107" i="2"/>
  <c r="N107" i="2"/>
  <c r="O107" i="2"/>
  <c r="P107" i="2"/>
  <c r="Q107" i="2"/>
  <c r="R107" i="2"/>
  <c r="S107" i="2"/>
  <c r="T107" i="2"/>
  <c r="U107" i="2"/>
  <c r="J107" i="2"/>
  <c r="K109" i="2" l="1"/>
  <c r="L109" i="2"/>
  <c r="M109" i="2"/>
  <c r="N109" i="2"/>
  <c r="O109" i="2"/>
  <c r="P109" i="2"/>
  <c r="Q109" i="2"/>
  <c r="R109" i="2"/>
  <c r="S109" i="2"/>
  <c r="T109" i="2"/>
  <c r="U109" i="2"/>
  <c r="J109" i="2"/>
  <c r="K108" i="2"/>
  <c r="L108" i="2"/>
  <c r="M108" i="2"/>
  <c r="N108" i="2"/>
  <c r="O108" i="2"/>
  <c r="P108" i="2"/>
  <c r="Q108" i="2"/>
  <c r="R108" i="2"/>
  <c r="S108" i="2"/>
  <c r="T108" i="2"/>
  <c r="U108" i="2"/>
  <c r="J108" i="2"/>
  <c r="K106" i="2"/>
  <c r="L106" i="2"/>
  <c r="M106" i="2"/>
  <c r="N106" i="2"/>
  <c r="O106" i="2"/>
  <c r="P106" i="2"/>
  <c r="Q106" i="2"/>
  <c r="R106" i="2"/>
  <c r="S106" i="2"/>
  <c r="T106" i="2"/>
  <c r="U106" i="2"/>
  <c r="J106" i="2"/>
  <c r="K105" i="2"/>
  <c r="L105" i="2"/>
  <c r="M105" i="2"/>
  <c r="N105" i="2"/>
  <c r="O105" i="2"/>
  <c r="P105" i="2"/>
  <c r="Q105" i="2"/>
  <c r="R105" i="2"/>
  <c r="S105" i="2"/>
  <c r="T105" i="2"/>
  <c r="U105" i="2"/>
  <c r="J105" i="2"/>
  <c r="K103" i="2"/>
  <c r="L103" i="2"/>
  <c r="M103" i="2"/>
  <c r="N103" i="2"/>
  <c r="O103" i="2"/>
  <c r="P103" i="2"/>
  <c r="Q103" i="2"/>
  <c r="R103" i="2"/>
  <c r="S103" i="2"/>
  <c r="T103" i="2"/>
  <c r="U103" i="2"/>
  <c r="J103" i="2"/>
  <c r="K158" i="2" l="1"/>
  <c r="L158" i="2"/>
  <c r="M158" i="2"/>
  <c r="N158" i="2"/>
  <c r="O158" i="2"/>
  <c r="P158" i="2"/>
  <c r="Q158" i="2"/>
  <c r="R158" i="2"/>
  <c r="S158" i="2"/>
  <c r="T158" i="2"/>
  <c r="U158" i="2"/>
  <c r="J158" i="2"/>
  <c r="K157" i="2"/>
  <c r="L157" i="2"/>
  <c r="M157" i="2"/>
  <c r="N157" i="2"/>
  <c r="O157" i="2"/>
  <c r="P157" i="2"/>
  <c r="Q157" i="2"/>
  <c r="R157" i="2"/>
  <c r="S157" i="2"/>
  <c r="T157" i="2"/>
  <c r="U157" i="2"/>
  <c r="J157" i="2"/>
  <c r="K156" i="2"/>
  <c r="L156" i="2"/>
  <c r="M156" i="2"/>
  <c r="N156" i="2"/>
  <c r="O156" i="2"/>
  <c r="P156" i="2"/>
  <c r="Q156" i="2"/>
  <c r="R156" i="2"/>
  <c r="S156" i="2"/>
  <c r="T156" i="2"/>
  <c r="U156" i="2"/>
  <c r="J156" i="2"/>
  <c r="K154" i="2"/>
  <c r="L154" i="2"/>
  <c r="M154" i="2"/>
  <c r="N154" i="2"/>
  <c r="O154" i="2"/>
  <c r="P154" i="2"/>
  <c r="Q154" i="2"/>
  <c r="R154" i="2"/>
  <c r="S154" i="2"/>
  <c r="T154" i="2"/>
  <c r="U154" i="2"/>
  <c r="J154" i="2"/>
  <c r="K153" i="2"/>
  <c r="L153" i="2"/>
  <c r="M153" i="2"/>
  <c r="N153" i="2"/>
  <c r="O153" i="2"/>
  <c r="P153" i="2"/>
  <c r="Q153" i="2"/>
  <c r="R153" i="2"/>
  <c r="S153" i="2"/>
  <c r="T153" i="2"/>
  <c r="U153" i="2"/>
  <c r="J153" i="2"/>
  <c r="K152" i="2"/>
  <c r="L152" i="2"/>
  <c r="M152" i="2"/>
  <c r="N152" i="2"/>
  <c r="O152" i="2"/>
  <c r="P152" i="2"/>
  <c r="Q152" i="2"/>
  <c r="R152" i="2"/>
  <c r="S152" i="2"/>
  <c r="T152" i="2"/>
  <c r="U152" i="2"/>
  <c r="J152" i="2"/>
  <c r="K130" i="2"/>
  <c r="L130" i="2"/>
  <c r="M130" i="2"/>
  <c r="N130" i="2"/>
  <c r="O130" i="2"/>
  <c r="P130" i="2"/>
  <c r="Q130" i="2"/>
  <c r="R130" i="2"/>
  <c r="S130" i="2"/>
  <c r="T130" i="2"/>
  <c r="U130" i="2"/>
  <c r="J130" i="2"/>
  <c r="K129" i="2"/>
  <c r="L129" i="2"/>
  <c r="M129" i="2"/>
  <c r="N129" i="2"/>
  <c r="O129" i="2"/>
  <c r="P129" i="2"/>
  <c r="Q129" i="2"/>
  <c r="R129" i="2"/>
  <c r="S129" i="2"/>
  <c r="T129" i="2"/>
  <c r="U129" i="2"/>
  <c r="J129" i="2"/>
  <c r="K128" i="2"/>
  <c r="L128" i="2"/>
  <c r="M128" i="2"/>
  <c r="N128" i="2"/>
  <c r="O128" i="2"/>
  <c r="P128" i="2"/>
  <c r="Q128" i="2"/>
  <c r="R128" i="2"/>
  <c r="S128" i="2"/>
  <c r="T128" i="2"/>
  <c r="U128" i="2"/>
  <c r="J128" i="2"/>
  <c r="K127" i="2"/>
  <c r="L127" i="2"/>
  <c r="M127" i="2"/>
  <c r="N127" i="2"/>
  <c r="O127" i="2"/>
  <c r="P127" i="2"/>
  <c r="Q127" i="2"/>
  <c r="R127" i="2"/>
  <c r="S127" i="2"/>
  <c r="T127" i="2"/>
  <c r="U127" i="2"/>
  <c r="J127" i="2"/>
  <c r="K126" i="2"/>
  <c r="L126" i="2"/>
  <c r="M126" i="2"/>
  <c r="N126" i="2"/>
  <c r="O126" i="2"/>
  <c r="P126" i="2"/>
  <c r="Q126" i="2"/>
  <c r="R126" i="2"/>
  <c r="S126" i="2"/>
  <c r="T126" i="2"/>
  <c r="U126" i="2"/>
  <c r="J126" i="2"/>
  <c r="K125" i="2"/>
  <c r="L125" i="2"/>
  <c r="M125" i="2"/>
  <c r="N125" i="2"/>
  <c r="O125" i="2"/>
  <c r="P125" i="2"/>
  <c r="Q125" i="2"/>
  <c r="R125" i="2"/>
  <c r="S125" i="2"/>
  <c r="T125" i="2"/>
  <c r="U125" i="2"/>
  <c r="J125" i="2"/>
  <c r="K117" i="2"/>
  <c r="L117" i="2"/>
  <c r="M117" i="2"/>
  <c r="N117" i="2"/>
  <c r="O117" i="2"/>
  <c r="P117" i="2"/>
  <c r="Q117" i="2"/>
  <c r="R117" i="2"/>
  <c r="S117" i="2"/>
  <c r="T117" i="2"/>
  <c r="U117" i="2"/>
  <c r="J117" i="2"/>
  <c r="K116" i="2"/>
  <c r="L116" i="2"/>
  <c r="M116" i="2"/>
  <c r="N116" i="2"/>
  <c r="O116" i="2"/>
  <c r="P116" i="2"/>
  <c r="Q116" i="2"/>
  <c r="R116" i="2"/>
  <c r="S116" i="2"/>
  <c r="T116" i="2"/>
  <c r="U116" i="2"/>
  <c r="J116" i="2"/>
  <c r="K115" i="2"/>
  <c r="L115" i="2"/>
  <c r="M115" i="2"/>
  <c r="N115" i="2"/>
  <c r="O115" i="2"/>
  <c r="P115" i="2"/>
  <c r="Q115" i="2"/>
  <c r="R115" i="2"/>
  <c r="S115" i="2"/>
  <c r="T115" i="2"/>
  <c r="U115" i="2"/>
  <c r="J115" i="2"/>
  <c r="K114" i="2"/>
  <c r="L114" i="2"/>
  <c r="M114" i="2"/>
  <c r="N114" i="2"/>
  <c r="O114" i="2"/>
  <c r="P114" i="2"/>
  <c r="Q114" i="2"/>
  <c r="R114" i="2"/>
  <c r="S114" i="2"/>
  <c r="T114" i="2"/>
  <c r="U114" i="2"/>
  <c r="J114" i="2"/>
  <c r="K113" i="2"/>
  <c r="L113" i="2"/>
  <c r="M113" i="2"/>
  <c r="N113" i="2"/>
  <c r="O113" i="2"/>
  <c r="P113" i="2"/>
  <c r="Q113" i="2"/>
  <c r="R113" i="2"/>
  <c r="S113" i="2"/>
  <c r="T113" i="2"/>
  <c r="U113" i="2"/>
  <c r="J113" i="2"/>
  <c r="K112" i="2"/>
  <c r="L112" i="2"/>
  <c r="M112" i="2"/>
  <c r="N112" i="2"/>
  <c r="O112" i="2"/>
  <c r="P112" i="2"/>
  <c r="Q112" i="2"/>
  <c r="R112" i="2"/>
  <c r="S112" i="2"/>
  <c r="T112" i="2"/>
  <c r="U112" i="2"/>
  <c r="J112" i="2"/>
  <c r="K111" i="2"/>
  <c r="L111" i="2"/>
  <c r="M111" i="2"/>
  <c r="N111" i="2"/>
  <c r="O111" i="2"/>
  <c r="P111" i="2"/>
  <c r="Q111" i="2"/>
  <c r="R111" i="2"/>
  <c r="S111" i="2"/>
  <c r="T111" i="2"/>
  <c r="U111" i="2"/>
  <c r="J111" i="2"/>
  <c r="K89" i="2"/>
  <c r="L89" i="2"/>
  <c r="M89" i="2"/>
  <c r="N89" i="2"/>
  <c r="O89" i="2"/>
  <c r="P89" i="2"/>
  <c r="Q89" i="2"/>
  <c r="R89" i="2"/>
  <c r="S89" i="2"/>
  <c r="T89" i="2"/>
  <c r="U89" i="2"/>
  <c r="J89" i="2"/>
  <c r="K88" i="2"/>
  <c r="L88" i="2"/>
  <c r="M88" i="2"/>
  <c r="N88" i="2"/>
  <c r="O88" i="2"/>
  <c r="P88" i="2"/>
  <c r="Q88" i="2"/>
  <c r="R88" i="2"/>
  <c r="S88" i="2"/>
  <c r="T88" i="2"/>
  <c r="U88" i="2"/>
  <c r="J88" i="2"/>
  <c r="K87" i="2"/>
  <c r="L87" i="2"/>
  <c r="M87" i="2"/>
  <c r="N87" i="2"/>
  <c r="O87" i="2"/>
  <c r="P87" i="2"/>
  <c r="Q87" i="2"/>
  <c r="R87" i="2"/>
  <c r="S87" i="2"/>
  <c r="T87" i="2"/>
  <c r="U87" i="2"/>
  <c r="J87" i="2"/>
  <c r="K84" i="2"/>
  <c r="L84" i="2"/>
  <c r="M84" i="2"/>
  <c r="N84" i="2"/>
  <c r="O84" i="2"/>
  <c r="P84" i="2"/>
  <c r="Q84" i="2"/>
  <c r="R84" i="2"/>
  <c r="S84" i="2"/>
  <c r="T84" i="2"/>
  <c r="U84" i="2"/>
  <c r="J84" i="2"/>
  <c r="K71" i="2"/>
  <c r="L71" i="2"/>
  <c r="M71" i="2"/>
  <c r="N71" i="2"/>
  <c r="O71" i="2"/>
  <c r="P71" i="2"/>
  <c r="Q71" i="2"/>
  <c r="R71" i="2"/>
  <c r="S71" i="2"/>
  <c r="T71" i="2"/>
  <c r="U71" i="2"/>
  <c r="K70" i="2"/>
  <c r="L70" i="2"/>
  <c r="M70" i="2"/>
  <c r="N70" i="2"/>
  <c r="O70" i="2"/>
  <c r="P70" i="2"/>
  <c r="Q70" i="2"/>
  <c r="R70" i="2"/>
  <c r="S70" i="2"/>
  <c r="T70" i="2"/>
  <c r="U70" i="2"/>
  <c r="J70" i="2"/>
  <c r="K50" i="2" l="1"/>
  <c r="L50" i="2"/>
  <c r="M50" i="2"/>
  <c r="N50" i="2"/>
  <c r="O50" i="2"/>
  <c r="P50" i="2"/>
  <c r="Q50" i="2"/>
  <c r="R50" i="2"/>
  <c r="S50" i="2"/>
  <c r="T50" i="2"/>
  <c r="U50" i="2"/>
  <c r="J50" i="2"/>
  <c r="K49" i="2"/>
  <c r="L49" i="2"/>
  <c r="M49" i="2"/>
  <c r="N49" i="2"/>
  <c r="O49" i="2"/>
  <c r="P49" i="2"/>
  <c r="Q49" i="2"/>
  <c r="R49" i="2"/>
  <c r="S49" i="2"/>
  <c r="T49" i="2"/>
  <c r="U49" i="2"/>
  <c r="J49" i="2"/>
  <c r="K48" i="2"/>
  <c r="L48" i="2"/>
  <c r="M48" i="2"/>
  <c r="N48" i="2"/>
  <c r="O48" i="2"/>
  <c r="P48" i="2"/>
  <c r="Q48" i="2"/>
  <c r="R48" i="2"/>
  <c r="S48" i="2"/>
  <c r="T48" i="2"/>
  <c r="U48" i="2"/>
  <c r="J48" i="2"/>
  <c r="K45" i="2"/>
  <c r="L45" i="2"/>
  <c r="M45" i="2"/>
  <c r="N45" i="2"/>
  <c r="O45" i="2"/>
  <c r="P45" i="2"/>
  <c r="Q45" i="2"/>
  <c r="R45" i="2"/>
  <c r="S45" i="2"/>
  <c r="T45" i="2"/>
  <c r="U45" i="2"/>
  <c r="J45" i="2"/>
  <c r="K42" i="2"/>
  <c r="L42" i="2"/>
  <c r="M42" i="2"/>
  <c r="N42" i="2"/>
  <c r="O42" i="2"/>
  <c r="P42" i="2"/>
  <c r="Q42" i="2"/>
  <c r="R42" i="2"/>
  <c r="S42" i="2"/>
  <c r="T42" i="2"/>
  <c r="U42" i="2"/>
  <c r="J42" i="2"/>
  <c r="K41" i="2"/>
  <c r="L41" i="2"/>
  <c r="M41" i="2"/>
  <c r="N41" i="2"/>
  <c r="O41" i="2"/>
  <c r="P41" i="2"/>
  <c r="Q41" i="2"/>
  <c r="R41" i="2"/>
  <c r="S41" i="2"/>
  <c r="T41" i="2"/>
  <c r="U41" i="2"/>
  <c r="J41" i="2"/>
  <c r="K40" i="2"/>
  <c r="L40" i="2"/>
  <c r="M40" i="2"/>
  <c r="O40" i="2"/>
  <c r="P40" i="2"/>
  <c r="Q40" i="2"/>
  <c r="R40" i="2"/>
  <c r="S40" i="2"/>
  <c r="T40" i="2"/>
  <c r="U40" i="2"/>
  <c r="J40" i="2"/>
  <c r="K39" i="2"/>
  <c r="L39" i="2"/>
  <c r="M39" i="2"/>
  <c r="N39" i="2"/>
  <c r="O39" i="2"/>
  <c r="P39" i="2"/>
  <c r="Q39" i="2"/>
  <c r="R39" i="2"/>
  <c r="S39" i="2"/>
  <c r="T39" i="2"/>
  <c r="U39" i="2"/>
  <c r="J39" i="2"/>
  <c r="K38" i="2"/>
  <c r="L38" i="2"/>
  <c r="M38" i="2"/>
  <c r="N38" i="2"/>
  <c r="O38" i="2"/>
  <c r="P38" i="2"/>
  <c r="Q38" i="2"/>
  <c r="R38" i="2"/>
  <c r="S38" i="2"/>
  <c r="T38" i="2"/>
  <c r="U38" i="2"/>
  <c r="J38" i="2"/>
  <c r="K37" i="2"/>
  <c r="L37" i="2"/>
  <c r="N37" i="2"/>
  <c r="O37" i="2"/>
  <c r="P37" i="2"/>
  <c r="Q37" i="2"/>
  <c r="R37" i="2"/>
  <c r="S37" i="2"/>
  <c r="T37" i="2"/>
  <c r="U37" i="2"/>
  <c r="J37" i="2"/>
  <c r="K36" i="2"/>
  <c r="L36" i="2"/>
  <c r="M36" i="2"/>
  <c r="N36" i="2"/>
  <c r="O36" i="2"/>
  <c r="P36" i="2"/>
  <c r="Q36" i="2"/>
  <c r="R36" i="2"/>
  <c r="S36" i="2"/>
  <c r="T36" i="2"/>
  <c r="U36" i="2"/>
  <c r="J36" i="2"/>
  <c r="K35" i="2"/>
  <c r="L35" i="2"/>
  <c r="N35" i="2"/>
  <c r="O35" i="2"/>
  <c r="P35" i="2"/>
  <c r="Q35" i="2"/>
  <c r="R35" i="2"/>
  <c r="S35" i="2"/>
  <c r="T35" i="2"/>
  <c r="U35" i="2"/>
  <c r="J35" i="2"/>
  <c r="K34" i="2"/>
  <c r="L34" i="2"/>
  <c r="M34" i="2"/>
  <c r="N34" i="2"/>
  <c r="O34" i="2"/>
  <c r="P34" i="2"/>
  <c r="Q34" i="2"/>
  <c r="R34" i="2"/>
  <c r="S34" i="2"/>
  <c r="T34" i="2"/>
  <c r="U34" i="2"/>
  <c r="J34" i="2"/>
  <c r="K33" i="2"/>
  <c r="L33" i="2"/>
  <c r="M33" i="2"/>
  <c r="N33" i="2"/>
  <c r="O33" i="2"/>
  <c r="P33" i="2"/>
  <c r="Q33" i="2"/>
  <c r="R33" i="2"/>
  <c r="S33" i="2"/>
  <c r="T33" i="2"/>
  <c r="U33" i="2"/>
  <c r="J33" i="2"/>
  <c r="K32" i="2"/>
  <c r="L32" i="2"/>
  <c r="M32" i="2"/>
  <c r="N32" i="2"/>
  <c r="O32" i="2"/>
  <c r="P32" i="2"/>
  <c r="Q32" i="2"/>
  <c r="R32" i="2"/>
  <c r="S32" i="2"/>
  <c r="T32" i="2"/>
  <c r="U32" i="2"/>
  <c r="J32" i="2"/>
  <c r="K51" i="2"/>
  <c r="L51" i="2"/>
  <c r="N51" i="2"/>
  <c r="O51" i="2"/>
  <c r="P51" i="2"/>
  <c r="Q51" i="2"/>
  <c r="R51" i="2"/>
  <c r="S51" i="2"/>
  <c r="T51" i="2"/>
  <c r="U51" i="2"/>
  <c r="J51" i="2"/>
  <c r="K47" i="2"/>
  <c r="L47" i="2"/>
  <c r="M47" i="2"/>
  <c r="N47" i="2"/>
  <c r="O47" i="2"/>
  <c r="P47" i="2"/>
  <c r="Q47" i="2"/>
  <c r="R47" i="2"/>
  <c r="S47" i="2"/>
  <c r="T47" i="2"/>
  <c r="U47" i="2"/>
  <c r="J47" i="2"/>
  <c r="K46" i="2"/>
  <c r="L46" i="2"/>
  <c r="M46" i="2"/>
  <c r="N46" i="2"/>
  <c r="O46" i="2"/>
  <c r="P46" i="2"/>
  <c r="Q46" i="2"/>
  <c r="R46" i="2"/>
  <c r="S46" i="2"/>
  <c r="T46" i="2"/>
  <c r="U46" i="2"/>
  <c r="J46" i="2"/>
  <c r="K44" i="2"/>
  <c r="L44" i="2"/>
  <c r="N44" i="2"/>
  <c r="O44" i="2"/>
  <c r="P44" i="2"/>
  <c r="Q44" i="2"/>
  <c r="R44" i="2"/>
  <c r="S44" i="2"/>
  <c r="T44" i="2"/>
  <c r="U44" i="2"/>
  <c r="J44" i="2"/>
  <c r="K31" i="2"/>
  <c r="L31" i="2"/>
  <c r="N31" i="2"/>
  <c r="O31" i="2"/>
  <c r="P31" i="2"/>
  <c r="Q31" i="2"/>
  <c r="R31" i="2"/>
  <c r="S31" i="2"/>
  <c r="T31" i="2"/>
  <c r="U31" i="2"/>
  <c r="J31" i="2"/>
  <c r="K30" i="2"/>
  <c r="L30" i="2"/>
  <c r="M30" i="2"/>
  <c r="N30" i="2"/>
  <c r="O30" i="2"/>
  <c r="P30" i="2"/>
  <c r="Q30" i="2"/>
  <c r="R30" i="2"/>
  <c r="S30" i="2"/>
  <c r="T30" i="2"/>
  <c r="U30" i="2"/>
  <c r="K21" i="2" l="1"/>
  <c r="L21" i="2"/>
  <c r="M21" i="2"/>
  <c r="N21" i="2"/>
  <c r="O21" i="2"/>
  <c r="P21" i="2"/>
  <c r="Q21" i="2"/>
  <c r="R21" i="2"/>
  <c r="S21" i="2"/>
  <c r="T21" i="2"/>
  <c r="U21" i="2"/>
  <c r="J21" i="2"/>
  <c r="K20" i="2"/>
  <c r="L20" i="2"/>
  <c r="M20" i="2"/>
  <c r="N20" i="2"/>
  <c r="O20" i="2"/>
  <c r="P20" i="2"/>
  <c r="Q20" i="2"/>
  <c r="R20" i="2"/>
  <c r="S20" i="2"/>
  <c r="T20" i="2"/>
  <c r="U20" i="2"/>
  <c r="J20" i="2"/>
  <c r="K19" i="2"/>
  <c r="L19" i="2"/>
  <c r="M19" i="2"/>
  <c r="N19" i="2"/>
  <c r="O19" i="2"/>
  <c r="P19" i="2"/>
  <c r="Q19" i="2"/>
  <c r="R19" i="2"/>
  <c r="S19" i="2"/>
  <c r="T19" i="2"/>
  <c r="U19" i="2"/>
  <c r="J19" i="2"/>
  <c r="K18" i="2"/>
  <c r="L18" i="2"/>
  <c r="M18" i="2"/>
  <c r="N18" i="2"/>
  <c r="O18" i="2"/>
  <c r="P18" i="2"/>
  <c r="Q18" i="2"/>
  <c r="R18" i="2"/>
  <c r="S18" i="2"/>
  <c r="T18" i="2"/>
  <c r="U18" i="2"/>
  <c r="J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B11" authorId="0" shapeId="0" xr:uid="{18C64DC1-D207-49AF-9A49-662E8D0360DC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Indice DPD</t>
        </r>
      </text>
    </comment>
    <comment ref="C11" authorId="0" shapeId="0" xr:uid="{B68C99C7-4160-41A9-AE54-F7BD0299CE72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Indice DPD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B43" authorId="0" shapeId="0" xr:uid="{9976E4B1-6364-4210-9CB9-AA10C52694BA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Ancien M048</t>
        </r>
      </text>
    </comment>
    <comment ref="H46" authorId="0" shapeId="0" xr:uid="{A044D580-60C1-4B89-BBCF-87B01E69F3B6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Modif au 01/02/2026</t>
        </r>
      </text>
    </comment>
    <comment ref="F133" authorId="0" shapeId="0" xr:uid="{4DBCFBEC-0010-4A70-8209-4AD608176A5A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4" authorId="0" shapeId="0" xr:uid="{615642D9-5906-4CC5-8EFB-B1FF7219D3B9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5" authorId="0" shapeId="0" xr:uid="{71C67DF9-C7A7-494B-BCD0-AEB2A2ACEB01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6" authorId="0" shapeId="0" xr:uid="{719E50BE-E7E7-4C9C-9281-6112B48010A9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7" authorId="0" shapeId="0" xr:uid="{C0021149-945C-47C7-BD0E-AE0D1A6D9B7A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8" authorId="0" shapeId="0" xr:uid="{98BD2F2D-6D02-432E-9CEF-D3D396FA864D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39" authorId="0" shapeId="0" xr:uid="{9DC7D701-6482-4F37-8744-9A4E3BAF1BC6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0" authorId="0" shapeId="0" xr:uid="{6D253699-7F95-459B-B3E4-5318DC26C718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1" authorId="0" shapeId="0" xr:uid="{7BBDFF9F-7314-4872-A05D-4617725141E5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4" authorId="0" shapeId="0" xr:uid="{0DE14209-EC35-4E49-B409-B5FB6B835E1B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5" authorId="0" shapeId="0" xr:uid="{27D70FF3-B76A-4AF7-9EE8-20C3C3525E3C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6" authorId="0" shapeId="0" xr:uid="{8596716E-C659-4C11-9A05-9F1606118EFF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7" authorId="0" shapeId="0" xr:uid="{F7745C00-D886-413F-A5F0-9602A318C0F0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8" authorId="0" shapeId="0" xr:uid="{286E90BF-81A0-474D-A2DF-D6FA7B216879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49" authorId="0" shapeId="0" xr:uid="{8BDECCE7-4060-421B-981C-F334827617D6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F151" authorId="0" shapeId="0" xr:uid="{152DB786-F0FB-4CED-99FB-CAC3F748FEC4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 changer tous les ans en fonction CNR</t>
        </r>
      </text>
    </comment>
    <comment ref="B160" authorId="0" shapeId="0" xr:uid="{30E4C4AF-CC97-4F95-9DFE-0DBADE5F8CAF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Démarrage 14/04/2025</t>
        </r>
      </text>
    </comment>
    <comment ref="D161" authorId="0" shapeId="0" xr:uid="{973F8D2F-C078-466C-83E9-71066741E811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Aout 2014
Changement indice Mars 2026
CNR GO PRO</t>
        </r>
      </text>
    </comment>
    <comment ref="F161" authorId="0" shapeId="0" xr:uid="{DFA33CFD-8FF8-4CBB-A413-F6BAC2CF411C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Changement pondération =&gt; aplliqué celle du CNR, ancien 33%
 </t>
        </r>
      </text>
    </comment>
    <comment ref="B164" authorId="0" shapeId="0" xr:uid="{3A8EB2CD-C7D6-479D-B752-DA6712BEA3D2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Neutralisation entre-2% et +2%
</t>
        </r>
      </text>
    </comment>
    <comment ref="D167" authorId="0" shapeId="0" xr:uid="{12AD5C2A-D10B-4729-9499-54B699E89457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Juillet 2024
</t>
        </r>
      </text>
    </comment>
  </commentList>
</comments>
</file>

<file path=xl/sharedStrings.xml><?xml version="1.0" encoding="utf-8"?>
<sst xmlns="http://schemas.openxmlformats.org/spreadsheetml/2006/main" count="839" uniqueCount="286">
  <si>
    <t>CNR Base 100 Décembre 2000</t>
  </si>
  <si>
    <t>Indice CNR gazole professionnel</t>
  </si>
  <si>
    <t>Indice CNR gazole hors TVA</t>
  </si>
  <si>
    <r>
      <t xml:space="preserve">Prix CNR gazole </t>
    </r>
    <r>
      <rPr>
        <b/>
        <sz val="16"/>
        <color theme="1"/>
        <rFont val="Aptos Narrow"/>
        <family val="2"/>
        <scheme val="minor"/>
      </rPr>
      <t>CUVE</t>
    </r>
    <r>
      <rPr>
        <b/>
        <sz val="14"/>
        <color theme="1"/>
        <rFont val="Aptos Narrow"/>
        <family val="2"/>
        <scheme val="minor"/>
      </rPr>
      <t xml:space="preserve"> moyenne mensuelle</t>
    </r>
  </si>
  <si>
    <t>Prix CNR gazole cuve fin de mois</t>
  </si>
  <si>
    <t>Indice CNR carburant GNV</t>
  </si>
  <si>
    <t>ENGIE Hors TICGN COMPTE VIAPOST</t>
  </si>
  <si>
    <t>AS 24 - Carburant BIO GNC - Tarif PARNASS</t>
  </si>
  <si>
    <t>ENGIE - Carburant GNC L - Tarif PARNASS</t>
  </si>
  <si>
    <t>ENGIE - Carburant BIO GNC - Tarif PARNASS</t>
  </si>
  <si>
    <t>ENGIE - Carburant GNL - Tarif PARNASS</t>
  </si>
  <si>
    <t>AS 24 - Carburant GO - Tarif PARNASS</t>
  </si>
  <si>
    <t>Indice CNR   Carburant groupe froid autonome GNR</t>
  </si>
  <si>
    <t>VIAPOST</t>
  </si>
  <si>
    <t>Jours</t>
  </si>
  <si>
    <t>Ouvrables</t>
  </si>
  <si>
    <t>Ouvrés</t>
  </si>
  <si>
    <t>CLIENTS</t>
  </si>
  <si>
    <t>Contrats</t>
  </si>
  <si>
    <t>Code Facturation</t>
  </si>
  <si>
    <t>Indice de Référence</t>
  </si>
  <si>
    <t>Base indice</t>
  </si>
  <si>
    <t>Pondération</t>
  </si>
  <si>
    <t>Mode de Facturation IGO</t>
  </si>
  <si>
    <t>Valeur de Réf.</t>
  </si>
  <si>
    <t>CAT</t>
  </si>
  <si>
    <t>IVELI_FRIDF SR1</t>
  </si>
  <si>
    <t>CNR GO PRO M-1</t>
  </si>
  <si>
    <t>% Pied de facture</t>
  </si>
  <si>
    <t>JCBBO_FRIDF</t>
  </si>
  <si>
    <t>CEVA LOGISTIC</t>
  </si>
  <si>
    <t>CEVA GENNEVILLIERS</t>
  </si>
  <si>
    <t>CEVAGEN</t>
  </si>
  <si>
    <t>?</t>
  </si>
  <si>
    <t>CEVA MOISSY</t>
  </si>
  <si>
    <t>CEVAMOI</t>
  </si>
  <si>
    <t>CHRONOPOST CHILLY</t>
  </si>
  <si>
    <t>40U62 - Conforma / MGF</t>
  </si>
  <si>
    <t>CHCMZ</t>
  </si>
  <si>
    <t>PMM M-1</t>
  </si>
  <si>
    <t>Sur Km</t>
  </si>
  <si>
    <t>40U71 - Alloga</t>
  </si>
  <si>
    <t>40U72 - Dyson</t>
  </si>
  <si>
    <t>40U76 - AMAZON (HNI)</t>
  </si>
  <si>
    <t>40U76 - AMAZON (CMZ)</t>
  </si>
  <si>
    <t>40U88 (Gaz) - CDISCOUNT CMZ</t>
  </si>
  <si>
    <t>40U88 (Gaz) - CDISCOUNT HNI</t>
  </si>
  <si>
    <t>40U96</t>
  </si>
  <si>
    <t>CHRONOPOST HNI</t>
  </si>
  <si>
    <t>23R03</t>
  </si>
  <si>
    <t>CHAUL</t>
  </si>
  <si>
    <t>23R68</t>
  </si>
  <si>
    <t>23R67</t>
  </si>
  <si>
    <t>CHRONOPOST RESEAU</t>
  </si>
  <si>
    <t>SWAP GAZ</t>
  </si>
  <si>
    <t>CHRON</t>
  </si>
  <si>
    <t>CNR GNV M-1/100</t>
  </si>
  <si>
    <t>SWAP GO</t>
  </si>
  <si>
    <t>SPL GAZ</t>
  </si>
  <si>
    <t>SPL GO</t>
  </si>
  <si>
    <t>CHRONOPOST ROISSY</t>
  </si>
  <si>
    <t>CHROI</t>
  </si>
  <si>
    <t>COLISSIMO</t>
  </si>
  <si>
    <t>CTRT 202213366</t>
  </si>
  <si>
    <t>CSPN</t>
  </si>
  <si>
    <t>PARC</t>
  </si>
  <si>
    <t>GEN202212891SLOT04</t>
  </si>
  <si>
    <t>Variation TK</t>
  </si>
  <si>
    <t>IDFLTHCGENC9595</t>
  </si>
  <si>
    <t>IDFN-DOT-00A-CM</t>
  </si>
  <si>
    <t>CNR GNV M-1</t>
  </si>
  <si>
    <t>IDFN-LTH-004-CM</t>
  </si>
  <si>
    <t>IDFN-LTH-007-CM</t>
  </si>
  <si>
    <t>IDFN-LTH-009-S33</t>
  </si>
  <si>
    <t>IDFN-LTH-011-CM</t>
  </si>
  <si>
    <t>IDFN-LTH-014-CM</t>
  </si>
  <si>
    <t>IDFN-LTH-016-S33</t>
  </si>
  <si>
    <t>IDFN-LTH-017-S33</t>
  </si>
  <si>
    <t>IDFN-LTH-081-CM</t>
  </si>
  <si>
    <t>IDFS-MJD-88-CM</t>
  </si>
  <si>
    <t>IDFS-MOI-136-S33</t>
  </si>
  <si>
    <t>IZPFC69SLM090</t>
  </si>
  <si>
    <t>Astreinte</t>
  </si>
  <si>
    <t>LII043C9267CR</t>
  </si>
  <si>
    <t>LIN128C9562AR</t>
  </si>
  <si>
    <t>LIN177C6238CR</t>
  </si>
  <si>
    <t>LIO087C9541AR</t>
  </si>
  <si>
    <t>LIO088C9541AR</t>
  </si>
  <si>
    <t>LIO099C7741AR</t>
  </si>
  <si>
    <t>LIS124C7769CR</t>
  </si>
  <si>
    <t>Variation Tx Horaire</t>
  </si>
  <si>
    <t>LOT 08 - Porteur de Cour NANTERRE</t>
  </si>
  <si>
    <t>IDFN-LTH-017-CM</t>
  </si>
  <si>
    <t>IDFS-MOI-307-CM</t>
  </si>
  <si>
    <t>IDFN-LTH-115-CM</t>
  </si>
  <si>
    <t>LIO124S7741AR</t>
  </si>
  <si>
    <t>DACHSER CERGY</t>
  </si>
  <si>
    <t>532_FT_113</t>
  </si>
  <si>
    <t>DACER</t>
  </si>
  <si>
    <t>CMM M-1</t>
  </si>
  <si>
    <t>532_FT_148</t>
  </si>
  <si>
    <t>532_FT_151</t>
  </si>
  <si>
    <t>532_FT_25</t>
  </si>
  <si>
    <t>532_FT_445</t>
  </si>
  <si>
    <t>Dachser HOLNON</t>
  </si>
  <si>
    <t>537_FT_141</t>
  </si>
  <si>
    <t>DASTQ</t>
  </si>
  <si>
    <t>NAVETTE LC</t>
  </si>
  <si>
    <t>DACHSER PANTIN</t>
  </si>
  <si>
    <t>567_FT_423</t>
  </si>
  <si>
    <t>DAPAN</t>
  </si>
  <si>
    <t>DACHSER STRASBOURG</t>
  </si>
  <si>
    <t>538_FT_70</t>
  </si>
  <si>
    <t>DASTR</t>
  </si>
  <si>
    <t xml:space="preserve">DACHSER VILLEPARISIS </t>
  </si>
  <si>
    <t>535_FT_297</t>
  </si>
  <si>
    <t>DACHS</t>
  </si>
  <si>
    <t>535_FT_378</t>
  </si>
  <si>
    <t>535_FT_5048</t>
  </si>
  <si>
    <t>T 962</t>
  </si>
  <si>
    <t>T 964</t>
  </si>
  <si>
    <t>T963</t>
  </si>
  <si>
    <t>DACHSER WISSOUS</t>
  </si>
  <si>
    <t>534_FT_115</t>
  </si>
  <si>
    <t>DAWIS</t>
  </si>
  <si>
    <t>534_FT_5022</t>
  </si>
  <si>
    <t>DGF</t>
  </si>
  <si>
    <t>DHL AVIATION</t>
  </si>
  <si>
    <t>DHLAV</t>
  </si>
  <si>
    <t>DHL EUROAD</t>
  </si>
  <si>
    <t>COST CENTER 925201</t>
  </si>
  <si>
    <t>DHLGM</t>
  </si>
  <si>
    <t>DHL EXPRESS</t>
  </si>
  <si>
    <t>CONTRAT FRD</t>
  </si>
  <si>
    <t>DHLINT</t>
  </si>
  <si>
    <t>COURSE-SPL</t>
  </si>
  <si>
    <t>PRESTATIONS IDF GAZ</t>
  </si>
  <si>
    <t>PRESTATIONS IDF GO</t>
  </si>
  <si>
    <t>PRESTATIONS LYON GO</t>
  </si>
  <si>
    <t>DHL FREIGHT</t>
  </si>
  <si>
    <t>DHLFREI</t>
  </si>
  <si>
    <t>DPD 78</t>
  </si>
  <si>
    <t>DPD078</t>
  </si>
  <si>
    <t>EXAPAQ</t>
  </si>
  <si>
    <t>095_175_095</t>
  </si>
  <si>
    <t>078 MINOLTA</t>
  </si>
  <si>
    <t>078_175_076_175_078</t>
  </si>
  <si>
    <t>078_Ramasses_078_175_078</t>
  </si>
  <si>
    <t xml:space="preserve">Amblainville </t>
  </si>
  <si>
    <t>Vemars</t>
  </si>
  <si>
    <t>FEDEX AGENCE TREMBLAY</t>
  </si>
  <si>
    <t>R404</t>
  </si>
  <si>
    <t>FEDEX</t>
  </si>
  <si>
    <t>????</t>
  </si>
  <si>
    <t>R528</t>
  </si>
  <si>
    <t>R487</t>
  </si>
  <si>
    <t>R488</t>
  </si>
  <si>
    <t>FEDEX LBG</t>
  </si>
  <si>
    <t>FRT91A-1110614-2 (indice 202,73)</t>
  </si>
  <si>
    <t>CNR GO PRO M-2</t>
  </si>
  <si>
    <r>
      <t xml:space="preserve">FRT91A-1110614-2 </t>
    </r>
    <r>
      <rPr>
        <b/>
        <sz val="11"/>
        <color theme="1"/>
        <rFont val="Aptos Narrow"/>
        <family val="2"/>
        <scheme val="minor"/>
      </rPr>
      <t>(FRT03850)</t>
    </r>
  </si>
  <si>
    <t>FRT91A-1110614-2 (indice 188,39)</t>
  </si>
  <si>
    <r>
      <t xml:space="preserve">FRT91A-1110614-2 </t>
    </r>
    <r>
      <rPr>
        <b/>
        <sz val="11"/>
        <color theme="1"/>
        <rFont val="Aptos Narrow"/>
        <family val="2"/>
        <scheme val="minor"/>
      </rPr>
      <t>(FRT04272)</t>
    </r>
  </si>
  <si>
    <r>
      <t xml:space="preserve">FRT91A-1110614-2 </t>
    </r>
    <r>
      <rPr>
        <b/>
        <sz val="11"/>
        <color theme="1"/>
        <rFont val="Aptos Narrow"/>
        <family val="2"/>
        <scheme val="minor"/>
      </rPr>
      <t>(FRT03910-03932)</t>
    </r>
  </si>
  <si>
    <t>FRTLY4-1110567-1</t>
  </si>
  <si>
    <t>FRTNY4-1110517-1</t>
  </si>
  <si>
    <t>FRT91A-1110614-2 (indice 195,67)</t>
  </si>
  <si>
    <t>FEDEX Réseau Acheminement</t>
  </si>
  <si>
    <t>AIDF40</t>
  </si>
  <si>
    <t>A5167</t>
  </si>
  <si>
    <t>A5136</t>
  </si>
  <si>
    <t>A5164</t>
  </si>
  <si>
    <t>A5166</t>
  </si>
  <si>
    <t>A5170</t>
  </si>
  <si>
    <t>AIDF22</t>
  </si>
  <si>
    <t>GLS</t>
  </si>
  <si>
    <t>Troyes - Fleury</t>
  </si>
  <si>
    <t>GLSMES</t>
  </si>
  <si>
    <t>MAD COMBS - RP59177</t>
  </si>
  <si>
    <t>GLSTLS</t>
  </si>
  <si>
    <t>LOT 04 - RP7891951</t>
  </si>
  <si>
    <t>LOT 05 - RP789610</t>
  </si>
  <si>
    <t>LOT 03 - RP959193</t>
  </si>
  <si>
    <t>RP955912 - RP955913</t>
  </si>
  <si>
    <t>HEPPNER</t>
  </si>
  <si>
    <t>T0944040202501</t>
  </si>
  <si>
    <t>HEPPNSP</t>
  </si>
  <si>
    <t>T4237740202501</t>
  </si>
  <si>
    <t>HEPPNRUN</t>
  </si>
  <si>
    <t>MONDIAL RELAY</t>
  </si>
  <si>
    <t>010061 - T10061</t>
  </si>
  <si>
    <t>SCHENKER</t>
  </si>
  <si>
    <t>7797-1</t>
  </si>
  <si>
    <t>DBSCHENKER</t>
  </si>
  <si>
    <t>9293-4</t>
  </si>
  <si>
    <t>9777-2</t>
  </si>
  <si>
    <t>TAB</t>
  </si>
  <si>
    <t>Caisse Mobile</t>
  </si>
  <si>
    <t>Ensemble</t>
  </si>
  <si>
    <t>UPS</t>
  </si>
  <si>
    <t>Navette AMAZON (AS/AR)</t>
  </si>
  <si>
    <t>PA 06</t>
  </si>
  <si>
    <t>PA 07</t>
  </si>
  <si>
    <t>PA 18</t>
  </si>
  <si>
    <t>E 951</t>
  </si>
  <si>
    <t>PA 94</t>
  </si>
  <si>
    <t>PA 95</t>
  </si>
  <si>
    <t>PA 22</t>
  </si>
  <si>
    <t>DJ 21</t>
  </si>
  <si>
    <t>DJ 25</t>
  </si>
  <si>
    <t>E 782</t>
  </si>
  <si>
    <t>E 721</t>
  </si>
  <si>
    <t>E 371</t>
  </si>
  <si>
    <t>AZC1 Reau - Evry</t>
  </si>
  <si>
    <t>LL 01</t>
  </si>
  <si>
    <t>VIAPOST COURRIER</t>
  </si>
  <si>
    <t>EZN104S7691AR</t>
  </si>
  <si>
    <t>EZN105S9376AR</t>
  </si>
  <si>
    <t>EZS071S6994MI</t>
  </si>
  <si>
    <t>VIAPOST PRESSE</t>
  </si>
  <si>
    <t>LOT 163</t>
  </si>
  <si>
    <t>LOT 164</t>
  </si>
  <si>
    <t>LOT 168</t>
  </si>
  <si>
    <t>LOT 170</t>
  </si>
  <si>
    <t>ENGIE VIAPOST M-1</t>
  </si>
  <si>
    <t>VENTE UNIQUE</t>
  </si>
  <si>
    <t>Amblainville - GARONOR</t>
  </si>
  <si>
    <t>Demarrage en SPOT</t>
  </si>
  <si>
    <t>MAUSER</t>
  </si>
  <si>
    <t>MAD MONTATAIRE</t>
  </si>
  <si>
    <t xml:space="preserve">Calcul Tarif VIAPOST ENGIE </t>
  </si>
  <si>
    <t>Tarif Négocié</t>
  </si>
  <si>
    <t>indexation</t>
  </si>
  <si>
    <t>%</t>
  </si>
  <si>
    <t>réf 170.10</t>
  </si>
  <si>
    <t>VL GO</t>
  </si>
  <si>
    <t>ASM2</t>
  </si>
  <si>
    <t>CN02</t>
  </si>
  <si>
    <t>EZN158S5993AS</t>
  </si>
  <si>
    <t>ALYSIA</t>
  </si>
  <si>
    <t>Navette Orly - Roissy</t>
  </si>
  <si>
    <t>HEPPNER 95</t>
  </si>
  <si>
    <t xml:space="preserve">MAD </t>
  </si>
  <si>
    <t xml:space="preserve"> </t>
  </si>
  <si>
    <t>AR Cergy - Pantin</t>
  </si>
  <si>
    <t>LIN198S7776AS</t>
  </si>
  <si>
    <t>IDFS-MJD-104-S33</t>
  </si>
  <si>
    <t>IDFS-MJD-106-S33</t>
  </si>
  <si>
    <t>IDFS-MJD-207-CM</t>
  </si>
  <si>
    <t>PA16</t>
  </si>
  <si>
    <t>ASE5</t>
  </si>
  <si>
    <t>INDICE   2026</t>
  </si>
  <si>
    <t>INDEXATION CARBURANT Clients 2026</t>
  </si>
  <si>
    <t>LRCDGORY01</t>
  </si>
  <si>
    <t>LRCDGORY02</t>
  </si>
  <si>
    <t>MAUSE</t>
  </si>
  <si>
    <t>VENTEUN</t>
  </si>
  <si>
    <t>HEPPNGON</t>
  </si>
  <si>
    <t>MONDIAL</t>
  </si>
  <si>
    <t>DIREM à partir de Janvier 2026</t>
  </si>
  <si>
    <t>COLIS PRIVE</t>
  </si>
  <si>
    <t>FTL</t>
  </si>
  <si>
    <t>Prix gazole pompe fin de mois (DIREM)</t>
  </si>
  <si>
    <t>-</t>
  </si>
  <si>
    <t>DIREM</t>
  </si>
  <si>
    <r>
      <t xml:space="preserve">Prix gazole </t>
    </r>
    <r>
      <rPr>
        <b/>
        <sz val="16"/>
        <color theme="1"/>
        <rFont val="Aptos Narrow"/>
        <family val="2"/>
        <scheme val="minor"/>
      </rPr>
      <t>POMPE</t>
    </r>
    <r>
      <rPr>
        <b/>
        <sz val="14"/>
        <color theme="1"/>
        <rFont val="Aptos Narrow"/>
        <family val="2"/>
        <scheme val="minor"/>
      </rPr>
      <t xml:space="preserve"> moyenne mensuelle (DIREM)</t>
    </r>
  </si>
  <si>
    <t>527_535_FT_425</t>
  </si>
  <si>
    <t>PMM DIREM M-1</t>
  </si>
  <si>
    <t>DIREM du mois M</t>
  </si>
  <si>
    <t>CNR GO PRO M</t>
  </si>
  <si>
    <t>GEODIS BRIE</t>
  </si>
  <si>
    <t>MADFTL</t>
  </si>
  <si>
    <t>FTLGROUP</t>
  </si>
  <si>
    <t>COLISP</t>
  </si>
  <si>
    <t>HUB19CCE27</t>
  </si>
  <si>
    <t>AUCHAN</t>
  </si>
  <si>
    <t>MAD Double Poste</t>
  </si>
  <si>
    <t>Remise Partiel TICPE Forfait</t>
  </si>
  <si>
    <t>REMISE PARTIEL TICPE AUCHAN</t>
  </si>
  <si>
    <t>CMM M-1 (-TICPE)</t>
  </si>
  <si>
    <t>DIREM M-1</t>
  </si>
  <si>
    <t>LIN204C9576AR</t>
  </si>
  <si>
    <t>LIN205C9576AR</t>
  </si>
  <si>
    <t>RP9477TP2</t>
  </si>
  <si>
    <t>CNR GO PRO HTVA M</t>
  </si>
  <si>
    <t>PPT03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</si>
</sst>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%"/>
    <numFmt numFmtId="167" formatCode="0.000%"/>
    <numFmt numFmtId="168" formatCode="0.0%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9" tint="-0.499984740745262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i/>
      <sz val="12"/>
      <color rgb="FF0070C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lightDown">
        <bgColor rgb="FF002060"/>
      </patternFill>
    </fill>
    <fill>
      <patternFill patternType="solid">
        <fgColor rgb="FF92D050"/>
        <bgColor indexed="64"/>
      </patternFill>
    </fill>
    <fill>
      <patternFill patternType="lightDown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lightDown"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21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1" xfId="0" applyFont="1" applyBorder="1"/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3" xfId="0" applyFont="1" applyBorder="1"/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6" xfId="0" applyFont="1" applyBorder="1"/>
    <xf numFmtId="0" fontId="1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7" borderId="0" xfId="0" applyFill="1"/>
    <xf numFmtId="0" fontId="0" fillId="0" borderId="0" xfId="0" applyAlignment="1">
      <alignment horizontal="left"/>
    </xf>
    <xf numFmtId="164" fontId="19" fillId="9" borderId="0" xfId="0" applyNumberFormat="1" applyFont="1" applyFill="1"/>
    <xf numFmtId="0" fontId="0" fillId="8" borderId="1" xfId="0" applyFill="1" applyBorder="1" applyAlignment="1">
      <alignment horizontal="center" vertical="center"/>
    </xf>
    <xf numFmtId="10" fontId="16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10" fontId="1" fillId="0" borderId="0" xfId="1" applyNumberFormat="1" applyFont="1" applyBorder="1" applyAlignment="1">
      <alignment horizontal="center"/>
    </xf>
    <xf numFmtId="10" fontId="16" fillId="0" borderId="0" xfId="1" applyNumberFormat="1" applyFont="1" applyBorder="1" applyAlignment="1">
      <alignment horizontal="center"/>
    </xf>
    <xf numFmtId="164" fontId="16" fillId="0" borderId="1" xfId="1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0" fontId="0" fillId="11" borderId="1" xfId="0" applyNumberForma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7" fontId="3" fillId="12" borderId="1" xfId="0" applyNumberFormat="1" applyFont="1" applyFill="1" applyBorder="1" applyAlignment="1">
      <alignment horizontal="center"/>
    </xf>
    <xf numFmtId="17" fontId="8" fillId="0" borderId="8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/>
    <xf numFmtId="164" fontId="0" fillId="8" borderId="1" xfId="0" applyNumberFormat="1" applyFill="1" applyBorder="1" applyAlignment="1">
      <alignment horizontal="center"/>
    </xf>
    <xf numFmtId="0" fontId="0" fillId="10" borderId="1" xfId="0" applyFill="1" applyBorder="1"/>
    <xf numFmtId="166" fontId="16" fillId="0" borderId="1" xfId="1" applyNumberFormat="1" applyFont="1" applyBorder="1" applyAlignment="1">
      <alignment horizontal="center"/>
    </xf>
    <xf numFmtId="167" fontId="16" fillId="0" borderId="1" xfId="1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16" fillId="0" borderId="14" xfId="1" applyNumberFormat="1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17" fontId="4" fillId="0" borderId="8" xfId="0" applyNumberFormat="1" applyFont="1" applyBorder="1" applyAlignment="1">
      <alignment horizontal="center" vertic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0" fontId="1" fillId="0" borderId="14" xfId="1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Gasoil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1405445655752583E-2"/>
          <c:y val="0.11816804571155633"/>
          <c:w val="0.90727898754742409"/>
          <c:h val="0.68631304950337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'indice Carburant'!$A$6</c:f>
              <c:strCache>
                <c:ptCount val="1"/>
                <c:pt idx="0">
                  <c:v>Indice CNR gazole professionnel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Carburant'!$B$6:$P$6</c:f>
              <c:numCache>
                <c:formatCode>General</c:formatCode>
                <c:ptCount val="15"/>
                <c:pt idx="0">
                  <c:v>183.84</c:v>
                </c:pt>
                <c:pt idx="1">
                  <c:v>192.03</c:v>
                </c:pt>
                <c:pt idx="2">
                  <c:v>181.52</c:v>
                </c:pt>
                <c:pt idx="3">
                  <c:v>187.66</c:v>
                </c:pt>
                <c:pt idx="4">
                  <c:v>193.34</c:v>
                </c:pt>
                <c:pt idx="5">
                  <c:v>248.08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E-41E8-93B0-63C70881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62144"/>
        <c:axId val="1821161184"/>
      </c:barChart>
      <c:lineChart>
        <c:grouping val="standard"/>
        <c:varyColors val="0"/>
        <c:ser>
          <c:idx val="1"/>
          <c:order val="1"/>
          <c:tx>
            <c:strRef>
              <c:f>'indice Carburant'!$A$8</c:f>
              <c:strCache>
                <c:ptCount val="1"/>
                <c:pt idx="0">
                  <c:v>Prix CNR gazole CUVE moyenne mensuelle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Carburant'!$B$8:$P$8</c:f>
              <c:numCache>
                <c:formatCode>General</c:formatCode>
                <c:ptCount val="15"/>
                <c:pt idx="0">
                  <c:v>1.2965</c:v>
                </c:pt>
                <c:pt idx="1">
                  <c:v>1.345</c:v>
                </c:pt>
                <c:pt idx="2">
                  <c:v>1.2686999999999999</c:v>
                </c:pt>
                <c:pt idx="3">
                  <c:v>1.3218000000000001</c:v>
                </c:pt>
                <c:pt idx="4">
                  <c:v>1.3547</c:v>
                </c:pt>
                <c:pt idx="5">
                  <c:v>1.7575000000000001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E-41E8-93B0-63C70881C91F}"/>
            </c:ext>
          </c:extLst>
        </c:ser>
        <c:ser>
          <c:idx val="2"/>
          <c:order val="2"/>
          <c:tx>
            <c:strRef>
              <c:f>'indice Carburant'!$A$10</c:f>
              <c:strCache>
                <c:ptCount val="1"/>
                <c:pt idx="0">
                  <c:v>Prix gazole POMPE moyenne mensuelle (DIREM)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Carburant'!$B$10:$P$10</c:f>
              <c:numCache>
                <c:formatCode>General</c:formatCode>
                <c:ptCount val="15"/>
                <c:pt idx="0">
                  <c:v>1.3322000000000001</c:v>
                </c:pt>
                <c:pt idx="1">
                  <c:v>1.3882000000000001</c:v>
                </c:pt>
                <c:pt idx="2">
                  <c:v>1.3384</c:v>
                </c:pt>
                <c:pt idx="3">
                  <c:v>1.3620000000000001</c:v>
                </c:pt>
                <c:pt idx="4">
                  <c:v>1.3936999999999999</c:v>
                </c:pt>
                <c:pt idx="5">
                  <c:v>1.7223999999999999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E-41E8-93B0-63C70881C91F}"/>
            </c:ext>
          </c:extLst>
        </c:ser>
        <c:ser>
          <c:idx val="3"/>
          <c:order val="3"/>
          <c:tx>
            <c:strRef>
              <c:f>'indice Carburant'!$A$20</c:f>
              <c:strCache>
                <c:ptCount val="1"/>
                <c:pt idx="0">
                  <c:v>AS 24 - Carburant GO - Tarif PARNASS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Carburant'!$B$20:$P$20</c:f>
              <c:numCache>
                <c:formatCode>General</c:formatCode>
                <c:ptCount val="15"/>
                <c:pt idx="0">
                  <c:v>1.3925000000000001</c:v>
                </c:pt>
                <c:pt idx="1">
                  <c:v>1.4561999999999999</c:v>
                </c:pt>
                <c:pt idx="2">
                  <c:v>1.3837999999999999</c:v>
                </c:pt>
                <c:pt idx="3">
                  <c:v>1.3995</c:v>
                </c:pt>
                <c:pt idx="4">
                  <c:v>1.4348000000000001</c:v>
                </c:pt>
                <c:pt idx="5">
                  <c:v>1.8088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E-41E8-93B0-63C70881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0336"/>
        <c:axId val="1814008416"/>
      </c:lineChart>
      <c:dateAx>
        <c:axId val="1821162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1161184"/>
        <c:crosses val="autoZero"/>
        <c:auto val="1"/>
        <c:lblOffset val="100"/>
        <c:baseTimeUnit val="months"/>
      </c:dateAx>
      <c:valAx>
        <c:axId val="18211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1162144"/>
        <c:crosses val="autoZero"/>
        <c:crossBetween val="between"/>
      </c:valAx>
      <c:valAx>
        <c:axId val="1814008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10336"/>
        <c:crosses val="max"/>
        <c:crossBetween val="between"/>
      </c:valAx>
      <c:dateAx>
        <c:axId val="181401033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140084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GNC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'indice Carburant'!$A$13</c:f>
              <c:strCache>
                <c:ptCount val="1"/>
                <c:pt idx="0">
                  <c:v>Indice CNR carburant GNV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Carburant'!$B$13:$P$13</c:f>
              <c:numCache>
                <c:formatCode>0.00</c:formatCode>
                <c:ptCount val="15"/>
                <c:pt idx="0">
                  <c:v>165.31</c:v>
                </c:pt>
                <c:pt idx="1">
                  <c:v>166.16</c:v>
                </c:pt>
                <c:pt idx="2">
                  <c:v>161.43</c:v>
                </c:pt>
                <c:pt idx="3" formatCode="General">
                  <c:v>159.61000000000001</c:v>
                </c:pt>
                <c:pt idx="4" formatCode="General">
                  <c:v>177.68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B-4C31-AEC3-027539F3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104976"/>
        <c:axId val="1461103536"/>
      </c:barChart>
      <c:lineChart>
        <c:grouping val="standard"/>
        <c:varyColors val="0"/>
        <c:ser>
          <c:idx val="1"/>
          <c:order val="1"/>
          <c:tx>
            <c:strRef>
              <c:f>'indice Carburant'!$A$14</c:f>
              <c:strCache>
                <c:ptCount val="1"/>
                <c:pt idx="0">
                  <c:v>ENGIE Hors TICGN COMPTE VIAPOST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Carburant'!$B$14:$P$14</c:f>
              <c:numCache>
                <c:formatCode>General</c:formatCode>
                <c:ptCount val="15"/>
                <c:pt idx="0">
                  <c:v>1.004</c:v>
                </c:pt>
                <c:pt idx="1">
                  <c:v>0.99539999999999995</c:v>
                </c:pt>
                <c:pt idx="2">
                  <c:v>0.98340000000000005</c:v>
                </c:pt>
                <c:pt idx="3">
                  <c:v>0.93559999999999999</c:v>
                </c:pt>
                <c:pt idx="4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B-4C31-AEC3-027539F3703A}"/>
            </c:ext>
          </c:extLst>
        </c:ser>
        <c:ser>
          <c:idx val="2"/>
          <c:order val="2"/>
          <c:tx>
            <c:strRef>
              <c:f>'indice Carburant'!$A$15</c:f>
              <c:strCache>
                <c:ptCount val="1"/>
                <c:pt idx="0">
                  <c:v>AS 24 - Carburant BIO GNC - Tarif PARNASS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Carburant'!$B$15:$P$15</c:f>
              <c:numCache>
                <c:formatCode>General</c:formatCode>
                <c:ptCount val="15"/>
                <c:pt idx="0">
                  <c:v>1.1409</c:v>
                </c:pt>
                <c:pt idx="1">
                  <c:v>1.1408</c:v>
                </c:pt>
                <c:pt idx="2">
                  <c:v>1.1408</c:v>
                </c:pt>
                <c:pt idx="3">
                  <c:v>1.1008</c:v>
                </c:pt>
                <c:pt idx="4">
                  <c:v>1.2192000000000001</c:v>
                </c:pt>
                <c:pt idx="5">
                  <c:v>1.1982999999999999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B-4C31-AEC3-027539F3703A}"/>
            </c:ext>
          </c:extLst>
        </c:ser>
        <c:ser>
          <c:idx val="3"/>
          <c:order val="3"/>
          <c:tx>
            <c:strRef>
              <c:f>'indice Carburant'!$A$16</c:f>
              <c:strCache>
                <c:ptCount val="1"/>
                <c:pt idx="0">
                  <c:v>ENGIE - Carburant GNC L - Tarif PARNASS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'indice Carburant'!$B$5:$P$5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'indice Carburant'!$B$16:$P$16</c:f>
              <c:numCache>
                <c:formatCode>General</c:formatCode>
                <c:ptCount val="15"/>
                <c:pt idx="0">
                  <c:v>1.2241</c:v>
                </c:pt>
                <c:pt idx="1">
                  <c:v>1.2156</c:v>
                </c:pt>
                <c:pt idx="2">
                  <c:v>1.2042999999999999</c:v>
                </c:pt>
                <c:pt idx="3">
                  <c:v>1.1559999999999999</c:v>
                </c:pt>
                <c:pt idx="4">
                  <c:v>1.2509999999999999</c:v>
                </c:pt>
                <c:pt idx="5">
                  <c:v>1.2263999999999999</c:v>
                </c:pt>
                <c:pt idx="6">
                  <c:v>1.5505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AB-4C31-AEC3-027539F3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829424"/>
        <c:axId val="2076828464"/>
      </c:lineChart>
      <c:dateAx>
        <c:axId val="1461104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1103536"/>
        <c:crosses val="autoZero"/>
        <c:auto val="1"/>
        <c:lblOffset val="100"/>
        <c:baseTimeUnit val="months"/>
      </c:dateAx>
      <c:valAx>
        <c:axId val="14611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1104976"/>
        <c:crosses val="autoZero"/>
        <c:crossBetween val="between"/>
      </c:valAx>
      <c:valAx>
        <c:axId val="20768284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6829424"/>
        <c:crosses val="max"/>
        <c:crossBetween val="between"/>
      </c:valAx>
      <c:dateAx>
        <c:axId val="207682942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7682846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27</xdr:row>
      <xdr:rowOff>80961</xdr:rowOff>
    </xdr:from>
    <xdr:to>
      <xdr:col>7</xdr:col>
      <xdr:colOff>390525</xdr:colOff>
      <xdr:row>48</xdr:row>
      <xdr:rowOff>66674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C378D13-DC38-18E0-8BB3-F34869CDF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638174</xdr:colOff>
      <xdr:row>27</xdr:row>
      <xdr:rowOff>104775</xdr:rowOff>
    </xdr:from>
    <xdr:to>
      <xdr:col>17</xdr:col>
      <xdr:colOff>352424</xdr:colOff>
      <xdr:row>48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D5B03B8-F859-643F-B2DC-962132001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47625</xdr:rowOff>
    </xdr:from>
    <xdr:to>
      <xdr:col>0</xdr:col>
      <xdr:colOff>2339452</xdr:colOff>
      <xdr:row>3</xdr:row>
      <xdr:rowOff>21328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53CE0D6-1BC3-19A7-01CA-2E2AEEDC2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2331832" cy="552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114300</xdr:rowOff>
    </xdr:from>
    <xdr:to>
      <xdr:col>6</xdr:col>
      <xdr:colOff>153428</xdr:colOff>
      <xdr:row>81</xdr:row>
      <xdr:rowOff>96125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232F10B-A7B1-D6CA-134C-F45AFFC8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791700"/>
          <a:ext cx="7363853" cy="6268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57150</xdr:rowOff>
    </xdr:from>
    <xdr:to>
      <xdr:col>1</xdr:col>
      <xdr:colOff>1562100</xdr:colOff>
      <xdr:row>2</xdr:row>
      <xdr:rowOff>228600</xdr:rowOff>
    </xdr:to>
    <xdr:pic>
      <xdr:nvPicPr>
        <xdr:cNvPr id="3" name="Image 2" descr="groupe-parnass.com">
          <a:extLst>
            <a:ext uri="{FF2B5EF4-FFF2-40B4-BE49-F238E27FC236}">
              <a16:creationId xmlns:a16="http://schemas.microsoft.com/office/drawing/2014/main" id="{BCEF0FAB-A45F-B704-4231-361F90B4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28765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99EF-BB17-4136-ADAC-E811B9F049E1}">
  <dimension ref="A1:R26"/>
  <sheetViews>
    <sheetView workbookViewId="0">
      <selection activeCell="L13" sqref="L13"/>
    </sheetView>
  </sheetViews>
  <sheetFormatPr baseColWidth="10" defaultColWidth="11.44140625" defaultRowHeight="14.4" x14ac:dyDescent="0.3"/>
  <cols>
    <col min="1" max="1" width="58.88671875" bestFit="1" customWidth="1"/>
    <col min="2" max="6" width="9.88671875" bestFit="1" customWidth="1"/>
    <col min="7" max="7" width="10.44140625" bestFit="1" customWidth="1"/>
    <col min="8" max="11" width="9.88671875" bestFit="1" customWidth="1"/>
    <col min="12" max="13" width="10" bestFit="1" customWidth="1"/>
    <col min="14" max="14" width="9.88671875" bestFit="1" customWidth="1"/>
    <col min="15" max="15" width="9" bestFit="1" customWidth="1"/>
    <col min="16" max="16" width="9.109375" bestFit="1" customWidth="1"/>
  </cols>
  <sheetData>
    <row r="1" spans="1:18" x14ac:dyDescent="0.3">
      <c r="A1" s="120" t="s">
        <v>251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</row>
    <row r="2" spans="1:18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spans="1:18" x14ac:dyDescent="0.3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</row>
    <row r="4" spans="1:18" x14ac:dyDescent="0.3">
      <c r="E4" s="102" t="s">
        <v>264</v>
      </c>
    </row>
    <row r="5" spans="1:18" ht="18" x14ac:dyDescent="0.35">
      <c r="A5" s="83" t="s">
        <v>0</v>
      </c>
      <c r="B5" s="84">
        <v>45931</v>
      </c>
      <c r="C5" s="84">
        <v>45962</v>
      </c>
      <c r="D5" s="84">
        <v>45992</v>
      </c>
      <c r="E5" s="84">
        <v>46023</v>
      </c>
      <c r="F5" s="84">
        <v>46054</v>
      </c>
      <c r="G5" s="84">
        <v>46082</v>
      </c>
      <c r="H5" s="84">
        <v>46113</v>
      </c>
      <c r="I5" s="84">
        <v>46143</v>
      </c>
      <c r="J5" s="84">
        <v>46174</v>
      </c>
      <c r="K5" s="84">
        <v>46204</v>
      </c>
      <c r="L5" s="84">
        <v>46235</v>
      </c>
      <c r="M5" s="84">
        <v>46266</v>
      </c>
      <c r="N5" s="84">
        <v>46296</v>
      </c>
      <c r="O5" s="84">
        <v>46327</v>
      </c>
      <c r="P5" s="84">
        <v>46357</v>
      </c>
    </row>
    <row r="6" spans="1:18" ht="18" x14ac:dyDescent="0.35">
      <c r="A6" s="1" t="s">
        <v>1</v>
      </c>
      <c r="B6" s="2">
        <v>183.84</v>
      </c>
      <c r="C6" s="2">
        <v>192.03</v>
      </c>
      <c r="D6" s="2">
        <v>181.52</v>
      </c>
      <c r="E6" s="2">
        <v>187.66</v>
      </c>
      <c r="F6" s="2">
        <v>193.34</v>
      </c>
      <c r="G6" s="2">
        <v>248.08</v>
      </c>
      <c r="H6" s="2"/>
      <c r="I6" s="2"/>
      <c r="J6" s="2"/>
      <c r="K6" s="2"/>
      <c r="L6" s="2"/>
      <c r="M6" s="2"/>
      <c r="N6" s="2"/>
      <c r="O6" s="2"/>
      <c r="P6" s="2"/>
    </row>
    <row r="7" spans="1:18" ht="15.6" x14ac:dyDescent="0.3">
      <c r="A7" s="3" t="s">
        <v>2</v>
      </c>
      <c r="B7" s="4">
        <v>192.92</v>
      </c>
      <c r="C7" s="4">
        <v>200.49</v>
      </c>
      <c r="D7" s="4">
        <v>190.79</v>
      </c>
      <c r="E7" s="4">
        <v>196.16</v>
      </c>
      <c r="F7" s="4">
        <v>201.41</v>
      </c>
      <c r="G7" s="4">
        <v>251.94</v>
      </c>
      <c r="H7" s="4"/>
      <c r="I7" s="4"/>
      <c r="J7" s="4"/>
      <c r="K7" s="4"/>
      <c r="L7" s="4"/>
      <c r="M7" s="4"/>
      <c r="N7" s="4"/>
      <c r="O7" s="4"/>
      <c r="P7" s="4"/>
      <c r="Q7" s="5"/>
      <c r="R7" s="5"/>
    </row>
    <row r="8" spans="1:18" ht="21" x14ac:dyDescent="0.4">
      <c r="A8" s="1" t="s">
        <v>3</v>
      </c>
      <c r="B8" s="2">
        <v>1.2965</v>
      </c>
      <c r="C8" s="2">
        <v>1.345</v>
      </c>
      <c r="D8" s="2">
        <v>1.2686999999999999</v>
      </c>
      <c r="E8" s="2">
        <v>1.3218000000000001</v>
      </c>
      <c r="F8" s="2">
        <v>1.3547</v>
      </c>
      <c r="G8" s="2">
        <v>1.7575000000000001</v>
      </c>
      <c r="H8" s="2"/>
      <c r="I8" s="2"/>
      <c r="J8" s="2"/>
      <c r="K8" s="2"/>
      <c r="L8" s="2"/>
      <c r="M8" s="2"/>
      <c r="N8" s="2"/>
      <c r="O8" s="2"/>
      <c r="P8" s="2"/>
    </row>
    <row r="9" spans="1:18" ht="15.6" x14ac:dyDescent="0.3">
      <c r="A9" s="3" t="s">
        <v>4</v>
      </c>
      <c r="B9" s="4">
        <v>1.3110999999999999</v>
      </c>
      <c r="C9" s="4">
        <v>1.34</v>
      </c>
      <c r="D9" s="4">
        <v>1.2472000000000001</v>
      </c>
      <c r="E9" s="4" t="s">
        <v>263</v>
      </c>
      <c r="F9" s="4" t="s">
        <v>263</v>
      </c>
      <c r="G9" s="4" t="s">
        <v>263</v>
      </c>
      <c r="H9" s="4" t="s">
        <v>263</v>
      </c>
      <c r="I9" s="4" t="s">
        <v>263</v>
      </c>
      <c r="J9" s="4" t="s">
        <v>263</v>
      </c>
      <c r="K9" s="4" t="s">
        <v>263</v>
      </c>
      <c r="L9" s="4" t="s">
        <v>263</v>
      </c>
      <c r="M9" s="4" t="s">
        <v>263</v>
      </c>
      <c r="N9" s="4" t="s">
        <v>263</v>
      </c>
      <c r="O9" s="4" t="s">
        <v>263</v>
      </c>
      <c r="P9" s="4" t="s">
        <v>263</v>
      </c>
      <c r="Q9" s="5"/>
      <c r="R9" s="5"/>
    </row>
    <row r="10" spans="1:18" ht="21" x14ac:dyDescent="0.4">
      <c r="A10" s="1" t="s">
        <v>265</v>
      </c>
      <c r="B10" s="2">
        <v>1.3322000000000001</v>
      </c>
      <c r="C10" s="2">
        <v>1.3882000000000001</v>
      </c>
      <c r="D10" s="2">
        <v>1.3384</v>
      </c>
      <c r="E10" s="100">
        <v>1.3620000000000001</v>
      </c>
      <c r="F10" s="2">
        <v>1.3936999999999999</v>
      </c>
      <c r="G10" s="2">
        <v>1.7223999999999999</v>
      </c>
      <c r="H10" s="2"/>
      <c r="I10" s="2"/>
      <c r="J10" s="2"/>
      <c r="K10" s="2"/>
      <c r="L10" s="2"/>
      <c r="M10" s="2"/>
      <c r="N10" s="2"/>
      <c r="O10" s="2"/>
      <c r="P10" s="2"/>
      <c r="Q10" t="s">
        <v>259</v>
      </c>
    </row>
    <row r="11" spans="1:18" ht="15.6" x14ac:dyDescent="0.3">
      <c r="A11" s="3" t="s">
        <v>262</v>
      </c>
      <c r="B11" s="4">
        <v>1.3252999999999999</v>
      </c>
      <c r="C11" s="4">
        <v>1.4140999999999999</v>
      </c>
      <c r="D11" s="4">
        <v>1.2748999999999999</v>
      </c>
      <c r="E11" s="101">
        <v>1.3663000000000001</v>
      </c>
      <c r="F11" s="4">
        <v>1.3748</v>
      </c>
      <c r="G11" s="4">
        <v>1.7573000000000001</v>
      </c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</row>
    <row r="12" spans="1:18" ht="18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8" ht="18" x14ac:dyDescent="0.35">
      <c r="A13" s="11" t="s">
        <v>5</v>
      </c>
      <c r="B13" s="12">
        <v>165.31</v>
      </c>
      <c r="C13" s="12">
        <v>166.16</v>
      </c>
      <c r="D13" s="12">
        <v>161.43</v>
      </c>
      <c r="E13" s="13">
        <v>159.61000000000001</v>
      </c>
      <c r="F13" s="13">
        <v>177.68</v>
      </c>
      <c r="G13" s="13"/>
      <c r="H13" s="13"/>
      <c r="I13" s="13"/>
      <c r="J13" s="13"/>
      <c r="K13" s="13"/>
      <c r="L13" s="13"/>
      <c r="M13" s="13"/>
      <c r="N13" s="12"/>
      <c r="O13" s="12"/>
      <c r="P13" s="12"/>
    </row>
    <row r="14" spans="1:18" ht="15.6" x14ac:dyDescent="0.3">
      <c r="A14" s="58" t="s">
        <v>6</v>
      </c>
      <c r="B14" s="79">
        <v>1.004</v>
      </c>
      <c r="C14" s="79">
        <v>0.99539999999999995</v>
      </c>
      <c r="D14" s="79">
        <v>0.98340000000000005</v>
      </c>
      <c r="E14" s="79">
        <v>0.93559999999999999</v>
      </c>
      <c r="F14" s="79">
        <v>1.03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8" ht="15.6" x14ac:dyDescent="0.3">
      <c r="A15" s="56" t="s">
        <v>7</v>
      </c>
      <c r="B15" s="57">
        <v>1.1409</v>
      </c>
      <c r="C15" s="57">
        <v>1.1408</v>
      </c>
      <c r="D15" s="57">
        <v>1.1408</v>
      </c>
      <c r="E15" s="57">
        <v>1.1008</v>
      </c>
      <c r="F15" s="57">
        <v>1.2192000000000001</v>
      </c>
      <c r="G15" s="57">
        <v>1.1982999999999999</v>
      </c>
      <c r="H15" s="57"/>
      <c r="I15" s="57"/>
      <c r="J15" s="57"/>
      <c r="K15" s="57"/>
      <c r="L15" s="57"/>
      <c r="M15" s="57"/>
      <c r="N15" s="57"/>
      <c r="O15" s="57"/>
      <c r="P15" s="57"/>
    </row>
    <row r="16" spans="1:18" ht="15.6" x14ac:dyDescent="0.3">
      <c r="A16" s="59" t="s">
        <v>8</v>
      </c>
      <c r="B16" s="60">
        <v>1.2241</v>
      </c>
      <c r="C16" s="60">
        <v>1.2156</v>
      </c>
      <c r="D16" s="60">
        <v>1.2042999999999999</v>
      </c>
      <c r="E16" s="61">
        <v>1.1559999999999999</v>
      </c>
      <c r="F16" s="60">
        <v>1.2509999999999999</v>
      </c>
      <c r="G16" s="60">
        <v>1.2263999999999999</v>
      </c>
      <c r="H16" s="60">
        <v>1.5505</v>
      </c>
      <c r="I16" s="60"/>
      <c r="J16" s="60"/>
      <c r="K16" s="60"/>
      <c r="L16" s="60"/>
      <c r="M16" s="60"/>
      <c r="N16" s="60"/>
      <c r="O16" s="60"/>
      <c r="P16" s="60"/>
    </row>
    <row r="17" spans="1:16" ht="15.6" x14ac:dyDescent="0.3">
      <c r="A17" s="59" t="s">
        <v>9</v>
      </c>
      <c r="B17" s="60">
        <v>1.2245999999999999</v>
      </c>
      <c r="C17" s="60">
        <v>1.2159</v>
      </c>
      <c r="D17" s="60">
        <v>1.2019</v>
      </c>
      <c r="E17" s="60">
        <v>1.1961999999999999</v>
      </c>
      <c r="F17" s="60">
        <v>1.3068</v>
      </c>
      <c r="G17" s="60">
        <v>1.2803100000000001</v>
      </c>
      <c r="H17" s="60">
        <v>1.5859000000000001</v>
      </c>
      <c r="I17" s="60"/>
      <c r="J17" s="60"/>
      <c r="K17" s="60"/>
      <c r="L17" s="60"/>
      <c r="M17" s="60"/>
      <c r="N17" s="60"/>
      <c r="O17" s="60"/>
      <c r="P17" s="60"/>
    </row>
    <row r="18" spans="1:16" ht="15.6" x14ac:dyDescent="0.3">
      <c r="A18" s="59" t="s">
        <v>10</v>
      </c>
      <c r="B18" s="60">
        <v>1.1788000000000001</v>
      </c>
      <c r="C18" s="60">
        <v>1.1702999999999999</v>
      </c>
      <c r="D18" s="60">
        <v>1.1588000000000001</v>
      </c>
      <c r="E18" s="60">
        <v>1.1105</v>
      </c>
      <c r="F18" s="60">
        <v>1.2053</v>
      </c>
      <c r="G18" s="60">
        <v>1.1806000000000001</v>
      </c>
      <c r="H18" s="60">
        <v>1.5032000000000001</v>
      </c>
      <c r="I18" s="60"/>
      <c r="J18" s="60"/>
      <c r="K18" s="60"/>
      <c r="L18" s="60"/>
      <c r="M18" s="60"/>
      <c r="N18" s="60"/>
      <c r="O18" s="60"/>
      <c r="P18" s="60"/>
    </row>
    <row r="19" spans="1:16" ht="15.6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</row>
    <row r="20" spans="1:16" ht="15.6" x14ac:dyDescent="0.3">
      <c r="A20" s="56" t="s">
        <v>11</v>
      </c>
      <c r="B20" s="57">
        <v>1.3925000000000001</v>
      </c>
      <c r="C20" s="57">
        <v>1.4561999999999999</v>
      </c>
      <c r="D20" s="57">
        <v>1.3837999999999999</v>
      </c>
      <c r="E20" s="57">
        <v>1.3995</v>
      </c>
      <c r="F20" s="57">
        <v>1.4348000000000001</v>
      </c>
      <c r="G20" s="57">
        <v>1.8088</v>
      </c>
      <c r="H20" s="57"/>
      <c r="I20" s="57"/>
      <c r="J20" s="57"/>
      <c r="K20" s="80"/>
      <c r="L20" s="57"/>
      <c r="M20" s="57"/>
      <c r="N20" s="57"/>
      <c r="O20" s="57"/>
      <c r="P20" s="57"/>
    </row>
    <row r="21" spans="1:16" ht="15.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6" x14ac:dyDescent="0.3">
      <c r="A22" s="8" t="s">
        <v>12</v>
      </c>
      <c r="B22" s="4">
        <v>272.73</v>
      </c>
      <c r="C22" s="4">
        <v>289.27999999999997</v>
      </c>
      <c r="D22" s="4">
        <v>268.99</v>
      </c>
      <c r="E22" s="4">
        <v>282.47000000000003</v>
      </c>
      <c r="F22" s="4">
        <v>297.24</v>
      </c>
      <c r="G22" s="4">
        <v>393.85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ht="18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15.6" x14ac:dyDescent="0.3">
      <c r="A24" s="9"/>
      <c r="B24" s="10"/>
      <c r="C24" s="5"/>
      <c r="D24" s="5"/>
      <c r="E24" s="10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</row>
    <row r="25" spans="1:16" ht="15.6" x14ac:dyDescent="0.3">
      <c r="A25" s="9" t="s">
        <v>277</v>
      </c>
      <c r="B25" s="10">
        <v>0.15709999999999999</v>
      </c>
      <c r="C25" s="10">
        <v>0.15709999999999999</v>
      </c>
      <c r="D25" s="10">
        <v>0.15709999999999999</v>
      </c>
      <c r="E25" s="10">
        <v>0.1575</v>
      </c>
      <c r="F25" s="10">
        <v>0.1575</v>
      </c>
      <c r="G25" s="10">
        <v>0.1575</v>
      </c>
      <c r="H25" s="10">
        <v>0.1575</v>
      </c>
      <c r="I25" s="10">
        <v>0.1575</v>
      </c>
      <c r="J25" s="10">
        <v>0.1575</v>
      </c>
      <c r="K25" s="10">
        <v>0.1575</v>
      </c>
      <c r="L25" s="10">
        <v>0.1575</v>
      </c>
      <c r="M25" s="10">
        <v>0.1575</v>
      </c>
      <c r="N25" s="10">
        <v>0.1575</v>
      </c>
      <c r="O25" s="10">
        <v>0.1575</v>
      </c>
      <c r="P25" s="10">
        <v>0.1575</v>
      </c>
    </row>
    <row r="26" spans="1:16" ht="15.6" x14ac:dyDescent="0.3">
      <c r="A26" t="s">
        <v>278</v>
      </c>
      <c r="E26" s="10">
        <v>0.15559999999999999</v>
      </c>
      <c r="F26" s="10">
        <v>0.15559999999999999</v>
      </c>
      <c r="G26" s="10">
        <v>0.15559999999999999</v>
      </c>
      <c r="H26" s="10">
        <v>0.15559999999999999</v>
      </c>
      <c r="I26" s="10">
        <v>0.15559999999999999</v>
      </c>
      <c r="J26" s="10">
        <v>0.15559999999999999</v>
      </c>
      <c r="K26" s="10">
        <v>0.15559999999999999</v>
      </c>
      <c r="L26" s="10">
        <v>0.15559999999999999</v>
      </c>
      <c r="M26" s="10">
        <v>0.15559999999999999</v>
      </c>
      <c r="N26" s="10">
        <v>0.15559999999999999</v>
      </c>
      <c r="O26" s="10">
        <v>0.15559999999999999</v>
      </c>
      <c r="P26" s="10">
        <v>0.15559999999999999</v>
      </c>
    </row>
  </sheetData>
  <mergeCells count="1">
    <mergeCell ref="A1:R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736D-A8D1-4992-A3F5-DA5D7FD917DF}">
  <sheetPr>
    <pageSetUpPr fitToPage="1"/>
  </sheetPr>
  <dimension ref="A1:U173"/>
  <sheetViews>
    <sheetView tabSelected="1" workbookViewId="0">
      <pane xSplit="9" ySplit="5" topLeftCell="L6" activePane="bottomRight" state="frozen"/>
      <selection pane="topRight" activeCell="J1" sqref="J1"/>
      <selection pane="bottomLeft" activeCell="A6" sqref="A6"/>
      <selection pane="bottomRight" activeCell="E75" sqref="E75:E77"/>
    </sheetView>
  </sheetViews>
  <sheetFormatPr baseColWidth="10" defaultColWidth="11.44140625" defaultRowHeight="14.4" x14ac:dyDescent="0.3"/>
  <cols>
    <col min="1" max="1" width="28.44140625" bestFit="1" customWidth="1"/>
    <col min="2" max="2" width="41.44140625" bestFit="1" customWidth="1"/>
    <col min="3" max="3" width="12.44140625" bestFit="1" customWidth="1"/>
    <col min="4" max="4" width="22.44140625" bestFit="1" customWidth="1"/>
    <col min="5" max="5" width="23.109375" bestFit="1" customWidth="1"/>
    <col min="6" max="6" width="16.109375" customWidth="1"/>
    <col min="7" max="7" width="20.33203125" bestFit="1" customWidth="1"/>
    <col min="8" max="8" width="24.6640625" bestFit="1" customWidth="1"/>
    <col min="9" max="9" width="2" customWidth="1"/>
    <col min="10" max="12" width="11.44140625" customWidth="1"/>
  </cols>
  <sheetData>
    <row r="1" spans="1:21" ht="21" x14ac:dyDescent="0.3">
      <c r="A1" s="118" t="s">
        <v>252</v>
      </c>
      <c r="B1" s="118"/>
      <c r="C1" s="118"/>
      <c r="D1" s="118"/>
      <c r="E1" s="118"/>
      <c r="F1" s="118"/>
      <c r="G1" s="15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7"/>
      <c r="T1" s="17"/>
      <c r="U1" s="17"/>
    </row>
    <row r="2" spans="1:21" ht="21" x14ac:dyDescent="0.35">
      <c r="A2" s="118"/>
      <c r="B2" s="118"/>
      <c r="C2" s="118"/>
      <c r="D2" s="118"/>
      <c r="E2" s="118"/>
      <c r="F2" s="118"/>
      <c r="G2" s="119" t="s">
        <v>14</v>
      </c>
      <c r="H2" s="18" t="s">
        <v>15</v>
      </c>
      <c r="I2" s="19"/>
      <c r="J2" s="29">
        <v>26</v>
      </c>
      <c r="K2" s="29">
        <v>24</v>
      </c>
      <c r="L2" s="29">
        <v>26</v>
      </c>
      <c r="M2" s="29">
        <v>25</v>
      </c>
      <c r="N2" s="29">
        <v>22</v>
      </c>
      <c r="O2" s="29">
        <v>26</v>
      </c>
      <c r="P2" s="29">
        <v>26</v>
      </c>
      <c r="Q2" s="29">
        <v>25</v>
      </c>
      <c r="R2" s="29">
        <v>26</v>
      </c>
      <c r="S2" s="29">
        <v>27</v>
      </c>
      <c r="T2" s="29">
        <v>24</v>
      </c>
      <c r="U2" s="29">
        <v>26</v>
      </c>
    </row>
    <row r="3" spans="1:21" ht="21" x14ac:dyDescent="0.35">
      <c r="A3" s="118"/>
      <c r="B3" s="118"/>
      <c r="C3" s="118"/>
      <c r="D3" s="118"/>
      <c r="E3" s="118"/>
      <c r="F3" s="118"/>
      <c r="G3" s="119"/>
      <c r="H3" s="22" t="s">
        <v>16</v>
      </c>
      <c r="I3" s="23"/>
      <c r="J3" s="21">
        <v>21</v>
      </c>
      <c r="K3" s="21">
        <v>20</v>
      </c>
      <c r="L3" s="21">
        <v>22</v>
      </c>
      <c r="M3" s="21">
        <v>21</v>
      </c>
      <c r="N3" s="21">
        <v>17</v>
      </c>
      <c r="O3" s="21">
        <v>22</v>
      </c>
      <c r="P3" s="21">
        <v>22</v>
      </c>
      <c r="Q3" s="21">
        <v>21</v>
      </c>
      <c r="R3" s="20">
        <v>22</v>
      </c>
      <c r="S3" s="21">
        <v>22</v>
      </c>
      <c r="T3" s="21">
        <v>20</v>
      </c>
      <c r="U3" s="21">
        <v>22</v>
      </c>
    </row>
    <row r="4" spans="1:21" ht="18.600000000000001" thickBot="1" x14ac:dyDescent="0.35">
      <c r="A4" s="118"/>
      <c r="B4" s="118"/>
      <c r="C4" s="118"/>
      <c r="D4" s="118"/>
      <c r="E4" s="118"/>
      <c r="F4" s="118"/>
      <c r="J4" s="14"/>
      <c r="K4" s="24"/>
      <c r="L4" s="24"/>
      <c r="M4" s="25"/>
      <c r="N4" s="25"/>
      <c r="O4" s="25"/>
      <c r="P4" s="24"/>
      <c r="Q4" s="25"/>
      <c r="R4" s="25"/>
      <c r="S4" s="25"/>
      <c r="T4" s="25"/>
      <c r="U4" s="25"/>
    </row>
    <row r="5" spans="1:21" ht="31.8" thickBot="1" x14ac:dyDescent="0.35">
      <c r="A5" s="26" t="s">
        <v>17</v>
      </c>
      <c r="B5" s="27" t="s">
        <v>18</v>
      </c>
      <c r="C5" s="27" t="s">
        <v>19</v>
      </c>
      <c r="D5" s="27" t="s">
        <v>20</v>
      </c>
      <c r="E5" s="27" t="s">
        <v>21</v>
      </c>
      <c r="F5" s="27" t="s">
        <v>22</v>
      </c>
      <c r="G5" s="27" t="s">
        <v>23</v>
      </c>
      <c r="H5" s="28" t="s">
        <v>24</v>
      </c>
      <c r="I5" s="36"/>
      <c r="J5" s="106">
        <v>46023</v>
      </c>
      <c r="K5" s="106">
        <v>46054</v>
      </c>
      <c r="L5" s="106">
        <v>46082</v>
      </c>
      <c r="M5" s="85">
        <v>46113</v>
      </c>
      <c r="N5" s="85">
        <v>46143</v>
      </c>
      <c r="O5" s="85">
        <v>46174</v>
      </c>
      <c r="P5" s="85">
        <v>46204</v>
      </c>
      <c r="Q5" s="85">
        <v>46235</v>
      </c>
      <c r="R5" s="85">
        <v>46266</v>
      </c>
      <c r="S5" s="85">
        <v>46296</v>
      </c>
      <c r="T5" s="85">
        <v>46327</v>
      </c>
      <c r="U5" s="85">
        <v>46357</v>
      </c>
    </row>
    <row r="6" spans="1:21" x14ac:dyDescent="0.3">
      <c r="A6" s="47" t="s">
        <v>25</v>
      </c>
      <c r="B6" s="30" t="s">
        <v>26</v>
      </c>
      <c r="C6" s="29" t="s">
        <v>25</v>
      </c>
      <c r="D6" s="51">
        <v>174.88</v>
      </c>
      <c r="E6" s="30" t="s">
        <v>27</v>
      </c>
      <c r="F6" s="46">
        <v>0.25</v>
      </c>
      <c r="G6" s="30" t="s">
        <v>28</v>
      </c>
      <c r="H6" s="31"/>
      <c r="I6" s="32"/>
      <c r="J6" s="105">
        <f>((('indice Carburant'!D6/'Indexation Client 2026'!$D$6)-1)*'Indexation Client 2026'!$F$6)</f>
        <v>9.4922232387923411E-3</v>
      </c>
      <c r="K6" s="105">
        <f>((('indice Carburant'!E6/'Indexation Client 2026'!$D$6)-1)*'Indexation Client 2026'!$F$6)</f>
        <v>1.8269670631290036E-2</v>
      </c>
      <c r="L6" s="105">
        <f>((('indice Carburant'!F6/'Indexation Client 2026'!$D$6)-1)*'Indexation Client 2026'!$F$6)</f>
        <v>2.6389524245196694E-2</v>
      </c>
      <c r="M6" s="68">
        <f>((('indice Carburant'!G6/'Indexation Client 2026'!$D$6)-1)*'Indexation Client 2026'!$F$6)</f>
        <v>0.10464318389752975</v>
      </c>
      <c r="N6" s="68">
        <f>((('indice Carburant'!H6/'Indexation Client 2026'!$D$6)-1)*'Indexation Client 2026'!$F$6)</f>
        <v>-0.25</v>
      </c>
      <c r="O6" s="68">
        <f>((('indice Carburant'!I6/'Indexation Client 2026'!$D$6)-1)*'Indexation Client 2026'!$F$6)</f>
        <v>-0.25</v>
      </c>
      <c r="P6" s="68">
        <f>((('indice Carburant'!J6/'Indexation Client 2026'!$D$6)-1)*'Indexation Client 2026'!$F$6)</f>
        <v>-0.25</v>
      </c>
      <c r="Q6" s="68">
        <f>((('indice Carburant'!K6/'Indexation Client 2026'!$D$6)-1)*'Indexation Client 2026'!$F$6)</f>
        <v>-0.25</v>
      </c>
      <c r="R6" s="68">
        <f>((('indice Carburant'!L6/'Indexation Client 2026'!$D$6)-1)*'Indexation Client 2026'!$F$6)</f>
        <v>-0.25</v>
      </c>
      <c r="S6" s="68">
        <f>((('indice Carburant'!M6/'Indexation Client 2026'!$D$6)-1)*'Indexation Client 2026'!$F$6)</f>
        <v>-0.25</v>
      </c>
      <c r="T6" s="68">
        <f>((('indice Carburant'!N6/'Indexation Client 2026'!$D$6)-1)*'Indexation Client 2026'!$F$6)</f>
        <v>-0.25</v>
      </c>
      <c r="U6" s="68">
        <f>((('indice Carburant'!O6/'Indexation Client 2026'!$D$6)-1)*'Indexation Client 2026'!$F$6)</f>
        <v>-0.25</v>
      </c>
    </row>
    <row r="7" spans="1:21" x14ac:dyDescent="0.3">
      <c r="A7" s="47" t="s">
        <v>25</v>
      </c>
      <c r="B7" s="30" t="s">
        <v>29</v>
      </c>
      <c r="C7" s="29" t="s">
        <v>25</v>
      </c>
      <c r="D7" s="51">
        <v>174.88</v>
      </c>
      <c r="E7" s="30" t="s">
        <v>27</v>
      </c>
      <c r="F7" s="46">
        <v>0.25</v>
      </c>
      <c r="G7" s="30" t="s">
        <v>28</v>
      </c>
      <c r="H7" s="31"/>
      <c r="I7" s="32"/>
      <c r="J7" s="105">
        <f>((('indice Carburant'!D6/'Indexation Client 2026'!$D$7)-1)*'Indexation Client 2026'!$F$7)</f>
        <v>9.4922232387923411E-3</v>
      </c>
      <c r="K7" s="105">
        <f>((('indice Carburant'!E6/'Indexation Client 2026'!$D$7)-1)*'Indexation Client 2026'!$F$7)</f>
        <v>1.8269670631290036E-2</v>
      </c>
      <c r="L7" s="105">
        <f>((('indice Carburant'!F6/'Indexation Client 2026'!$D$7)-1)*'Indexation Client 2026'!$F$7)</f>
        <v>2.6389524245196694E-2</v>
      </c>
      <c r="M7" s="68">
        <f>((('indice Carburant'!G6/'Indexation Client 2026'!$D$7)-1)*'Indexation Client 2026'!$F$7)</f>
        <v>0.10464318389752975</v>
      </c>
      <c r="N7" s="68">
        <f>((('indice Carburant'!H6/'Indexation Client 2026'!$D$7)-1)*'Indexation Client 2026'!$F$7)</f>
        <v>-0.25</v>
      </c>
      <c r="O7" s="68">
        <f>((('indice Carburant'!I6/'Indexation Client 2026'!$D$7)-1)*'Indexation Client 2026'!$F$7)</f>
        <v>-0.25</v>
      </c>
      <c r="P7" s="68">
        <f>((('indice Carburant'!J6/'Indexation Client 2026'!$D$7)-1)*'Indexation Client 2026'!$F$7)</f>
        <v>-0.25</v>
      </c>
      <c r="Q7" s="68">
        <f>((('indice Carburant'!K6/'Indexation Client 2026'!$D$7)-1)*'Indexation Client 2026'!$F$7)</f>
        <v>-0.25</v>
      </c>
      <c r="R7" s="68">
        <f>((('indice Carburant'!L6/'Indexation Client 2026'!$D$7)-1)*'Indexation Client 2026'!$F$7)</f>
        <v>-0.25</v>
      </c>
      <c r="S7" s="68">
        <f>((('indice Carburant'!M6/'Indexation Client 2026'!$D$7)-1)*'Indexation Client 2026'!$F$7)</f>
        <v>-0.25</v>
      </c>
      <c r="T7" s="68">
        <f>((('indice Carburant'!N6/'Indexation Client 2026'!$D$7)-1)*'Indexation Client 2026'!$F$7)</f>
        <v>-0.25</v>
      </c>
      <c r="U7" s="68">
        <f>((('indice Carburant'!O6/'Indexation Client 2026'!$D$7)-1)*'Indexation Client 2026'!$F$7)</f>
        <v>-0.25</v>
      </c>
    </row>
    <row r="8" spans="1:21" x14ac:dyDescent="0.3">
      <c r="A8" s="33" t="s">
        <v>30</v>
      </c>
      <c r="B8" s="30" t="s">
        <v>31</v>
      </c>
      <c r="C8" s="29" t="s">
        <v>32</v>
      </c>
      <c r="D8" s="39" t="s">
        <v>33</v>
      </c>
      <c r="E8" s="70"/>
      <c r="F8" s="31"/>
      <c r="G8" s="31"/>
      <c r="H8" s="31"/>
      <c r="I8" s="32"/>
      <c r="J8" s="107"/>
      <c r="K8" s="107"/>
      <c r="L8" s="107"/>
      <c r="M8" s="31"/>
      <c r="N8" s="31"/>
      <c r="O8" s="31"/>
      <c r="P8" s="31"/>
      <c r="Q8" s="31"/>
      <c r="R8" s="31"/>
      <c r="S8" s="31"/>
      <c r="T8" s="31"/>
      <c r="U8" s="31"/>
    </row>
    <row r="9" spans="1:21" x14ac:dyDescent="0.3">
      <c r="A9" s="33" t="s">
        <v>30</v>
      </c>
      <c r="B9" s="30" t="s">
        <v>34</v>
      </c>
      <c r="C9" s="29" t="s">
        <v>35</v>
      </c>
      <c r="D9" s="39" t="s">
        <v>33</v>
      </c>
      <c r="E9" s="70"/>
      <c r="F9" s="31"/>
      <c r="G9" s="31"/>
      <c r="H9" s="31"/>
      <c r="I9" s="32"/>
      <c r="J9" s="107"/>
      <c r="K9" s="107"/>
      <c r="L9" s="107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3">
      <c r="A10" s="33" t="s">
        <v>36</v>
      </c>
      <c r="B10" s="29" t="s">
        <v>37</v>
      </c>
      <c r="C10" s="29" t="s">
        <v>38</v>
      </c>
      <c r="D10" s="51">
        <v>1.1654</v>
      </c>
      <c r="E10" s="30" t="s">
        <v>267</v>
      </c>
      <c r="F10" s="29">
        <v>0.28000000000000003</v>
      </c>
      <c r="G10" s="30" t="s">
        <v>40</v>
      </c>
      <c r="H10" s="30">
        <v>62</v>
      </c>
      <c r="I10" s="32"/>
      <c r="J10" s="108">
        <f>(('indice Carburant'!D10-'Indexation Client 2026'!$D$10)*'Indexation Client 2026'!$F$10)*'Indexation Client 2026'!$H$10</f>
        <v>3.0032800000000011</v>
      </c>
      <c r="K10" s="108">
        <f>(('indice Carburant'!E10-'Indexation Client 2026'!$D$10)*'Indexation Client 2026'!$F$10)*'Indexation Client 2026'!$H$10</f>
        <v>3.4129760000000022</v>
      </c>
      <c r="L10" s="108">
        <f>(('indice Carburant'!F10-'Indexation Client 2026'!$D$10)*'Indexation Client 2026'!$F$10)*'Indexation Client 2026'!$H$10</f>
        <v>3.9632879999999995</v>
      </c>
      <c r="M10" s="86">
        <f>(('indice Carburant'!G10-'Indexation Client 2026'!$D$10)*'Indexation Client 2026'!$F$10)*'Indexation Client 2026'!$H$10</f>
        <v>9.6695199999999986</v>
      </c>
      <c r="N10" s="86">
        <f>(('indice Carburant'!H10-'Indexation Client 2026'!$D$10)*'Indexation Client 2026'!$F$10)*'Indexation Client 2026'!$H$10</f>
        <v>-20.231344000000004</v>
      </c>
      <c r="O10" s="86">
        <f>(('indice Carburant'!I10-'Indexation Client 2026'!$D$10)*'Indexation Client 2026'!$F$10)*'Indexation Client 2026'!$H$10</f>
        <v>-20.231344000000004</v>
      </c>
      <c r="P10" s="86">
        <f>(('indice Carburant'!J10-'Indexation Client 2026'!$D$10)*'Indexation Client 2026'!$F$10)*'Indexation Client 2026'!$H$10</f>
        <v>-20.231344000000004</v>
      </c>
      <c r="Q10" s="86">
        <f>(('indice Carburant'!K10-'Indexation Client 2026'!$D$10)*'Indexation Client 2026'!$F$10)*'Indexation Client 2026'!$H$10</f>
        <v>-20.231344000000004</v>
      </c>
      <c r="R10" s="86">
        <f>(('indice Carburant'!L10-'Indexation Client 2026'!$D$10)*'Indexation Client 2026'!$F$10)*'Indexation Client 2026'!$H$10</f>
        <v>-20.231344000000004</v>
      </c>
      <c r="S10" s="86">
        <f>(('indice Carburant'!M10-'Indexation Client 2026'!$D$10)*'Indexation Client 2026'!$F$10)*'Indexation Client 2026'!$H$10</f>
        <v>-20.231344000000004</v>
      </c>
      <c r="T10" s="86">
        <f>(('indice Carburant'!N10-'Indexation Client 2026'!$D$10)*'Indexation Client 2026'!$F$10)*'Indexation Client 2026'!$H$10</f>
        <v>-20.231344000000004</v>
      </c>
      <c r="U10" s="86">
        <f>(('indice Carburant'!O10-'Indexation Client 2026'!$D$10)*'Indexation Client 2026'!$F$10)*'Indexation Client 2026'!$H$10</f>
        <v>-20.231344000000004</v>
      </c>
    </row>
    <row r="11" spans="1:21" x14ac:dyDescent="0.3">
      <c r="A11" s="33" t="s">
        <v>36</v>
      </c>
      <c r="B11" s="29" t="s">
        <v>41</v>
      </c>
      <c r="C11" s="29" t="s">
        <v>38</v>
      </c>
      <c r="D11" s="51">
        <v>1.6915</v>
      </c>
      <c r="E11" s="30" t="s">
        <v>267</v>
      </c>
      <c r="F11" s="30">
        <v>0.28000000000000003</v>
      </c>
      <c r="G11" s="30" t="s">
        <v>40</v>
      </c>
      <c r="H11" s="30">
        <v>129</v>
      </c>
      <c r="I11" s="32"/>
      <c r="J11" s="109">
        <f>(('indice Carburant'!D10-'Indexation Client 2026'!$D$11)*'Indexation Client 2026'!$F$11)*'Indexation Client 2026'!$H$11</f>
        <v>-12.753971999999999</v>
      </c>
      <c r="K11" s="109">
        <f>(('indice Carburant'!E10-'Indexation Client 2026'!$D$11)*'Indexation Client 2026'!$F$11)*'Indexation Client 2026'!$H$11</f>
        <v>-11.901539999999997</v>
      </c>
      <c r="L11" s="109">
        <f>(('indice Carburant'!F10-'Indexation Client 2026'!$D$11)*'Indexation Client 2026'!$F$11)*'Indexation Client 2026'!$H$11</f>
        <v>-10.756536000000004</v>
      </c>
      <c r="M11" s="87">
        <f>(('indice Carburant'!G10-'Indexation Client 2026'!$D$11)*'Indexation Client 2026'!$F$11)*'Indexation Client 2026'!$H$11</f>
        <v>1.1161079999999974</v>
      </c>
      <c r="N11" s="87">
        <f>(('indice Carburant'!H10-'Indexation Client 2026'!$D$11)*'Indexation Client 2026'!$F$11)*'Indexation Client 2026'!$H$11</f>
        <v>-61.096980000000002</v>
      </c>
      <c r="O11" s="87">
        <f>(('indice Carburant'!I10-'Indexation Client 2026'!$D$11)*'Indexation Client 2026'!$F$11)*'Indexation Client 2026'!$H$11</f>
        <v>-61.096980000000002</v>
      </c>
      <c r="P11" s="87">
        <f>(('indice Carburant'!J10-'Indexation Client 2026'!$D$11)*'Indexation Client 2026'!$F$11)*'Indexation Client 2026'!$H$11</f>
        <v>-61.096980000000002</v>
      </c>
      <c r="Q11" s="87">
        <f>(('indice Carburant'!K10-'Indexation Client 2026'!$D$11)*'Indexation Client 2026'!$F$11)*'Indexation Client 2026'!$H$11</f>
        <v>-61.096980000000002</v>
      </c>
      <c r="R11" s="87">
        <f>(('indice Carburant'!L10-'Indexation Client 2026'!$D$11)*'Indexation Client 2026'!$F$11)*'Indexation Client 2026'!$H$11</f>
        <v>-61.096980000000002</v>
      </c>
      <c r="S11" s="87">
        <f>(('indice Carburant'!M10-'Indexation Client 2026'!$D$11)*'Indexation Client 2026'!$F$11)*'Indexation Client 2026'!$H$11</f>
        <v>-61.096980000000002</v>
      </c>
      <c r="T11" s="87">
        <f>(('indice Carburant'!N10-'Indexation Client 2026'!$D$11)*'Indexation Client 2026'!$F$11)*'Indexation Client 2026'!$H$11</f>
        <v>-61.096980000000002</v>
      </c>
      <c r="U11" s="87">
        <f>(('indice Carburant'!O10-'Indexation Client 2026'!$D$11)*'Indexation Client 2026'!$F$11)*'Indexation Client 2026'!$H$11</f>
        <v>-61.096980000000002</v>
      </c>
    </row>
    <row r="12" spans="1:21" x14ac:dyDescent="0.3">
      <c r="A12" s="33" t="s">
        <v>36</v>
      </c>
      <c r="B12" s="29" t="s">
        <v>42</v>
      </c>
      <c r="C12" s="29" t="s">
        <v>38</v>
      </c>
      <c r="D12" s="51">
        <v>1.2186999999999999</v>
      </c>
      <c r="E12" s="30" t="s">
        <v>267</v>
      </c>
      <c r="F12" s="30">
        <v>0.28000000000000003</v>
      </c>
      <c r="G12" s="30" t="s">
        <v>40</v>
      </c>
      <c r="H12" s="30">
        <v>129</v>
      </c>
      <c r="I12" s="32"/>
      <c r="J12" s="109">
        <f>(('indice Carburant'!D10-'Indexation Client 2026'!$D$12)*'Indexation Client 2026'!$F$12)*'Indexation Client 2026'!$H$12</f>
        <v>4.3235640000000046</v>
      </c>
      <c r="K12" s="109">
        <f>(('indice Carburant'!E10-'Indexation Client 2026'!$D$12)*'Indexation Client 2026'!$F$12)*'Indexation Client 2026'!$H$12</f>
        <v>5.1759960000000085</v>
      </c>
      <c r="L12" s="109">
        <f>(('indice Carburant'!F10-'Indexation Client 2026'!$D$12)*'Indexation Client 2026'!$F$12)*'Indexation Client 2026'!$H$12</f>
        <v>6.3210000000000024</v>
      </c>
      <c r="M12" s="87">
        <f>(('indice Carburant'!G10-'Indexation Client 2026'!$D$12)*'Indexation Client 2026'!$F$12)*'Indexation Client 2026'!$H$12</f>
        <v>18.193644000000003</v>
      </c>
      <c r="N12" s="87">
        <f>(('indice Carburant'!H10-'Indexation Client 2026'!$D$12)*'Indexation Client 2026'!$F$12)*'Indexation Client 2026'!$H$12</f>
        <v>-44.019444</v>
      </c>
      <c r="O12" s="87">
        <f>(('indice Carburant'!I10-'Indexation Client 2026'!$D$12)*'Indexation Client 2026'!$F$12)*'Indexation Client 2026'!$H$12</f>
        <v>-44.019444</v>
      </c>
      <c r="P12" s="87">
        <f>(('indice Carburant'!J10-'Indexation Client 2026'!$D$12)*'Indexation Client 2026'!$F$12)*'Indexation Client 2026'!$H$12</f>
        <v>-44.019444</v>
      </c>
      <c r="Q12" s="87">
        <f>(('indice Carburant'!K10-'Indexation Client 2026'!$D$12)*'Indexation Client 2026'!$F$12)*'Indexation Client 2026'!$H$12</f>
        <v>-44.019444</v>
      </c>
      <c r="R12" s="87">
        <f>(('indice Carburant'!L10-'Indexation Client 2026'!$D$12)*'Indexation Client 2026'!$F$12)*'Indexation Client 2026'!$H$12</f>
        <v>-44.019444</v>
      </c>
      <c r="S12" s="87">
        <f>(('indice Carburant'!M10-'Indexation Client 2026'!$D$12)*'Indexation Client 2026'!$F$12)*'Indexation Client 2026'!$H$12</f>
        <v>-44.019444</v>
      </c>
      <c r="T12" s="87">
        <f>(('indice Carburant'!N10-'Indexation Client 2026'!$D$12)*'Indexation Client 2026'!$F$12)*'Indexation Client 2026'!$H$12</f>
        <v>-44.019444</v>
      </c>
      <c r="U12" s="87">
        <f>(('indice Carburant'!O10-'Indexation Client 2026'!$D$12)*'Indexation Client 2026'!$F$12)*'Indexation Client 2026'!$H$12</f>
        <v>-44.019444</v>
      </c>
    </row>
    <row r="13" spans="1:21" x14ac:dyDescent="0.3">
      <c r="A13" s="33" t="s">
        <v>36</v>
      </c>
      <c r="B13" s="29" t="s">
        <v>43</v>
      </c>
      <c r="C13" s="29" t="s">
        <v>38</v>
      </c>
      <c r="D13" s="51">
        <v>1.3759999999999999</v>
      </c>
      <c r="E13" s="30" t="s">
        <v>267</v>
      </c>
      <c r="F13" s="30">
        <v>0.28000000000000003</v>
      </c>
      <c r="G13" s="30" t="s">
        <v>40</v>
      </c>
      <c r="H13" s="30">
        <v>64</v>
      </c>
      <c r="I13" s="32"/>
      <c r="J13" s="109">
        <f>(('indice Carburant'!D10-'Indexation Client 2026'!$D$13)*'Indexation Client 2026'!$F$13)*'Indexation Client 2026'!$H$13</f>
        <v>-0.6737919999999975</v>
      </c>
      <c r="K13" s="109">
        <f>(('indice Carburant'!E10-'Indexation Client 2026'!$D$13)*'Indexation Client 2026'!$F$13)*'Indexation Client 2026'!$H$13</f>
        <v>-0.25087999999999627</v>
      </c>
      <c r="L13" s="109">
        <f>(('indice Carburant'!F10-'Indexation Client 2026'!$D$13)*'Indexation Client 2026'!$F$13)*'Indexation Client 2026'!$H$13</f>
        <v>0.31718400000000091</v>
      </c>
      <c r="M13" s="87">
        <f>(('indice Carburant'!G10-'Indexation Client 2026'!$D$13)*'Indexation Client 2026'!$F$13)*'Indexation Client 2026'!$H$13</f>
        <v>6.2074880000000014</v>
      </c>
      <c r="N13" s="87">
        <f>(('indice Carburant'!H10-'Indexation Client 2026'!$D$13)*'Indexation Client 2026'!$F$13)*'Indexation Client 2026'!$H$13</f>
        <v>-24.657920000000001</v>
      </c>
      <c r="O13" s="87">
        <f>(('indice Carburant'!I10-'Indexation Client 2026'!$D$13)*'Indexation Client 2026'!$F$13)*'Indexation Client 2026'!$H$13</f>
        <v>-24.657920000000001</v>
      </c>
      <c r="P13" s="87">
        <f>(('indice Carburant'!J10-'Indexation Client 2026'!$D$13)*'Indexation Client 2026'!$F$13)*'Indexation Client 2026'!$H$13</f>
        <v>-24.657920000000001</v>
      </c>
      <c r="Q13" s="87">
        <f>(('indice Carburant'!K10-'Indexation Client 2026'!$D$13)*'Indexation Client 2026'!$F$13)*'Indexation Client 2026'!$H$13</f>
        <v>-24.657920000000001</v>
      </c>
      <c r="R13" s="87">
        <f>(('indice Carburant'!L10-'Indexation Client 2026'!$D$13)*'Indexation Client 2026'!$F$13)*'Indexation Client 2026'!$H$13</f>
        <v>-24.657920000000001</v>
      </c>
      <c r="S13" s="87">
        <f>(('indice Carburant'!M10-'Indexation Client 2026'!$D$13)*'Indexation Client 2026'!$F$13)*'Indexation Client 2026'!$H$13</f>
        <v>-24.657920000000001</v>
      </c>
      <c r="T13" s="87">
        <f>(('indice Carburant'!N10-'Indexation Client 2026'!$D$13)*'Indexation Client 2026'!$F$13)*'Indexation Client 2026'!$H$13</f>
        <v>-24.657920000000001</v>
      </c>
      <c r="U13" s="87">
        <f>(('indice Carburant'!O10-'Indexation Client 2026'!$D$13)*'Indexation Client 2026'!$F$13)*'Indexation Client 2026'!$H$13</f>
        <v>-24.657920000000001</v>
      </c>
    </row>
    <row r="14" spans="1:21" x14ac:dyDescent="0.3">
      <c r="A14" s="33" t="s">
        <v>36</v>
      </c>
      <c r="B14" s="29" t="s">
        <v>44</v>
      </c>
      <c r="C14" s="29" t="s">
        <v>38</v>
      </c>
      <c r="D14" s="51">
        <v>1.3759999999999999</v>
      </c>
      <c r="E14" s="30" t="s">
        <v>267</v>
      </c>
      <c r="F14" s="30">
        <v>0.28000000000000003</v>
      </c>
      <c r="G14" s="30" t="s">
        <v>40</v>
      </c>
      <c r="H14" s="30">
        <v>34</v>
      </c>
      <c r="I14" s="32"/>
      <c r="J14" s="109">
        <f>(('indice Carburant'!D10-'Indexation Client 2026'!$D$14)*'Indexation Client 2026'!$F$14)*'Indexation Client 2026'!$H$14</f>
        <v>-0.35795199999999866</v>
      </c>
      <c r="K14" s="109">
        <f>(('indice Carburant'!E10-'Indexation Client 2026'!$D$14)*'Indexation Client 2026'!$F$14)*'Indexation Client 2026'!$H$14</f>
        <v>-0.13327999999999801</v>
      </c>
      <c r="L14" s="109">
        <f>(('indice Carburant'!F10-'Indexation Client 2026'!$D$14)*'Indexation Client 2026'!$F$14)*'Indexation Client 2026'!$H$14</f>
        <v>0.16850400000000049</v>
      </c>
      <c r="M14" s="87">
        <f>(('indice Carburant'!G10-'Indexation Client 2026'!$D$14)*'Indexation Client 2026'!$F$14)*'Indexation Client 2026'!$H$14</f>
        <v>3.2977280000000007</v>
      </c>
      <c r="N14" s="87">
        <f>(('indice Carburant'!H10-'Indexation Client 2026'!$D$14)*'Indexation Client 2026'!$F$14)*'Indexation Client 2026'!$H$14</f>
        <v>-13.09952</v>
      </c>
      <c r="O14" s="87">
        <f>(('indice Carburant'!I10-'Indexation Client 2026'!$D$14)*'Indexation Client 2026'!$F$14)*'Indexation Client 2026'!$H$14</f>
        <v>-13.09952</v>
      </c>
      <c r="P14" s="87">
        <f>(('indice Carburant'!J10-'Indexation Client 2026'!$D$14)*'Indexation Client 2026'!$F$14)*'Indexation Client 2026'!$H$14</f>
        <v>-13.09952</v>
      </c>
      <c r="Q14" s="87">
        <f>(('indice Carburant'!K10-'Indexation Client 2026'!$D$14)*'Indexation Client 2026'!$F$14)*'Indexation Client 2026'!$H$14</f>
        <v>-13.09952</v>
      </c>
      <c r="R14" s="87">
        <f>(('indice Carburant'!L10-'Indexation Client 2026'!$D$14)*'Indexation Client 2026'!$F$14)*'Indexation Client 2026'!$H$14</f>
        <v>-13.09952</v>
      </c>
      <c r="S14" s="87">
        <f>(('indice Carburant'!M10-'Indexation Client 2026'!$D$14)*'Indexation Client 2026'!$F$14)*'Indexation Client 2026'!$H$14</f>
        <v>-13.09952</v>
      </c>
      <c r="T14" s="87">
        <f>(('indice Carburant'!N10-'Indexation Client 2026'!$D$14)*'Indexation Client 2026'!$F$14)*'Indexation Client 2026'!$H$14</f>
        <v>-13.09952</v>
      </c>
      <c r="U14" s="87">
        <f>(('indice Carburant'!O10-'Indexation Client 2026'!$D$14)*'Indexation Client 2026'!$F$14)*'Indexation Client 2026'!$H$14</f>
        <v>-13.09952</v>
      </c>
    </row>
    <row r="15" spans="1:21" x14ac:dyDescent="0.3">
      <c r="A15" s="33" t="s">
        <v>36</v>
      </c>
      <c r="B15" s="29" t="s">
        <v>45</v>
      </c>
      <c r="C15" s="29" t="s">
        <v>38</v>
      </c>
      <c r="D15" s="52">
        <v>1.1431</v>
      </c>
      <c r="E15" s="30" t="s">
        <v>267</v>
      </c>
      <c r="F15" s="30">
        <v>0.28000000000000003</v>
      </c>
      <c r="G15" s="30" t="s">
        <v>40</v>
      </c>
      <c r="H15" s="30">
        <v>35</v>
      </c>
      <c r="I15" s="32"/>
      <c r="J15" s="109">
        <f>(('indice Carburant'!D10-'Indexation Client 2026'!$D$15)*'Indexation Client 2026'!$F$15)*'Indexation Client 2026'!$H$15</f>
        <v>1.9139400000000004</v>
      </c>
      <c r="K15" s="109">
        <f>(('indice Carburant'!E10-'Indexation Client 2026'!$D$15)*'Indexation Client 2026'!$F$15)*'Indexation Client 2026'!$H$15</f>
        <v>2.145220000000001</v>
      </c>
      <c r="L15" s="109">
        <f>(('indice Carburant'!F10-'Indexation Client 2026'!$D$15)*'Indexation Client 2026'!$F$15)*'Indexation Client 2026'!$H$15</f>
        <v>2.4558799999999996</v>
      </c>
      <c r="M15" s="87">
        <f>(('indice Carburant'!G10-'Indexation Client 2026'!$D$15)*'Indexation Client 2026'!$F$15)*'Indexation Client 2026'!$H$15</f>
        <v>5.6771399999999996</v>
      </c>
      <c r="N15" s="87">
        <f>(('indice Carburant'!H10-'Indexation Client 2026'!$D$15)*'Indexation Client 2026'!$F$15)*'Indexation Client 2026'!$H$15</f>
        <v>-11.202380000000002</v>
      </c>
      <c r="O15" s="87">
        <f>(('indice Carburant'!I10-'Indexation Client 2026'!$D$15)*'Indexation Client 2026'!$F$15)*'Indexation Client 2026'!$H$15</f>
        <v>-11.202380000000002</v>
      </c>
      <c r="P15" s="87">
        <f>(('indice Carburant'!J10-'Indexation Client 2026'!$D$15)*'Indexation Client 2026'!$F$15)*'Indexation Client 2026'!$H$15</f>
        <v>-11.202380000000002</v>
      </c>
      <c r="Q15" s="87">
        <f>(('indice Carburant'!K10-'Indexation Client 2026'!$D$15)*'Indexation Client 2026'!$F$15)*'Indexation Client 2026'!$H$15</f>
        <v>-11.202380000000002</v>
      </c>
      <c r="R15" s="87">
        <f>(('indice Carburant'!L10-'Indexation Client 2026'!$D$15)*'Indexation Client 2026'!$F$15)*'Indexation Client 2026'!$H$15</f>
        <v>-11.202380000000002</v>
      </c>
      <c r="S15" s="87">
        <f>(('indice Carburant'!M10-'Indexation Client 2026'!$D$15)*'Indexation Client 2026'!$F$15)*'Indexation Client 2026'!$H$15</f>
        <v>-11.202380000000002</v>
      </c>
      <c r="T15" s="87">
        <f>(('indice Carburant'!N10-'Indexation Client 2026'!$D$15)*'Indexation Client 2026'!$F$15)*'Indexation Client 2026'!$H$15</f>
        <v>-11.202380000000002</v>
      </c>
      <c r="U15" s="87">
        <f>(('indice Carburant'!O10-'Indexation Client 2026'!$D$15)*'Indexation Client 2026'!$F$15)*'Indexation Client 2026'!$H$15</f>
        <v>-11.202380000000002</v>
      </c>
    </row>
    <row r="16" spans="1:21" x14ac:dyDescent="0.3">
      <c r="A16" s="33" t="s">
        <v>36</v>
      </c>
      <c r="B16" s="29" t="s">
        <v>46</v>
      </c>
      <c r="C16" s="29" t="s">
        <v>38</v>
      </c>
      <c r="D16" s="52">
        <v>1.1431</v>
      </c>
      <c r="E16" s="30" t="s">
        <v>267</v>
      </c>
      <c r="F16" s="30">
        <v>0.28000000000000003</v>
      </c>
      <c r="G16" s="30" t="s">
        <v>40</v>
      </c>
      <c r="H16" s="30">
        <v>54</v>
      </c>
      <c r="I16" s="32"/>
      <c r="J16" s="109">
        <f>(('indice Carburant'!D10-'Indexation Client 2026'!$D$16)*'Indexation Client 2026'!$F$16)*'Indexation Client 2026'!$H$16</f>
        <v>2.9529360000000007</v>
      </c>
      <c r="K16" s="109">
        <f>(('indice Carburant'!E10-'Indexation Client 2026'!$D$16)*'Indexation Client 2026'!$F$16)*'Indexation Client 2026'!$H$16</f>
        <v>3.3097680000000018</v>
      </c>
      <c r="L16" s="109">
        <f>(('indice Carburant'!F10-'Indexation Client 2026'!$D$16)*'Indexation Client 2026'!$F$16)*'Indexation Client 2026'!$H$16</f>
        <v>3.7890719999999996</v>
      </c>
      <c r="M16" s="87">
        <f>(('indice Carburant'!G10-'Indexation Client 2026'!$D$16)*'Indexation Client 2026'!$F$16)*'Indexation Client 2026'!$H$16</f>
        <v>8.759015999999999</v>
      </c>
      <c r="N16" s="87">
        <f>(('indice Carburant'!H10-'Indexation Client 2026'!$D$16)*'Indexation Client 2026'!$F$16)*'Indexation Client 2026'!$H$16</f>
        <v>-17.283672000000003</v>
      </c>
      <c r="O16" s="87">
        <f>(('indice Carburant'!I10-'Indexation Client 2026'!$D$16)*'Indexation Client 2026'!$F$16)*'Indexation Client 2026'!$H$16</f>
        <v>-17.283672000000003</v>
      </c>
      <c r="P16" s="87">
        <f>(('indice Carburant'!J10-'Indexation Client 2026'!$D$16)*'Indexation Client 2026'!$F$16)*'Indexation Client 2026'!$H$16</f>
        <v>-17.283672000000003</v>
      </c>
      <c r="Q16" s="87">
        <f>(('indice Carburant'!K10-'Indexation Client 2026'!$D$16)*'Indexation Client 2026'!$F$16)*'Indexation Client 2026'!$H$16</f>
        <v>-17.283672000000003</v>
      </c>
      <c r="R16" s="87">
        <f>(('indice Carburant'!L10-'Indexation Client 2026'!$D$16)*'Indexation Client 2026'!$F$16)*'Indexation Client 2026'!$H$16</f>
        <v>-17.283672000000003</v>
      </c>
      <c r="S16" s="87">
        <f>(('indice Carburant'!M10-'Indexation Client 2026'!$D$16)*'Indexation Client 2026'!$F$16)*'Indexation Client 2026'!$H$16</f>
        <v>-17.283672000000003</v>
      </c>
      <c r="T16" s="87">
        <f>(('indice Carburant'!N10-'Indexation Client 2026'!$D$16)*'Indexation Client 2026'!$F$16)*'Indexation Client 2026'!$H$16</f>
        <v>-17.283672000000003</v>
      </c>
      <c r="U16" s="87">
        <f>(('indice Carburant'!O10-'Indexation Client 2026'!$D$16)*'Indexation Client 2026'!$F$16)*'Indexation Client 2026'!$H$16</f>
        <v>-17.283672000000003</v>
      </c>
    </row>
    <row r="17" spans="1:21" x14ac:dyDescent="0.3">
      <c r="A17" s="33" t="s">
        <v>36</v>
      </c>
      <c r="B17" s="29" t="s">
        <v>47</v>
      </c>
      <c r="C17" s="29" t="s">
        <v>38</v>
      </c>
      <c r="D17" s="51">
        <v>1.1431</v>
      </c>
      <c r="E17" s="30" t="s">
        <v>267</v>
      </c>
      <c r="F17" s="30">
        <v>0.28000000000000003</v>
      </c>
      <c r="G17" s="30" t="s">
        <v>40</v>
      </c>
      <c r="H17" s="30">
        <v>4</v>
      </c>
      <c r="I17" s="32"/>
      <c r="J17" s="109">
        <f>(('indice Carburant'!D10-'Indexation Client 2026'!$D$17)*'Indexation Client 2026'!$F$17)*'Indexation Client 2026'!$H$17</f>
        <v>0.21873600000000004</v>
      </c>
      <c r="K17" s="109">
        <f>(('indice Carburant'!E10-'Indexation Client 2026'!$D$17)*'Indexation Client 2026'!$F$17)*'Indexation Client 2026'!$H$17</f>
        <v>0.24516800000000014</v>
      </c>
      <c r="L17" s="109">
        <f>(('indice Carburant'!F10-'Indexation Client 2026'!$D$17)*'Indexation Client 2026'!$F$17)*'Indexation Client 2026'!$H$17</f>
        <v>0.28067199999999998</v>
      </c>
      <c r="M17" s="87">
        <f>(('indice Carburant'!G10-'Indexation Client 2026'!$D$17)*'Indexation Client 2026'!$F$17)*'Indexation Client 2026'!$H$17</f>
        <v>0.64881599999999995</v>
      </c>
      <c r="N17" s="87">
        <f>(('indice Carburant'!H10-'Indexation Client 2026'!$D$17)*'Indexation Client 2026'!$F$17)*'Indexation Client 2026'!$H$17</f>
        <v>-1.2802720000000001</v>
      </c>
      <c r="O17" s="87">
        <f>(('indice Carburant'!I10-'Indexation Client 2026'!$D$17)*'Indexation Client 2026'!$F$17)*'Indexation Client 2026'!$H$17</f>
        <v>-1.2802720000000001</v>
      </c>
      <c r="P17" s="87">
        <f>(('indice Carburant'!J10-'Indexation Client 2026'!$D$17)*'Indexation Client 2026'!$F$17)*'Indexation Client 2026'!$H$17</f>
        <v>-1.2802720000000001</v>
      </c>
      <c r="Q17" s="87">
        <f>(('indice Carburant'!K10-'Indexation Client 2026'!$D$17)*'Indexation Client 2026'!$F$17)*'Indexation Client 2026'!$H$17</f>
        <v>-1.2802720000000001</v>
      </c>
      <c r="R17" s="88">
        <f>(('indice Carburant'!L10-'Indexation Client 2026'!$D$17)*'Indexation Client 2026'!$F$17)*'Indexation Client 2026'!$H$17</f>
        <v>-1.2802720000000001</v>
      </c>
      <c r="S17" s="87">
        <f>(('indice Carburant'!M10-'Indexation Client 2026'!$D$17)*'Indexation Client 2026'!$F$17)*'Indexation Client 2026'!$H$17</f>
        <v>-1.2802720000000001</v>
      </c>
      <c r="T17" s="87">
        <f>(('indice Carburant'!N10-'Indexation Client 2026'!$D$17)*'Indexation Client 2026'!$F$17)*'Indexation Client 2026'!$H$17</f>
        <v>-1.2802720000000001</v>
      </c>
      <c r="U17" s="87">
        <f>(('indice Carburant'!O10-'Indexation Client 2026'!$D$17)*'Indexation Client 2026'!$F$17)*'Indexation Client 2026'!$H$17</f>
        <v>-1.2802720000000001</v>
      </c>
    </row>
    <row r="18" spans="1:21" x14ac:dyDescent="0.3">
      <c r="A18" s="104" t="s">
        <v>48</v>
      </c>
      <c r="B18" s="62" t="s">
        <v>49</v>
      </c>
      <c r="C18" s="29" t="s">
        <v>50</v>
      </c>
      <c r="D18" s="30">
        <v>1.6994</v>
      </c>
      <c r="E18" s="30" t="s">
        <v>267</v>
      </c>
      <c r="F18" s="30">
        <v>0.28000000000000003</v>
      </c>
      <c r="G18" s="30" t="s">
        <v>40</v>
      </c>
      <c r="H18" s="30">
        <v>55.6</v>
      </c>
      <c r="I18" s="32"/>
      <c r="J18" s="108">
        <f>(('indice Carburant'!D10-'Indexation Client 2026'!$D$18)*'Indexation Client 2026'!$F$18)*'Indexation Client 2026'!$H$18</f>
        <v>-5.6200480000000006</v>
      </c>
      <c r="K18" s="108">
        <f>(('indice Carburant'!E10-'Indexation Client 2026'!$D$18)*'Indexation Client 2026'!$F$18)*'Indexation Client 2026'!$H$18</f>
        <v>-5.2526431999999996</v>
      </c>
      <c r="L18" s="108">
        <f>(('indice Carburant'!F10-'Indexation Client 2026'!$D$18)*'Indexation Client 2026'!$F$18)*'Indexation Client 2026'!$H$18</f>
        <v>-4.7591376000000016</v>
      </c>
      <c r="M18" s="86">
        <f>(('indice Carburant'!G10-'Indexation Client 2026'!$D$18)*'Indexation Client 2026'!$F$18)*'Indexation Client 2026'!$H$18</f>
        <v>0.35806399999999866</v>
      </c>
      <c r="N18" s="86">
        <f>(('indice Carburant'!H10-'Indexation Client 2026'!$D$18)*'Indexation Client 2026'!$F$18)*'Indexation Client 2026'!$H$18</f>
        <v>-26.456259200000002</v>
      </c>
      <c r="O18" s="86">
        <f>(('indice Carburant'!I10-'Indexation Client 2026'!$D$18)*'Indexation Client 2026'!$F$18)*'Indexation Client 2026'!$H$18</f>
        <v>-26.456259200000002</v>
      </c>
      <c r="P18" s="86">
        <f>(('indice Carburant'!J10-'Indexation Client 2026'!$D$18)*'Indexation Client 2026'!$F$18)*'Indexation Client 2026'!$H$18</f>
        <v>-26.456259200000002</v>
      </c>
      <c r="Q18" s="86">
        <f>(('indice Carburant'!K10-'Indexation Client 2026'!$D$18)*'Indexation Client 2026'!$F$18)*'Indexation Client 2026'!$H$18</f>
        <v>-26.456259200000002</v>
      </c>
      <c r="R18" s="86">
        <f>(('indice Carburant'!L10-'Indexation Client 2026'!$D$18)*'Indexation Client 2026'!$F$18)*'Indexation Client 2026'!$H$18</f>
        <v>-26.456259200000002</v>
      </c>
      <c r="S18" s="86">
        <f>(('indice Carburant'!M10-'Indexation Client 2026'!$D$18)*'Indexation Client 2026'!$F$18)*'Indexation Client 2026'!$H$18</f>
        <v>-26.456259200000002</v>
      </c>
      <c r="T18" s="86">
        <f>(('indice Carburant'!N10-'Indexation Client 2026'!$D$18)*'Indexation Client 2026'!$F$18)*'Indexation Client 2026'!$H$18</f>
        <v>-26.456259200000002</v>
      </c>
      <c r="U18" s="86">
        <f>(('indice Carburant'!O10-'Indexation Client 2026'!$D$18)*'Indexation Client 2026'!$F$18)*'Indexation Client 2026'!$H$18</f>
        <v>-26.456259200000002</v>
      </c>
    </row>
    <row r="19" spans="1:21" x14ac:dyDescent="0.3">
      <c r="A19" s="33" t="s">
        <v>48</v>
      </c>
      <c r="B19" s="35" t="s">
        <v>51</v>
      </c>
      <c r="C19" s="29" t="s">
        <v>50</v>
      </c>
      <c r="D19" s="49">
        <v>1.6908000000000001</v>
      </c>
      <c r="E19" s="30" t="s">
        <v>267</v>
      </c>
      <c r="F19" s="30">
        <v>0.3</v>
      </c>
      <c r="G19" s="30" t="s">
        <v>40</v>
      </c>
      <c r="H19" s="30">
        <v>169.5</v>
      </c>
      <c r="I19" s="32"/>
      <c r="J19" s="108">
        <f>(('indice Carburant'!D10-'Indexation Client 2026'!$D$19)*'Indexation Client 2026'!$F$19)*'Indexation Client 2026'!$H$19</f>
        <v>-17.919540000000001</v>
      </c>
      <c r="K19" s="108">
        <f>(('indice Carburant'!E10-'Indexation Client 2026'!$D$19)*'Indexation Client 2026'!$F$19)*'Indexation Client 2026'!$H$19</f>
        <v>-16.719479999999997</v>
      </c>
      <c r="L19" s="108">
        <f>(('indice Carburant'!F10-'Indexation Client 2026'!$D$19)*'Indexation Client 2026'!$F$19)*'Indexation Client 2026'!$H$19</f>
        <v>-15.107535000000007</v>
      </c>
      <c r="M19" s="86">
        <f>(('indice Carburant'!G10-'Indexation Client 2026'!$D$19)*'Indexation Client 2026'!$F$19)*'Indexation Client 2026'!$H$19</f>
        <v>1.6068599999999924</v>
      </c>
      <c r="N19" s="86">
        <f>(('indice Carburant'!H10-'Indexation Client 2026'!$D$19)*'Indexation Client 2026'!$F$19)*'Indexation Client 2026'!$H$19</f>
        <v>-85.977180000000004</v>
      </c>
      <c r="O19" s="86">
        <f>(('indice Carburant'!I10-'Indexation Client 2026'!$D$19)*'Indexation Client 2026'!$F$19)*'Indexation Client 2026'!$H$19</f>
        <v>-85.977180000000004</v>
      </c>
      <c r="P19" s="86">
        <f>(('indice Carburant'!J10-'Indexation Client 2026'!$D$19)*'Indexation Client 2026'!$F$19)*'Indexation Client 2026'!$H$19</f>
        <v>-85.977180000000004</v>
      </c>
      <c r="Q19" s="86">
        <f>(('indice Carburant'!K10-'Indexation Client 2026'!$D$19)*'Indexation Client 2026'!$F$19)*'Indexation Client 2026'!$H$19</f>
        <v>-85.977180000000004</v>
      </c>
      <c r="R19" s="86">
        <f>(('indice Carburant'!L10-'Indexation Client 2026'!$D$19)*'Indexation Client 2026'!$F$19)*'Indexation Client 2026'!$H$19</f>
        <v>-85.977180000000004</v>
      </c>
      <c r="S19" s="86">
        <f>(('indice Carburant'!M10-'Indexation Client 2026'!$D$19)*'Indexation Client 2026'!$F$19)*'Indexation Client 2026'!$H$19</f>
        <v>-85.977180000000004</v>
      </c>
      <c r="T19" s="86">
        <f>(('indice Carburant'!N10-'Indexation Client 2026'!$D$19)*'Indexation Client 2026'!$F$19)*'Indexation Client 2026'!$H$19</f>
        <v>-85.977180000000004</v>
      </c>
      <c r="U19" s="86">
        <f>(('indice Carburant'!O10-'Indexation Client 2026'!$D$19)*'Indexation Client 2026'!$F$19)*'Indexation Client 2026'!$H$19</f>
        <v>-85.977180000000004</v>
      </c>
    </row>
    <row r="20" spans="1:21" x14ac:dyDescent="0.3">
      <c r="A20" s="33" t="s">
        <v>48</v>
      </c>
      <c r="B20" s="35" t="s">
        <v>51</v>
      </c>
      <c r="C20" s="29" t="s">
        <v>50</v>
      </c>
      <c r="D20" s="49">
        <v>1.6908000000000001</v>
      </c>
      <c r="E20" s="30" t="s">
        <v>267</v>
      </c>
      <c r="F20" s="30">
        <v>0.3</v>
      </c>
      <c r="G20" s="30" t="s">
        <v>40</v>
      </c>
      <c r="H20" s="30">
        <v>56.7</v>
      </c>
      <c r="I20" s="32"/>
      <c r="J20" s="108">
        <f>(('indice Carburant'!D10-'Indexation Client 2026'!$D$20)*'Indexation Client 2026'!$F$20)*'Indexation Client 2026'!$H$20</f>
        <v>-5.9943240000000007</v>
      </c>
      <c r="K20" s="108">
        <f>(('indice Carburant'!E10-'Indexation Client 2026'!$D$20)*'Indexation Client 2026'!$F$20)*'Indexation Client 2026'!$H$20</f>
        <v>-5.5928879999999994</v>
      </c>
      <c r="L20" s="108">
        <f>(('indice Carburant'!F10-'Indexation Client 2026'!$D$20)*'Indexation Client 2026'!$F$20)*'Indexation Client 2026'!$H$20</f>
        <v>-5.0536710000000022</v>
      </c>
      <c r="M20" s="86">
        <f>(('indice Carburant'!G10-'Indexation Client 2026'!$D$20)*'Indexation Client 2026'!$F$20)*'Indexation Client 2026'!$H$20</f>
        <v>0.53751599999999755</v>
      </c>
      <c r="N20" s="86">
        <f>(('indice Carburant'!H10-'Indexation Client 2026'!$D$20)*'Indexation Client 2026'!$F$20)*'Indexation Client 2026'!$H$20</f>
        <v>-28.760508000000002</v>
      </c>
      <c r="O20" s="86">
        <f>(('indice Carburant'!I10-'Indexation Client 2026'!$D$20)*'Indexation Client 2026'!$F$20)*'Indexation Client 2026'!$H$20</f>
        <v>-28.760508000000002</v>
      </c>
      <c r="P20" s="86">
        <f>(('indice Carburant'!J10-'Indexation Client 2026'!$D$20)*'Indexation Client 2026'!$F$20)*'Indexation Client 2026'!$H$20</f>
        <v>-28.760508000000002</v>
      </c>
      <c r="Q20" s="86">
        <f>(('indice Carburant'!K10-'Indexation Client 2026'!$D$20)*'Indexation Client 2026'!$F$20)*'Indexation Client 2026'!$H$20</f>
        <v>-28.760508000000002</v>
      </c>
      <c r="R20" s="86">
        <f>(('indice Carburant'!L10-'Indexation Client 2026'!$D$20)*'Indexation Client 2026'!$F$20)*'Indexation Client 2026'!$H$20</f>
        <v>-28.760508000000002</v>
      </c>
      <c r="S20" s="86">
        <f>(('indice Carburant'!M10-'Indexation Client 2026'!$D$20)*'Indexation Client 2026'!$F$20)*'Indexation Client 2026'!$H$20</f>
        <v>-28.760508000000002</v>
      </c>
      <c r="T20" s="86">
        <f>(('indice Carburant'!N10-'Indexation Client 2026'!$D$20)*'Indexation Client 2026'!$F$20)*'Indexation Client 2026'!$H$20</f>
        <v>-28.760508000000002</v>
      </c>
      <c r="U20" s="86">
        <f>(('indice Carburant'!O10-'Indexation Client 2026'!$D$20)*'Indexation Client 2026'!$F$20)*'Indexation Client 2026'!$H$20</f>
        <v>-28.760508000000002</v>
      </c>
    </row>
    <row r="21" spans="1:21" x14ac:dyDescent="0.3">
      <c r="A21" s="33" t="s">
        <v>48</v>
      </c>
      <c r="B21" s="35" t="s">
        <v>52</v>
      </c>
      <c r="C21" s="29" t="s">
        <v>50</v>
      </c>
      <c r="D21" s="49">
        <v>1.1783999999999999</v>
      </c>
      <c r="E21" s="30" t="s">
        <v>267</v>
      </c>
      <c r="F21" s="30">
        <v>0.3</v>
      </c>
      <c r="G21" s="30" t="s">
        <v>40</v>
      </c>
      <c r="H21" s="30">
        <v>49.4</v>
      </c>
      <c r="I21" s="32"/>
      <c r="J21" s="108">
        <f>(('indice Carburant'!D10-'Indexation Client 2026'!$D$21)*'Indexation Client 2026'!$F$21)*'Indexation Client 2026'!$H$21</f>
        <v>2.3712000000000022</v>
      </c>
      <c r="K21" s="108">
        <f>(('indice Carburant'!E10-'Indexation Client 2026'!$D$21)*'Indexation Client 2026'!$F$21)*'Indexation Client 2026'!$H$21</f>
        <v>2.7209520000000027</v>
      </c>
      <c r="L21" s="108">
        <f>(('indice Carburant'!F10-'Indexation Client 2026'!$D$21)*'Indexation Client 2026'!$F$21)*'Indexation Client 2026'!$H$21</f>
        <v>3.1907460000000003</v>
      </c>
      <c r="M21" s="86">
        <f>(('indice Carburant'!G10-'Indexation Client 2026'!$D$21)*'Indexation Client 2026'!$F$21)*'Indexation Client 2026'!$H$21</f>
        <v>8.0620799999999999</v>
      </c>
      <c r="N21" s="86">
        <f>(('indice Carburant'!H10-'Indexation Client 2026'!$D$21)*'Indexation Client 2026'!$F$21)*'Indexation Client 2026'!$H$21</f>
        <v>-17.463887999999997</v>
      </c>
      <c r="O21" s="86">
        <f>(('indice Carburant'!I10-'Indexation Client 2026'!$D$21)*'Indexation Client 2026'!$F$21)*'Indexation Client 2026'!$H$21</f>
        <v>-17.463887999999997</v>
      </c>
      <c r="P21" s="86">
        <f>(('indice Carburant'!J10-'Indexation Client 2026'!$D$21)*'Indexation Client 2026'!$F$21)*'Indexation Client 2026'!$H$21</f>
        <v>-17.463887999999997</v>
      </c>
      <c r="Q21" s="86">
        <f>(('indice Carburant'!K10-'Indexation Client 2026'!$D$21)*'Indexation Client 2026'!$F$21)*'Indexation Client 2026'!$H$21</f>
        <v>-17.463887999999997</v>
      </c>
      <c r="R21" s="86">
        <f>(('indice Carburant'!L10-'Indexation Client 2026'!$D$21)*'Indexation Client 2026'!$F$21)*'Indexation Client 2026'!$H$21</f>
        <v>-17.463887999999997</v>
      </c>
      <c r="S21" s="86">
        <f>(('indice Carburant'!M10-'Indexation Client 2026'!$D$21)*'Indexation Client 2026'!$F$21)*'Indexation Client 2026'!$H$21</f>
        <v>-17.463887999999997</v>
      </c>
      <c r="T21" s="86">
        <f>(('indice Carburant'!N10-'Indexation Client 2026'!$D$21)*'Indexation Client 2026'!$F$21)*'Indexation Client 2026'!$H$21</f>
        <v>-17.463887999999997</v>
      </c>
      <c r="U21" s="86">
        <f>(('indice Carburant'!O10-'Indexation Client 2026'!$D$21)*'Indexation Client 2026'!$F$21)*'Indexation Client 2026'!$H$21</f>
        <v>-17.463887999999997</v>
      </c>
    </row>
    <row r="22" spans="1:21" ht="15.6" x14ac:dyDescent="0.3">
      <c r="A22" s="33" t="s">
        <v>53</v>
      </c>
      <c r="B22" s="35" t="s">
        <v>54</v>
      </c>
      <c r="C22" s="37" t="s">
        <v>55</v>
      </c>
      <c r="D22" s="30">
        <v>0.94</v>
      </c>
      <c r="E22" s="30" t="s">
        <v>56</v>
      </c>
      <c r="F22" s="30">
        <v>0.28999999999999998</v>
      </c>
      <c r="G22" s="30" t="s">
        <v>40</v>
      </c>
      <c r="H22" s="30"/>
      <c r="I22" s="32"/>
      <c r="J22" s="110">
        <f>((('indice Carburant'!D13/100)-'Indexation Client 2026'!$D$22)*'Indexation Client 2026'!$F$22)</f>
        <v>0.19554700000000003</v>
      </c>
      <c r="K22" s="110">
        <f>((('indice Carburant'!E13/100)-'Indexation Client 2026'!$D$22)*'Indexation Client 2026'!$F$22)</f>
        <v>0.19026900000000002</v>
      </c>
      <c r="L22" s="110">
        <f>((('indice Carburant'!F13/100)-'Indexation Client 2026'!$D$22)*'Indexation Client 2026'!$F$22)</f>
        <v>0.24267200000000005</v>
      </c>
      <c r="M22" s="43">
        <f>((('indice Carburant'!G13/100)-'Indexation Client 2026'!$D$22)*'Indexation Client 2026'!$F$22)</f>
        <v>-0.27259999999999995</v>
      </c>
      <c r="N22" s="43">
        <f>((('indice Carburant'!H13/100)-'Indexation Client 2026'!$D$22)*'Indexation Client 2026'!$F$22)</f>
        <v>-0.27259999999999995</v>
      </c>
      <c r="O22" s="43">
        <f>((('indice Carburant'!I13/100)-'Indexation Client 2026'!$D$22)*'Indexation Client 2026'!$F$22)</f>
        <v>-0.27259999999999995</v>
      </c>
      <c r="P22" s="43">
        <f>((('indice Carburant'!J13/100)-'Indexation Client 2026'!$D$22)*'Indexation Client 2026'!$F$22)</f>
        <v>-0.27259999999999995</v>
      </c>
      <c r="Q22" s="43">
        <f>((('indice Carburant'!K13/100)-'Indexation Client 2026'!$D$22)*'Indexation Client 2026'!$F$22)</f>
        <v>-0.27259999999999995</v>
      </c>
      <c r="R22" s="43">
        <f>((('indice Carburant'!L13/100)-'Indexation Client 2026'!$D$22)*'Indexation Client 2026'!$F$22)</f>
        <v>-0.27259999999999995</v>
      </c>
      <c r="S22" s="43">
        <f>((('indice Carburant'!M13/100)-'Indexation Client 2026'!$D$22)*'Indexation Client 2026'!$F$22)</f>
        <v>-0.27259999999999995</v>
      </c>
      <c r="T22" s="43">
        <f>((('indice Carburant'!N13/100)-'Indexation Client 2026'!$D$22)*'Indexation Client 2026'!$F$22)</f>
        <v>-0.27259999999999995</v>
      </c>
      <c r="U22" s="43">
        <f>((('indice Carburant'!O13/100)-'Indexation Client 2026'!$D$22)*'Indexation Client 2026'!$F$22)</f>
        <v>-0.27259999999999995</v>
      </c>
    </row>
    <row r="23" spans="1:21" ht="15.6" x14ac:dyDescent="0.3">
      <c r="A23" s="33" t="s">
        <v>53</v>
      </c>
      <c r="B23" s="30" t="s">
        <v>57</v>
      </c>
      <c r="C23" s="37" t="s">
        <v>55</v>
      </c>
      <c r="D23" s="30">
        <v>0.83179999999999998</v>
      </c>
      <c r="E23" s="30" t="s">
        <v>267</v>
      </c>
      <c r="F23" s="30">
        <v>0.28999999999999998</v>
      </c>
      <c r="G23" s="30" t="s">
        <v>40</v>
      </c>
      <c r="H23" s="30"/>
      <c r="I23" s="32"/>
      <c r="J23" s="110">
        <f>(('indice Carburant'!D10-'Indexation Client 2026'!$D$23)*'Indexation Client 2026'!$F$23)</f>
        <v>0.14691400000000002</v>
      </c>
      <c r="K23" s="110">
        <f>(('indice Carburant'!E10-'Indexation Client 2026'!$D$23)*'Indexation Client 2026'!$F$23)</f>
        <v>0.15375800000000003</v>
      </c>
      <c r="L23" s="110">
        <f>(('indice Carburant'!F10-'Indexation Client 2026'!$D$23)*'Indexation Client 2026'!$F$23)</f>
        <v>0.16295099999999998</v>
      </c>
      <c r="M23" s="43">
        <f>(('indice Carburant'!G10-'Indexation Client 2026'!$D$23)*'Indexation Client 2026'!$F$23)</f>
        <v>0.25827399999999995</v>
      </c>
      <c r="N23" s="43">
        <f>(('indice Carburant'!H10-'Indexation Client 2026'!$D$23)*'Indexation Client 2026'!$F$23)</f>
        <v>-0.24122199999999999</v>
      </c>
      <c r="O23" s="43">
        <f>(('indice Carburant'!I10-'Indexation Client 2026'!$D$23)*'Indexation Client 2026'!$F$23)</f>
        <v>-0.24122199999999999</v>
      </c>
      <c r="P23" s="43">
        <f>(('indice Carburant'!J10-'Indexation Client 2026'!$D$23)*'Indexation Client 2026'!$F$23)</f>
        <v>-0.24122199999999999</v>
      </c>
      <c r="Q23" s="43">
        <f>(('indice Carburant'!K10-'Indexation Client 2026'!$D$23)*'Indexation Client 2026'!$F$23)</f>
        <v>-0.24122199999999999</v>
      </c>
      <c r="R23" s="43">
        <f>(('indice Carburant'!L10-'Indexation Client 2026'!$D$23)*'Indexation Client 2026'!$F$23)</f>
        <v>-0.24122199999999999</v>
      </c>
      <c r="S23" s="43">
        <f>(('indice Carburant'!M10-'Indexation Client 2026'!$D$23)*'Indexation Client 2026'!$F$23)</f>
        <v>-0.24122199999999999</v>
      </c>
      <c r="T23" s="43">
        <f>(('indice Carburant'!N10-'Indexation Client 2026'!$D$23)*'Indexation Client 2026'!$F$23)</f>
        <v>-0.24122199999999999</v>
      </c>
      <c r="U23" s="43">
        <f>(('indice Carburant'!O10-'Indexation Client 2026'!$D$23)*'Indexation Client 2026'!$F$23)</f>
        <v>-0.24122199999999999</v>
      </c>
    </row>
    <row r="24" spans="1:21" ht="15.6" x14ac:dyDescent="0.3">
      <c r="A24" s="33" t="s">
        <v>53</v>
      </c>
      <c r="B24" s="35" t="s">
        <v>58</v>
      </c>
      <c r="C24" s="37" t="s">
        <v>55</v>
      </c>
      <c r="D24" s="30">
        <v>0.94</v>
      </c>
      <c r="E24" s="30" t="s">
        <v>56</v>
      </c>
      <c r="F24" s="30">
        <v>0.26</v>
      </c>
      <c r="G24" s="30" t="s">
        <v>40</v>
      </c>
      <c r="H24" s="30"/>
      <c r="I24" s="32"/>
      <c r="J24" s="110">
        <f>((('indice Carburant'!D13/100)-'Indexation Client 2026'!$D$24)*'Indexation Client 2026'!$F$24)</f>
        <v>0.17531800000000003</v>
      </c>
      <c r="K24" s="110">
        <f>((('indice Carburant'!E13/100)-'Indexation Client 2026'!$D$24)*'Indexation Client 2026'!$F$24)</f>
        <v>0.17058600000000004</v>
      </c>
      <c r="L24" s="110">
        <f>((('indice Carburant'!F13/100)-'Indexation Client 2026'!$D$24)*'Indexation Client 2026'!$F$24)</f>
        <v>0.21756800000000007</v>
      </c>
      <c r="M24" s="43">
        <f>((('indice Carburant'!G13/100)-'Indexation Client 2026'!$D$24)*'Indexation Client 2026'!$F$24)</f>
        <v>-0.24440000000000001</v>
      </c>
      <c r="N24" s="43">
        <f>((('indice Carburant'!H13/100)-'Indexation Client 2026'!$D$24)*'Indexation Client 2026'!$F$24)</f>
        <v>-0.24440000000000001</v>
      </c>
      <c r="O24" s="43">
        <f>((('indice Carburant'!I13/100)-'Indexation Client 2026'!$D$24)*'Indexation Client 2026'!$F$24)</f>
        <v>-0.24440000000000001</v>
      </c>
      <c r="P24" s="43">
        <f>((('indice Carburant'!J13/100)-'Indexation Client 2026'!$D$24)*'Indexation Client 2026'!$F$24)</f>
        <v>-0.24440000000000001</v>
      </c>
      <c r="Q24" s="43">
        <f>((('indice Carburant'!K13/100)-'Indexation Client 2026'!$D$24)*'Indexation Client 2026'!$F$24)</f>
        <v>-0.24440000000000001</v>
      </c>
      <c r="R24" s="43">
        <f>((('indice Carburant'!L13/100)-'Indexation Client 2026'!$D$24)*'Indexation Client 2026'!$F$24)</f>
        <v>-0.24440000000000001</v>
      </c>
      <c r="S24" s="43">
        <f>((('indice Carburant'!M13/100)-'Indexation Client 2026'!$D$24)*'Indexation Client 2026'!$F$24)</f>
        <v>-0.24440000000000001</v>
      </c>
      <c r="T24" s="43">
        <f>((('indice Carburant'!N13/100)-'Indexation Client 2026'!$D$24)*'Indexation Client 2026'!$F$24)</f>
        <v>-0.24440000000000001</v>
      </c>
      <c r="U24" s="43">
        <f>((('indice Carburant'!O13/100)-'Indexation Client 2026'!$D$24)*'Indexation Client 2026'!$F$24)</f>
        <v>-0.24440000000000001</v>
      </c>
    </row>
    <row r="25" spans="1:21" ht="15.6" x14ac:dyDescent="0.3">
      <c r="A25" s="33" t="s">
        <v>53</v>
      </c>
      <c r="B25" s="30" t="s">
        <v>235</v>
      </c>
      <c r="C25" s="37" t="s">
        <v>55</v>
      </c>
      <c r="D25" s="30">
        <v>0.83179999999999998</v>
      </c>
      <c r="E25" s="30" t="s">
        <v>267</v>
      </c>
      <c r="F25" s="30">
        <v>0.15</v>
      </c>
      <c r="G25" s="30" t="s">
        <v>40</v>
      </c>
      <c r="H25" s="30"/>
      <c r="I25" s="32"/>
      <c r="J25" s="110">
        <f>(('indice Carburant'!D10-'Indexation Client 2026'!$D$25)*'Indexation Client 2026'!$F$25)</f>
        <v>7.5990000000000002E-2</v>
      </c>
      <c r="K25" s="110">
        <f>(('indice Carburant'!E10-'Indexation Client 2026'!$D$25)*'Indexation Client 2026'!$F$25)</f>
        <v>7.9530000000000017E-2</v>
      </c>
      <c r="L25" s="110">
        <f>(('indice Carburant'!F10-'Indexation Client 2026'!$D$25)*'Indexation Client 2026'!$F$25)</f>
        <v>8.4284999999999985E-2</v>
      </c>
      <c r="M25" s="43">
        <f>(('indice Carburant'!G10-'Indexation Client 2026'!$D$25)*'Indexation Client 2026'!$F$25)</f>
        <v>0.13358999999999999</v>
      </c>
      <c r="N25" s="43">
        <f>(('indice Carburant'!H10-'Indexation Client 2026'!$D$25)*'Indexation Client 2026'!$F$25)</f>
        <v>-0.12476999999999999</v>
      </c>
      <c r="O25" s="43">
        <f>(('indice Carburant'!I10-'Indexation Client 2026'!$D$25)*'Indexation Client 2026'!$F$25)</f>
        <v>-0.12476999999999999</v>
      </c>
      <c r="P25" s="43">
        <f>(('indice Carburant'!J10-'Indexation Client 2026'!$D$25)*'Indexation Client 2026'!$F$25)</f>
        <v>-0.12476999999999999</v>
      </c>
      <c r="Q25" s="43">
        <f>(('indice Carburant'!K10-'Indexation Client 2026'!$D$25)*'Indexation Client 2026'!$F$25)</f>
        <v>-0.12476999999999999</v>
      </c>
      <c r="R25" s="43">
        <f>(('indice Carburant'!L10-'Indexation Client 2026'!$D$25)*'Indexation Client 2026'!$F$25)</f>
        <v>-0.12476999999999999</v>
      </c>
      <c r="S25" s="43">
        <f>(('indice Carburant'!M10-'Indexation Client 2026'!$D$25)*'Indexation Client 2026'!$F$25)</f>
        <v>-0.12476999999999999</v>
      </c>
      <c r="T25" s="43">
        <f>(('indice Carburant'!N10-'Indexation Client 2026'!$D$25)*'Indexation Client 2026'!$F$25)</f>
        <v>-0.12476999999999999</v>
      </c>
      <c r="U25" s="43">
        <f>(('indice Carburant'!O10-'Indexation Client 2026'!$D$25)*'Indexation Client 2026'!$F$25)</f>
        <v>-0.12476999999999999</v>
      </c>
    </row>
    <row r="26" spans="1:21" ht="15.6" x14ac:dyDescent="0.3">
      <c r="A26" s="33" t="s">
        <v>53</v>
      </c>
      <c r="B26" s="30" t="s">
        <v>59</v>
      </c>
      <c r="C26" s="37" t="s">
        <v>55</v>
      </c>
      <c r="D26" s="30">
        <v>0.83179999999999998</v>
      </c>
      <c r="E26" s="30" t="s">
        <v>267</v>
      </c>
      <c r="F26" s="30">
        <v>0.26</v>
      </c>
      <c r="G26" s="30" t="s">
        <v>40</v>
      </c>
      <c r="H26" s="30"/>
      <c r="I26" s="32"/>
      <c r="J26" s="110">
        <f>(('indice Carburant'!D10-'Indexation Client 2026'!$D$26)*'Indexation Client 2026'!$F$26)</f>
        <v>0.13171600000000003</v>
      </c>
      <c r="K26" s="110">
        <f>(('indice Carburant'!E10-'Indexation Client 2026'!$D$26)*'Indexation Client 2026'!$F$26)</f>
        <v>0.13785200000000003</v>
      </c>
      <c r="L26" s="110">
        <f>(('indice Carburant'!F10-'Indexation Client 2026'!$D$26)*'Indexation Client 2026'!$F$26)</f>
        <v>0.146094</v>
      </c>
      <c r="M26" s="43">
        <f>(('indice Carburant'!G10-'Indexation Client 2026'!$D$26)*'Indexation Client 2026'!$F$26)</f>
        <v>0.23155599999999998</v>
      </c>
      <c r="N26" s="43">
        <f>(('indice Carburant'!H10-'Indexation Client 2026'!$D$26)*'Indexation Client 2026'!$F$26)</f>
        <v>-0.21626800000000002</v>
      </c>
      <c r="O26" s="43">
        <f>(('indice Carburant'!I10-'Indexation Client 2026'!$D$26)*'Indexation Client 2026'!$F$26)</f>
        <v>-0.21626800000000002</v>
      </c>
      <c r="P26" s="43">
        <f>(('indice Carburant'!J10-'Indexation Client 2026'!$D$26)*'Indexation Client 2026'!$F$26)</f>
        <v>-0.21626800000000002</v>
      </c>
      <c r="Q26" s="43">
        <f>(('indice Carburant'!K10-'Indexation Client 2026'!$D$26)*'Indexation Client 2026'!$F$26)</f>
        <v>-0.21626800000000002</v>
      </c>
      <c r="R26" s="43">
        <f>(('indice Carburant'!L10-'Indexation Client 2026'!$D$26)*'Indexation Client 2026'!$F$26)</f>
        <v>-0.21626800000000002</v>
      </c>
      <c r="S26" s="43">
        <f>(('indice Carburant'!M10-'Indexation Client 2026'!$D$26)*'Indexation Client 2026'!$F$26)</f>
        <v>-0.21626800000000002</v>
      </c>
      <c r="T26" s="43">
        <f>(('indice Carburant'!N10-'Indexation Client 2026'!$D$26)*'Indexation Client 2026'!$F$26)</f>
        <v>-0.21626800000000002</v>
      </c>
      <c r="U26" s="43">
        <f>(('indice Carburant'!O10-'Indexation Client 2026'!$D$26)*'Indexation Client 2026'!$F$26)</f>
        <v>-0.21626800000000002</v>
      </c>
    </row>
    <row r="27" spans="1:21" ht="15.6" x14ac:dyDescent="0.3">
      <c r="A27" s="33" t="s">
        <v>60</v>
      </c>
      <c r="B27" s="30" t="s">
        <v>253</v>
      </c>
      <c r="C27" s="37" t="s">
        <v>61</v>
      </c>
      <c r="D27" s="54">
        <v>1.3384</v>
      </c>
      <c r="E27" s="30" t="s">
        <v>267</v>
      </c>
      <c r="F27" s="30">
        <v>0.26</v>
      </c>
      <c r="G27" s="30" t="s">
        <v>40</v>
      </c>
      <c r="H27" s="30">
        <v>44</v>
      </c>
      <c r="I27" s="32"/>
      <c r="J27" s="109">
        <f>(('indice Carburant'!D10-'Indexation Client 2026'!$D$27)*'Indexation Client 2026'!$F$27)*'Indexation Client 2026'!$H$27</f>
        <v>0</v>
      </c>
      <c r="K27" s="109">
        <f>(('indice Carburant'!E10-'Indexation Client 2026'!$D$27)*'Indexation Client 2026'!$F$27)*'Indexation Client 2026'!$H$27</f>
        <v>0.26998400000000078</v>
      </c>
      <c r="L27" s="109">
        <f>(('indice Carburant'!F10-'Indexation Client 2026'!$D$27)*'Indexation Client 2026'!$F$27)*'Indexation Client 2026'!$H$27</f>
        <v>0.63263199999999897</v>
      </c>
      <c r="M27" s="87">
        <f>(('indice Carburant'!G10-'Indexation Client 2026'!$D$27)*'Indexation Client 2026'!$F$27)*'Indexation Client 2026'!$H$27</f>
        <v>4.3929599999999986</v>
      </c>
      <c r="N27" s="87">
        <f>(('indice Carburant'!H10-'Indexation Client 2026'!$D$27)*'Indexation Client 2026'!$F$27)*'Indexation Client 2026'!$H$27</f>
        <v>-15.311296</v>
      </c>
      <c r="O27" s="87">
        <f>(('indice Carburant'!I10-'Indexation Client 2026'!$D$27)*'Indexation Client 2026'!$F$27)*'Indexation Client 2026'!$H$27</f>
        <v>-15.311296</v>
      </c>
      <c r="P27" s="87">
        <f>(('indice Carburant'!J10-'Indexation Client 2026'!$D$27)*'Indexation Client 2026'!$F$27)*'Indexation Client 2026'!$H$27</f>
        <v>-15.311296</v>
      </c>
      <c r="Q27" s="87">
        <f>(('indice Carburant'!K10-'Indexation Client 2026'!$D$27)*'Indexation Client 2026'!$F$27)*'Indexation Client 2026'!$H$27</f>
        <v>-15.311296</v>
      </c>
      <c r="R27" s="87">
        <f>(('indice Carburant'!L10-'Indexation Client 2026'!$D$27)*'Indexation Client 2026'!$F$27)*'Indexation Client 2026'!$H$27</f>
        <v>-15.311296</v>
      </c>
      <c r="S27" s="87">
        <f>(('indice Carburant'!M10-'Indexation Client 2026'!$D$27)*'Indexation Client 2026'!$F$27)*'Indexation Client 2026'!$H$27</f>
        <v>-15.311296</v>
      </c>
      <c r="T27" s="87">
        <f>(('indice Carburant'!N10-'Indexation Client 2026'!$D$27)*'Indexation Client 2026'!$F$27)*'Indexation Client 2026'!$H$27</f>
        <v>-15.311296</v>
      </c>
      <c r="U27" s="87">
        <f>(('indice Carburant'!O10-'Indexation Client 2026'!$D$27)*'Indexation Client 2026'!$F$27)*'Indexation Client 2026'!$H$27</f>
        <v>-15.311296</v>
      </c>
    </row>
    <row r="28" spans="1:21" ht="15.6" x14ac:dyDescent="0.3">
      <c r="A28" s="33" t="s">
        <v>60</v>
      </c>
      <c r="B28" s="30" t="s">
        <v>254</v>
      </c>
      <c r="C28" s="37" t="s">
        <v>61</v>
      </c>
      <c r="D28" s="54">
        <v>1.3384</v>
      </c>
      <c r="E28" s="30" t="s">
        <v>267</v>
      </c>
      <c r="F28" s="30">
        <v>0.26</v>
      </c>
      <c r="G28" s="30" t="s">
        <v>40</v>
      </c>
      <c r="H28" s="30">
        <v>44</v>
      </c>
      <c r="I28" s="32"/>
      <c r="J28" s="109">
        <f>(('indice Carburant'!D10-'Indexation Client 2026'!$D$28)*'Indexation Client 2026'!$F$28)*'Indexation Client 2026'!$H$28</f>
        <v>0</v>
      </c>
      <c r="K28" s="109">
        <f>(('indice Carburant'!E10-'Indexation Client 2026'!$D$28)*'Indexation Client 2026'!$F$28)*'Indexation Client 2026'!$H$28</f>
        <v>0.26998400000000078</v>
      </c>
      <c r="L28" s="109">
        <f>(('indice Carburant'!F10-'Indexation Client 2026'!$D$28)*'Indexation Client 2026'!$F$28)*'Indexation Client 2026'!$H$28</f>
        <v>0.63263199999999897</v>
      </c>
      <c r="M28" s="87">
        <f>(('indice Carburant'!G10-'Indexation Client 2026'!$D$28)*'Indexation Client 2026'!$F$28)*'Indexation Client 2026'!$H$28</f>
        <v>4.3929599999999986</v>
      </c>
      <c r="N28" s="87">
        <f>(('indice Carburant'!H10-'Indexation Client 2026'!$D$28)*'Indexation Client 2026'!$F$28)*'Indexation Client 2026'!$H$28</f>
        <v>-15.311296</v>
      </c>
      <c r="O28" s="87">
        <f>(('indice Carburant'!I10-'Indexation Client 2026'!$D$28)*'Indexation Client 2026'!$F$28)*'Indexation Client 2026'!$H$28</f>
        <v>-15.311296</v>
      </c>
      <c r="P28" s="87">
        <f>(('indice Carburant'!J10-'Indexation Client 2026'!$D$28)*'Indexation Client 2026'!$F$28)*'Indexation Client 2026'!$H$28</f>
        <v>-15.311296</v>
      </c>
      <c r="Q28" s="87">
        <f>(('indice Carburant'!K10-'Indexation Client 2026'!$D$28)*'Indexation Client 2026'!$F$28)*'Indexation Client 2026'!$H$28</f>
        <v>-15.311296</v>
      </c>
      <c r="R28" s="87">
        <f>(('indice Carburant'!L10-'Indexation Client 2026'!$D$28)*'Indexation Client 2026'!$F$28)*'Indexation Client 2026'!$H$28</f>
        <v>-15.311296</v>
      </c>
      <c r="S28" s="87">
        <f>(('indice Carburant'!M10-'Indexation Client 2026'!$D$28)*'Indexation Client 2026'!$F$28)*'Indexation Client 2026'!$H$28</f>
        <v>-15.311296</v>
      </c>
      <c r="T28" s="87">
        <f>(('indice Carburant'!N10-'Indexation Client 2026'!$D$28)*'Indexation Client 2026'!$F$28)*'Indexation Client 2026'!$H$28</f>
        <v>-15.311296</v>
      </c>
      <c r="U28" s="87">
        <f>(('indice Carburant'!O10-'Indexation Client 2026'!$D$28)*'Indexation Client 2026'!$F$28)*'Indexation Client 2026'!$H$28</f>
        <v>-15.311296</v>
      </c>
    </row>
    <row r="29" spans="1:21" ht="15.6" x14ac:dyDescent="0.3">
      <c r="A29" s="33" t="s">
        <v>62</v>
      </c>
      <c r="B29" s="30" t="s">
        <v>63</v>
      </c>
      <c r="C29" s="37" t="s">
        <v>64</v>
      </c>
      <c r="D29" s="40" t="s">
        <v>65</v>
      </c>
      <c r="E29" s="40"/>
      <c r="F29" s="40"/>
      <c r="G29" s="40"/>
      <c r="H29" s="40"/>
      <c r="I29" s="32"/>
      <c r="J29" s="111"/>
      <c r="K29" s="111"/>
      <c r="L29" s="111"/>
      <c r="M29" s="89"/>
      <c r="N29" s="89"/>
      <c r="O29" s="89"/>
      <c r="P29" s="89"/>
      <c r="Q29" s="89"/>
      <c r="R29" s="89"/>
      <c r="S29" s="89"/>
      <c r="T29" s="89"/>
      <c r="U29" s="89"/>
    </row>
    <row r="30" spans="1:21" ht="15.6" x14ac:dyDescent="0.3">
      <c r="A30" s="33" t="s">
        <v>62</v>
      </c>
      <c r="B30" s="30" t="s">
        <v>66</v>
      </c>
      <c r="C30" s="37" t="s">
        <v>64</v>
      </c>
      <c r="D30" s="30">
        <v>180.42</v>
      </c>
      <c r="E30" s="30" t="s">
        <v>27</v>
      </c>
      <c r="F30" s="42">
        <v>0.13980000000000001</v>
      </c>
      <c r="G30" s="30" t="s">
        <v>67</v>
      </c>
      <c r="H30" s="43">
        <v>3.4</v>
      </c>
      <c r="I30" s="32"/>
      <c r="J30" s="110">
        <f>((('indice Carburant'!D6/'Indexation Client 2026'!$D$30)-1)*'Indexation Client 2026'!$F$30)*'Indexation Client 2026'!$H$30+$H$30</f>
        <v>3.4028979714000664</v>
      </c>
      <c r="K30" s="110">
        <f>((('indice Carburant'!E6/'Indexation Client 2026'!$D$30)-1)*'Indexation Client 2026'!$F$30)*'Indexation Client 2026'!$H$30+$H$30</f>
        <v>3.4190739208513468</v>
      </c>
      <c r="L30" s="110">
        <f>((('indice Carburant'!F6/'Indexation Client 2026'!$D$30)-1)*'Indexation Client 2026'!$F$30)*'Indexation Client 2026'!$H$30+$H$30</f>
        <v>3.4340379913535086</v>
      </c>
      <c r="M30" s="90">
        <f>((('indice Carburant'!G6/'Indexation Client 2026'!$D$30)-1)*'Indexation Client 2026'!$F$30)*'Indexation Client 2026'!$H$30+$H$30</f>
        <v>3.5782515862986366</v>
      </c>
      <c r="N30" s="43">
        <f>((('indice Carburant'!H6/'Indexation Client 2026'!$D$30)-1)*'Indexation Client 2026'!$F$30)*'Indexation Client 2026'!$H$30+$H$30</f>
        <v>2.9246799999999999</v>
      </c>
      <c r="O30" s="43">
        <f>((('indice Carburant'!I6/'Indexation Client 2026'!$D$30)-1)*'Indexation Client 2026'!$F$30)*'Indexation Client 2026'!$H$30+$H$30</f>
        <v>2.9246799999999999</v>
      </c>
      <c r="P30" s="43">
        <f>((('indice Carburant'!J6/'Indexation Client 2026'!$D$30)-1)*'Indexation Client 2026'!$F$30)*'Indexation Client 2026'!$H$30+$H$30</f>
        <v>2.9246799999999999</v>
      </c>
      <c r="Q30" s="43">
        <f>((('indice Carburant'!K6/'Indexation Client 2026'!$D$30)-1)*'Indexation Client 2026'!$F$30)*'Indexation Client 2026'!$H$30+$H$30</f>
        <v>2.9246799999999999</v>
      </c>
      <c r="R30" s="43">
        <f>((('indice Carburant'!L6/'Indexation Client 2026'!$D$30)-1)*'Indexation Client 2026'!$F$30)*'Indexation Client 2026'!$H$30+$H$30</f>
        <v>2.9246799999999999</v>
      </c>
      <c r="S30" s="43">
        <f>((('indice Carburant'!M6/'Indexation Client 2026'!$D$30)-1)*'Indexation Client 2026'!$F$30)*'Indexation Client 2026'!$H$30+$H$30</f>
        <v>2.9246799999999999</v>
      </c>
      <c r="T30" s="43">
        <f>((('indice Carburant'!N6/'Indexation Client 2026'!$D$30)-1)*'Indexation Client 2026'!$F$30)*'Indexation Client 2026'!$H$30+$H$30</f>
        <v>2.9246799999999999</v>
      </c>
      <c r="U30" s="43">
        <f>((('indice Carburant'!O6/'Indexation Client 2026'!$D$30)-1)*'Indexation Client 2026'!$F$30)*'Indexation Client 2026'!$H$30+$H$30</f>
        <v>2.9246799999999999</v>
      </c>
    </row>
    <row r="31" spans="1:21" ht="15.6" x14ac:dyDescent="0.3">
      <c r="A31" s="33" t="s">
        <v>62</v>
      </c>
      <c r="B31" s="30" t="s">
        <v>68</v>
      </c>
      <c r="C31" s="37" t="s">
        <v>64</v>
      </c>
      <c r="D31" s="30">
        <v>273.99</v>
      </c>
      <c r="E31" s="30" t="s">
        <v>27</v>
      </c>
      <c r="F31" s="42">
        <v>0.2137</v>
      </c>
      <c r="G31" s="30" t="s">
        <v>67</v>
      </c>
      <c r="H31" s="43">
        <v>2.5021</v>
      </c>
      <c r="I31" s="32"/>
      <c r="J31" s="110">
        <f>((('indice Carburant'!D6/'Indexation Client 2026'!$D$31)-1)*'Indexation Client 2026'!$F$31)*'Indexation Client 2026'!$H$31+$H$31</f>
        <v>2.3216423363557066</v>
      </c>
      <c r="K31" s="110">
        <f>((('indice Carburant'!E6/'Indexation Client 2026'!$D$31)-1)*'Indexation Client 2026'!$F$31)*'Indexation Client 2026'!$H$31+$H$31</f>
        <v>2.3336247096094747</v>
      </c>
      <c r="L31" s="110">
        <f>((('indice Carburant'!F6/'Indexation Client 2026'!$D$31)-1)*'Indexation Client 2026'!$F$31)*'Indexation Client 2026'!$H$31+$H$31</f>
        <v>2.344709380632505</v>
      </c>
      <c r="M31" s="90">
        <f>((('indice Carburant'!G6/'Indexation Client 2026'!$D$31)-1)*'Indexation Client 2026'!$F$31)*'Indexation Client 2026'!$H$31+$H$31</f>
        <v>2.4515359460903681</v>
      </c>
      <c r="N31" s="43">
        <f>((('indice Carburant'!H6/'Indexation Client 2026'!$D$31)-1)*'Indexation Client 2026'!$F$31)*'Indexation Client 2026'!$H$31+$H$31</f>
        <v>1.9674012300000001</v>
      </c>
      <c r="O31" s="43">
        <f>((('indice Carburant'!I6/'Indexation Client 2026'!$D$31)-1)*'Indexation Client 2026'!$F$31)*'Indexation Client 2026'!$H$31+$H$31</f>
        <v>1.9674012300000001</v>
      </c>
      <c r="P31" s="43">
        <f>((('indice Carburant'!J6/'Indexation Client 2026'!$D$31)-1)*'Indexation Client 2026'!$F$31)*'Indexation Client 2026'!$H$31+$H$31</f>
        <v>1.9674012300000001</v>
      </c>
      <c r="Q31" s="43">
        <f>((('indice Carburant'!K6/'Indexation Client 2026'!$D$31)-1)*'Indexation Client 2026'!$F$31)*'Indexation Client 2026'!$H$31+$H$31</f>
        <v>1.9674012300000001</v>
      </c>
      <c r="R31" s="43">
        <f>((('indice Carburant'!L6/'Indexation Client 2026'!$D$31)-1)*'Indexation Client 2026'!$F$31)*'Indexation Client 2026'!$H$31+$H$31</f>
        <v>1.9674012300000001</v>
      </c>
      <c r="S31" s="43">
        <f>((('indice Carburant'!M6/'Indexation Client 2026'!$D$31)-1)*'Indexation Client 2026'!$F$31)*'Indexation Client 2026'!$H$31+$H$31</f>
        <v>1.9674012300000001</v>
      </c>
      <c r="T31" s="43">
        <f>((('indice Carburant'!N6/'Indexation Client 2026'!$D$31)-1)*'Indexation Client 2026'!$F$31)*'Indexation Client 2026'!$H$31+$H$31</f>
        <v>1.9674012300000001</v>
      </c>
      <c r="U31" s="43">
        <f>((('indice Carburant'!O6/'Indexation Client 2026'!$D$31)-1)*'Indexation Client 2026'!$F$31)*'Indexation Client 2026'!$H$31+$H$31</f>
        <v>1.9674012300000001</v>
      </c>
    </row>
    <row r="32" spans="1:21" ht="15.6" x14ac:dyDescent="0.3">
      <c r="A32" s="33" t="s">
        <v>62</v>
      </c>
      <c r="B32" s="35" t="s">
        <v>69</v>
      </c>
      <c r="C32" s="37" t="s">
        <v>64</v>
      </c>
      <c r="D32" s="30">
        <v>182.15</v>
      </c>
      <c r="E32" s="30" t="s">
        <v>70</v>
      </c>
      <c r="F32" s="42">
        <v>0.16839999999999999</v>
      </c>
      <c r="G32" s="30" t="s">
        <v>67</v>
      </c>
      <c r="H32" s="43">
        <v>2.4129999999999998</v>
      </c>
      <c r="I32" s="32"/>
      <c r="J32" s="110">
        <f>((('indice Carburant'!D13/'Indexation Client 2026'!$D$32)-1)*'Indexation Client 2026'!$F$32)*'Indexation Client 2026'!$H$32+$H$32</f>
        <v>2.366776802503431</v>
      </c>
      <c r="K32" s="110">
        <f>((('indice Carburant'!E13/'Indexation Client 2026'!$D$32)-1)*'Indexation Client 2026'!$F$32)*'Indexation Client 2026'!$H$32+$H$32</f>
        <v>2.3627166567773812</v>
      </c>
      <c r="L32" s="110">
        <f>((('indice Carburant'!F13/'Indexation Client 2026'!$D$32)-1)*'Indexation Client 2026'!$F$32)*'Indexation Client 2026'!$H$32+$H$32</f>
        <v>2.403028103628877</v>
      </c>
      <c r="M32" s="90">
        <f>((('indice Carburant'!G13/'Indexation Client 2026'!$D$32)-1)*'Indexation Client 2026'!$F$32)*'Indexation Client 2026'!$H$32+$H$32</f>
        <v>2.0066508000000001</v>
      </c>
      <c r="N32" s="43">
        <f>((('indice Carburant'!H13/'Indexation Client 2026'!$D$32)-1)*'Indexation Client 2026'!$F$32)*'Indexation Client 2026'!$H$32+$H$32</f>
        <v>2.0066508000000001</v>
      </c>
      <c r="O32" s="43">
        <f>((('indice Carburant'!I13/'Indexation Client 2026'!$D$32)-1)*'Indexation Client 2026'!$F$32)*'Indexation Client 2026'!$H$32+$H$32</f>
        <v>2.0066508000000001</v>
      </c>
      <c r="P32" s="43">
        <f>((('indice Carburant'!J13/'Indexation Client 2026'!$D$32)-1)*'Indexation Client 2026'!$F$32)*'Indexation Client 2026'!$H$32+$H$32</f>
        <v>2.0066508000000001</v>
      </c>
      <c r="Q32" s="43">
        <f>((('indice Carburant'!K13/'Indexation Client 2026'!$D$32)-1)*'Indexation Client 2026'!$F$32)*'Indexation Client 2026'!$H$32+$H$32</f>
        <v>2.0066508000000001</v>
      </c>
      <c r="R32" s="43">
        <f>((('indice Carburant'!L13/'Indexation Client 2026'!$D$32)-1)*'Indexation Client 2026'!$F$32)*'Indexation Client 2026'!$H$32+$H$32</f>
        <v>2.0066508000000001</v>
      </c>
      <c r="S32" s="43">
        <f>((('indice Carburant'!M13/'Indexation Client 2026'!$D$32)-1)*'Indexation Client 2026'!$F$32)*'Indexation Client 2026'!$H$32+$H$32</f>
        <v>2.0066508000000001</v>
      </c>
      <c r="T32" s="43">
        <f>((('indice Carburant'!N13/'Indexation Client 2026'!$D$32)-1)*'Indexation Client 2026'!$F$32)*'Indexation Client 2026'!$H$32+$H$32</f>
        <v>2.0066508000000001</v>
      </c>
      <c r="U32" s="43">
        <f>((('indice Carburant'!O13/'Indexation Client 2026'!$D$32)-1)*'Indexation Client 2026'!$F$32)*'Indexation Client 2026'!$H$32+$H$32</f>
        <v>2.0066508000000001</v>
      </c>
    </row>
    <row r="33" spans="1:21" ht="15.6" x14ac:dyDescent="0.3">
      <c r="A33" s="33" t="s">
        <v>62</v>
      </c>
      <c r="B33" s="35" t="s">
        <v>71</v>
      </c>
      <c r="C33" s="37" t="s">
        <v>64</v>
      </c>
      <c r="D33" s="30">
        <v>182.15</v>
      </c>
      <c r="E33" s="30" t="s">
        <v>70</v>
      </c>
      <c r="F33" s="42">
        <v>9.8299999999999998E-2</v>
      </c>
      <c r="G33" s="30" t="s">
        <v>67</v>
      </c>
      <c r="H33" s="43">
        <v>4.1349999999999998</v>
      </c>
      <c r="I33" s="32"/>
      <c r="J33" s="110">
        <f>((('indice Carburant'!D13/'Indexation Client 2026'!$D$33)-1)*'Indexation Client 2026'!$F$33)*'Indexation Client 2026'!$H$33+$H$33</f>
        <v>4.0887630043370846</v>
      </c>
      <c r="K33" s="110">
        <f>((('indice Carburant'!E13/'Indexation Client 2026'!$D$33)-1)*'Indexation Client 2026'!$F$33)*'Indexation Client 2026'!$H$33+$H$33</f>
        <v>4.0847016466099371</v>
      </c>
      <c r="L33" s="110">
        <f>((('indice Carburant'!F13/'Indexation Client 2026'!$D$33)-1)*'Indexation Client 2026'!$F$33)*'Indexation Client 2026'!$H$33+$H$33</f>
        <v>4.1250251269009057</v>
      </c>
      <c r="M33" s="90">
        <f>((('indice Carburant'!G13/'Indexation Client 2026'!$D$33)-1)*'Indexation Client 2026'!$F$33)*'Indexation Client 2026'!$H$33+$H$33</f>
        <v>3.7285294999999996</v>
      </c>
      <c r="N33" s="43">
        <f>((('indice Carburant'!H13/'Indexation Client 2026'!$D$33)-1)*'Indexation Client 2026'!$F$33)*'Indexation Client 2026'!$H$33+$H$33</f>
        <v>3.7285294999999996</v>
      </c>
      <c r="O33" s="43">
        <f>((('indice Carburant'!I13/'Indexation Client 2026'!$D$33)-1)*'Indexation Client 2026'!$F$33)*'Indexation Client 2026'!$H$33+$H$33</f>
        <v>3.7285294999999996</v>
      </c>
      <c r="P33" s="43">
        <f>((('indice Carburant'!J13/'Indexation Client 2026'!$D$33)-1)*'Indexation Client 2026'!$F$33)*'Indexation Client 2026'!$H$33+$H$33</f>
        <v>3.7285294999999996</v>
      </c>
      <c r="Q33" s="43">
        <f>((('indice Carburant'!K13/'Indexation Client 2026'!$D$33)-1)*'Indexation Client 2026'!$F$33)*'Indexation Client 2026'!$H$33+$H$33</f>
        <v>3.7285294999999996</v>
      </c>
      <c r="R33" s="43">
        <f>((('indice Carburant'!L13/'Indexation Client 2026'!$D$33)-1)*'Indexation Client 2026'!$F$33)*'Indexation Client 2026'!$H$33+$H$33</f>
        <v>3.7285294999999996</v>
      </c>
      <c r="S33" s="43">
        <f>((('indice Carburant'!M13/'Indexation Client 2026'!$D$33)-1)*'Indexation Client 2026'!$F$33)*'Indexation Client 2026'!$H$33+$H$33</f>
        <v>3.7285294999999996</v>
      </c>
      <c r="T33" s="43">
        <f>((('indice Carburant'!N13/'Indexation Client 2026'!$D$33)-1)*'Indexation Client 2026'!$F$33)*'Indexation Client 2026'!$H$33+$H$33</f>
        <v>3.7285294999999996</v>
      </c>
      <c r="U33" s="43">
        <f>((('indice Carburant'!O13/'Indexation Client 2026'!$D$33)-1)*'Indexation Client 2026'!$F$33)*'Indexation Client 2026'!$H$33+$H$33</f>
        <v>3.7285294999999996</v>
      </c>
    </row>
    <row r="34" spans="1:21" ht="15.6" x14ac:dyDescent="0.3">
      <c r="A34" s="33" t="s">
        <v>62</v>
      </c>
      <c r="B34" s="35" t="s">
        <v>72</v>
      </c>
      <c r="C34" s="37" t="s">
        <v>64</v>
      </c>
      <c r="D34" s="30">
        <v>182.15</v>
      </c>
      <c r="E34" s="30" t="s">
        <v>70</v>
      </c>
      <c r="F34" s="42">
        <v>0.16900000000000001</v>
      </c>
      <c r="G34" s="30" t="s">
        <v>67</v>
      </c>
      <c r="H34" s="43">
        <v>2.2547999999999999</v>
      </c>
      <c r="I34" s="32"/>
      <c r="J34" s="110">
        <f>((('indice Carburant'!D13/'Indexation Client 2026'!$D$34)-1)*'Indexation Client 2026'!$F$34)*'Indexation Client 2026'!$H$34+$H$34</f>
        <v>2.2114533732418336</v>
      </c>
      <c r="K34" s="110">
        <f>((('indice Carburant'!E13/'Indexation Client 2026'!$D$34)-1)*'Indexation Client 2026'!$F$34)*'Indexation Client 2026'!$H$34+$H$34</f>
        <v>2.2076458992698327</v>
      </c>
      <c r="L34" s="110">
        <f>((('indice Carburant'!F13/'Indexation Client 2026'!$D$34)-1)*'Indexation Client 2026'!$F$34)*'Indexation Client 2026'!$H$34+$H$34</f>
        <v>2.2454486765632722</v>
      </c>
      <c r="M34" s="90">
        <f>((('indice Carburant'!G13/'Indexation Client 2026'!$D$34)-1)*'Indexation Client 2026'!$F$34)*'Indexation Client 2026'!$H$34+$H$34</f>
        <v>1.8737387999999999</v>
      </c>
      <c r="N34" s="43">
        <f>((('indice Carburant'!H13/'Indexation Client 2026'!$D$34)-1)*'Indexation Client 2026'!$F$34)*'Indexation Client 2026'!$H$34+$H$34</f>
        <v>1.8737387999999999</v>
      </c>
      <c r="O34" s="43">
        <f>((('indice Carburant'!I13/'Indexation Client 2026'!$D$34)-1)*'Indexation Client 2026'!$F$34)*'Indexation Client 2026'!$H$34+$H$34</f>
        <v>1.8737387999999999</v>
      </c>
      <c r="P34" s="43">
        <f>((('indice Carburant'!J13/'Indexation Client 2026'!$D$34)-1)*'Indexation Client 2026'!$F$34)*'Indexation Client 2026'!$H$34+$H$34</f>
        <v>1.8737387999999999</v>
      </c>
      <c r="Q34" s="43">
        <f>((('indice Carburant'!K13/'Indexation Client 2026'!$D$34)-1)*'Indexation Client 2026'!$F$34)*'Indexation Client 2026'!$H$34+$H$34</f>
        <v>1.8737387999999999</v>
      </c>
      <c r="R34" s="43">
        <f>((('indice Carburant'!L13/'Indexation Client 2026'!$D$34)-1)*'Indexation Client 2026'!$F$34)*'Indexation Client 2026'!$H$34+$H$34</f>
        <v>1.8737387999999999</v>
      </c>
      <c r="S34" s="43">
        <f>((('indice Carburant'!M13/'Indexation Client 2026'!$D$34)-1)*'Indexation Client 2026'!$F$34)*'Indexation Client 2026'!$H$34+$H$34</f>
        <v>1.8737387999999999</v>
      </c>
      <c r="T34" s="43">
        <f>((('indice Carburant'!N13/'Indexation Client 2026'!$D$34)-1)*'Indexation Client 2026'!$F$34)*'Indexation Client 2026'!$H$34+$H$34</f>
        <v>1.8737387999999999</v>
      </c>
      <c r="U34" s="43">
        <f>((('indice Carburant'!O13/'Indexation Client 2026'!$D$34)-1)*'Indexation Client 2026'!$F$34)*'Indexation Client 2026'!$H$34+$H$34</f>
        <v>1.8737387999999999</v>
      </c>
    </row>
    <row r="35" spans="1:21" ht="15.6" x14ac:dyDescent="0.3">
      <c r="A35" s="33" t="s">
        <v>62</v>
      </c>
      <c r="B35" s="35" t="s">
        <v>73</v>
      </c>
      <c r="C35" s="37" t="s">
        <v>64</v>
      </c>
      <c r="D35" s="30">
        <v>182.15</v>
      </c>
      <c r="E35" s="30" t="s">
        <v>70</v>
      </c>
      <c r="F35" s="42">
        <v>0.19420000000000001</v>
      </c>
      <c r="G35" s="30" t="s">
        <v>67</v>
      </c>
      <c r="H35" s="43">
        <v>2.0314999999999999</v>
      </c>
      <c r="I35" s="32"/>
      <c r="J35" s="110">
        <f>((('indice Carburant'!D13/'Indexation Client 2026'!$D$35)-1)*'Indexation Client 2026'!$F$35)*'Indexation Client 2026'!$H$35+$H$35</f>
        <v>1.9866227095470765</v>
      </c>
      <c r="K35" s="110">
        <f>((('indice Carburant'!E13/'Indexation Client 2026'!$D$35)-1)*'Indexation Client 2026'!$F$35)*'Indexation Client 2026'!$H$35+$H$35</f>
        <v>1.9826807853856709</v>
      </c>
      <c r="L35" s="110">
        <f>((('indice Carburant'!F13/'Indexation Client 2026'!$D$35)-1)*'Indexation Client 2026'!$F$35)*'Indexation Client 2026'!$H$35+$H$35</f>
        <v>2.0218184609881966</v>
      </c>
      <c r="M35" s="90">
        <f>((('indice Carburant'!G13/'Indexation Client 2026'!$D$35)-1)*'Indexation Client 2026'!$F$35)*'Indexation Client 2026'!$H$35+$H$35</f>
        <v>1.6369826999999999</v>
      </c>
      <c r="N35" s="43">
        <f>((('indice Carburant'!H13/'Indexation Client 2026'!$D$35)-1)*'Indexation Client 2026'!$F$35)*'Indexation Client 2026'!$H$35+$H$35</f>
        <v>1.6369826999999999</v>
      </c>
      <c r="O35" s="43">
        <f>((('indice Carburant'!I13/'Indexation Client 2026'!$D$35)-1)*'Indexation Client 2026'!$F$35)*'Indexation Client 2026'!$H$35+$H$35</f>
        <v>1.6369826999999999</v>
      </c>
      <c r="P35" s="43">
        <f>((('indice Carburant'!J13/'Indexation Client 2026'!$D$35)-1)*'Indexation Client 2026'!$F$35)*'Indexation Client 2026'!$H$35+$H$35</f>
        <v>1.6369826999999999</v>
      </c>
      <c r="Q35" s="43">
        <f>((('indice Carburant'!K13/'Indexation Client 2026'!$D$35)-1)*'Indexation Client 2026'!$F$35)*'Indexation Client 2026'!$H$35+$H$35</f>
        <v>1.6369826999999999</v>
      </c>
      <c r="R35" s="43">
        <f>((('indice Carburant'!L13/'Indexation Client 2026'!$D$35)-1)*'Indexation Client 2026'!$F$35)*'Indexation Client 2026'!$H$35+$H$35</f>
        <v>1.6369826999999999</v>
      </c>
      <c r="S35" s="43">
        <f>((('indice Carburant'!M13/'Indexation Client 2026'!$D$35)-1)*'Indexation Client 2026'!$F$35)*'Indexation Client 2026'!$H$35+$H$35</f>
        <v>1.6369826999999999</v>
      </c>
      <c r="T35" s="43">
        <f>((('indice Carburant'!N13/'Indexation Client 2026'!$D$35)-1)*'Indexation Client 2026'!$F$35)*'Indexation Client 2026'!$H$35+$H$35</f>
        <v>1.6369826999999999</v>
      </c>
      <c r="U35" s="43">
        <f>((('indice Carburant'!O13/'Indexation Client 2026'!$D$35)-1)*'Indexation Client 2026'!$F$35)*'Indexation Client 2026'!$H$35+$H$35</f>
        <v>1.6369826999999999</v>
      </c>
    </row>
    <row r="36" spans="1:21" ht="15.6" x14ac:dyDescent="0.3">
      <c r="A36" s="33" t="s">
        <v>62</v>
      </c>
      <c r="B36" s="35" t="s">
        <v>74</v>
      </c>
      <c r="C36" s="37" t="s">
        <v>64</v>
      </c>
      <c r="D36" s="30">
        <v>182.15</v>
      </c>
      <c r="E36" s="30" t="s">
        <v>70</v>
      </c>
      <c r="F36" s="42">
        <v>0.23799999999999999</v>
      </c>
      <c r="G36" s="30" t="s">
        <v>67</v>
      </c>
      <c r="H36" s="43">
        <v>1.7074</v>
      </c>
      <c r="I36" s="32"/>
      <c r="J36" s="110">
        <f>((('indice Carburant'!D13/'Indexation Client 2026'!$D$36)-1)*'Indexation Client 2026'!$F$36)*'Indexation Client 2026'!$H$36+$H$36</f>
        <v>1.6611754374746088</v>
      </c>
      <c r="K36" s="110">
        <f>((('indice Carburant'!E13/'Indexation Client 2026'!$D$36)-1)*'Indexation Client 2026'!$F$36)*'Indexation Client 2026'!$H$36+$H$36</f>
        <v>1.6571151718473787</v>
      </c>
      <c r="L36" s="110">
        <f>((('indice Carburant'!F13/'Indexation Client 2026'!$D$36)-1)*'Indexation Client 2026'!$F$36)*'Indexation Client 2026'!$H$36+$H$36</f>
        <v>1.697427809146308</v>
      </c>
      <c r="M36" s="90">
        <f>((('indice Carburant'!G13/'Indexation Client 2026'!$D$36)-1)*'Indexation Client 2026'!$F$36)*'Indexation Client 2026'!$H$36+$H$36</f>
        <v>1.3010388000000002</v>
      </c>
      <c r="N36" s="43">
        <f>((('indice Carburant'!H13/'Indexation Client 2026'!$D$36)-1)*'Indexation Client 2026'!$F$36)*'Indexation Client 2026'!$H$36+$H$36</f>
        <v>1.3010388000000002</v>
      </c>
      <c r="O36" s="43">
        <f>((('indice Carburant'!I13/'Indexation Client 2026'!$D$36)-1)*'Indexation Client 2026'!$F$36)*'Indexation Client 2026'!$H$36+$H$36</f>
        <v>1.3010388000000002</v>
      </c>
      <c r="P36" s="43">
        <f>((('indice Carburant'!J13/'Indexation Client 2026'!$D$36)-1)*'Indexation Client 2026'!$F$36)*'Indexation Client 2026'!$H$36+$H$36</f>
        <v>1.3010388000000002</v>
      </c>
      <c r="Q36" s="43">
        <f>((('indice Carburant'!K13/'Indexation Client 2026'!$D$36)-1)*'Indexation Client 2026'!$F$36)*'Indexation Client 2026'!$H$36+$H$36</f>
        <v>1.3010388000000002</v>
      </c>
      <c r="R36" s="43">
        <f>((('indice Carburant'!L13/'Indexation Client 2026'!$D$36)-1)*'Indexation Client 2026'!$F$36)*'Indexation Client 2026'!$H$36+$H$36</f>
        <v>1.3010388000000002</v>
      </c>
      <c r="S36" s="43">
        <f>((('indice Carburant'!M13/'Indexation Client 2026'!$D$36)-1)*'Indexation Client 2026'!$F$36)*'Indexation Client 2026'!$H$36+$H$36</f>
        <v>1.3010388000000002</v>
      </c>
      <c r="T36" s="43">
        <f>((('indice Carburant'!N13/'Indexation Client 2026'!$D$36)-1)*'Indexation Client 2026'!$F$36)*'Indexation Client 2026'!$H$36+$H$36</f>
        <v>1.3010388000000002</v>
      </c>
      <c r="U36" s="43">
        <f>((('indice Carburant'!O13/'Indexation Client 2026'!$D$36)-1)*'Indexation Client 2026'!$F$36)*'Indexation Client 2026'!$H$36+$H$36</f>
        <v>1.3010388000000002</v>
      </c>
    </row>
    <row r="37" spans="1:21" ht="15.6" x14ac:dyDescent="0.3">
      <c r="A37" s="33" t="s">
        <v>62</v>
      </c>
      <c r="B37" s="35" t="s">
        <v>75</v>
      </c>
      <c r="C37" s="37" t="s">
        <v>64</v>
      </c>
      <c r="D37" s="30">
        <v>182.15</v>
      </c>
      <c r="E37" s="30" t="s">
        <v>70</v>
      </c>
      <c r="F37" s="42">
        <v>0.20030000000000001</v>
      </c>
      <c r="G37" s="30" t="s">
        <v>67</v>
      </c>
      <c r="H37" s="43">
        <v>2.4700000000000002</v>
      </c>
      <c r="I37" s="32"/>
      <c r="J37" s="110">
        <f>((('indice Carburant'!D13/'Indexation Client 2026'!$D$37)-1)*'Indexation Client 2026'!$F$37)*'Indexation Client 2026'!$H$37+$H$37</f>
        <v>2.4137220229481198</v>
      </c>
      <c r="K37" s="110">
        <f>((('indice Carburant'!E13/'Indexation Client 2026'!$D$37)-1)*'Indexation Client 2026'!$F$37)*'Indexation Client 2026'!$H$37+$H$37</f>
        <v>2.4087786871259951</v>
      </c>
      <c r="L37" s="110">
        <f>((('indice Carburant'!F13/'Indexation Client 2026'!$D$37)-1)*'Indexation Client 2026'!$F$37)*'Indexation Client 2026'!$H$37+$H$37</f>
        <v>2.4578589499313757</v>
      </c>
      <c r="M37" s="90">
        <f>((('indice Carburant'!G13/'Indexation Client 2026'!$D$37)-1)*'Indexation Client 2026'!$F$37)*'Indexation Client 2026'!$H$37+$H$37</f>
        <v>1.9752590000000001</v>
      </c>
      <c r="N37" s="43">
        <f>((('indice Carburant'!H13/'Indexation Client 2026'!$D$37)-1)*'Indexation Client 2026'!$F$37)*'Indexation Client 2026'!$H$37+$H$37</f>
        <v>1.9752590000000001</v>
      </c>
      <c r="O37" s="43">
        <f>((('indice Carburant'!I13/'Indexation Client 2026'!$D$37)-1)*'Indexation Client 2026'!$F$37)*'Indexation Client 2026'!$H$37+$H$37</f>
        <v>1.9752590000000001</v>
      </c>
      <c r="P37" s="43">
        <f>((('indice Carburant'!J13/'Indexation Client 2026'!$D$37)-1)*'Indexation Client 2026'!$F$37)*'Indexation Client 2026'!$H$37+$H$37</f>
        <v>1.9752590000000001</v>
      </c>
      <c r="Q37" s="43">
        <f>((('indice Carburant'!K13/'Indexation Client 2026'!$D$37)-1)*'Indexation Client 2026'!$F$37)*'Indexation Client 2026'!$H$37+$H$37</f>
        <v>1.9752590000000001</v>
      </c>
      <c r="R37" s="43">
        <f>((('indice Carburant'!L13/'Indexation Client 2026'!$D$37)-1)*'Indexation Client 2026'!$F$37)*'Indexation Client 2026'!$H$37+$H$37</f>
        <v>1.9752590000000001</v>
      </c>
      <c r="S37" s="43">
        <f>((('indice Carburant'!M13/'Indexation Client 2026'!$D$37)-1)*'Indexation Client 2026'!$F$37)*'Indexation Client 2026'!$H$37+$H$37</f>
        <v>1.9752590000000001</v>
      </c>
      <c r="T37" s="43">
        <f>((('indice Carburant'!N13/'Indexation Client 2026'!$D$37)-1)*'Indexation Client 2026'!$F$37)*'Indexation Client 2026'!$H$37+$H$37</f>
        <v>1.9752590000000001</v>
      </c>
      <c r="U37" s="43">
        <f>((('indice Carburant'!O13/'Indexation Client 2026'!$D$37)-1)*'Indexation Client 2026'!$F$37)*'Indexation Client 2026'!$H$37+$H$37</f>
        <v>1.9752590000000001</v>
      </c>
    </row>
    <row r="38" spans="1:21" ht="15.6" x14ac:dyDescent="0.3">
      <c r="A38" s="33" t="s">
        <v>62</v>
      </c>
      <c r="B38" s="35" t="s">
        <v>76</v>
      </c>
      <c r="C38" s="37" t="s">
        <v>64</v>
      </c>
      <c r="D38" s="30">
        <v>153.94</v>
      </c>
      <c r="E38" s="30" t="s">
        <v>70</v>
      </c>
      <c r="F38" s="42">
        <v>0.1376</v>
      </c>
      <c r="G38" s="30" t="s">
        <v>67</v>
      </c>
      <c r="H38" s="43">
        <v>4.4842000000000004</v>
      </c>
      <c r="I38" s="32"/>
      <c r="J38" s="110">
        <f>((('indice Carburant'!D13/'Indexation Client 2026'!$D$38)-1)*'Indexation Client 2026'!$F$38)*'Indexation Client 2026'!$H$38+$H$38</f>
        <v>4.5142215937430175</v>
      </c>
      <c r="K38" s="110">
        <f>((('indice Carburant'!E13/'Indexation Client 2026'!$D$38)-1)*'Indexation Client 2026'!$F$38)*'Indexation Client 2026'!$H$38+$H$38</f>
        <v>4.5069266270391068</v>
      </c>
      <c r="L38" s="110">
        <f>((('indice Carburant'!F13/'Indexation Client 2026'!$D$38)-1)*'Indexation Client 2026'!$F$38)*'Indexation Client 2026'!$H$38+$H$38</f>
        <v>4.5793552250279337</v>
      </c>
      <c r="M38" s="90">
        <f>((('indice Carburant'!G13/'Indexation Client 2026'!$D$38)-1)*'Indexation Client 2026'!$F$38)*'Indexation Client 2026'!$H$38+$H$38</f>
        <v>3.8671740800000003</v>
      </c>
      <c r="N38" s="43">
        <f>((('indice Carburant'!H13/'Indexation Client 2026'!$D$38)-1)*'Indexation Client 2026'!$F$38)*'Indexation Client 2026'!$H$38+$H$38</f>
        <v>3.8671740800000003</v>
      </c>
      <c r="O38" s="43">
        <f>((('indice Carburant'!I13/'Indexation Client 2026'!$D$38)-1)*'Indexation Client 2026'!$F$38)*'Indexation Client 2026'!$H$38+$H$38</f>
        <v>3.8671740800000003</v>
      </c>
      <c r="P38" s="43">
        <f>((('indice Carburant'!J13/'Indexation Client 2026'!$D$38)-1)*'Indexation Client 2026'!$F$38)*'Indexation Client 2026'!$H$38+$H$38</f>
        <v>3.8671740800000003</v>
      </c>
      <c r="Q38" s="43">
        <f>((('indice Carburant'!K13/'Indexation Client 2026'!$D$38)-1)*'Indexation Client 2026'!$F$38)*'Indexation Client 2026'!$H$38+$H$38</f>
        <v>3.8671740800000003</v>
      </c>
      <c r="R38" s="43">
        <f>((('indice Carburant'!L13/'Indexation Client 2026'!$D$38)-1)*'Indexation Client 2026'!$F$38)*'Indexation Client 2026'!$H$38+$H$38</f>
        <v>3.8671740800000003</v>
      </c>
      <c r="S38" s="43">
        <f>((('indice Carburant'!M13/'Indexation Client 2026'!$D$38)-1)*'Indexation Client 2026'!$F$38)*'Indexation Client 2026'!$H$38+$H$38</f>
        <v>3.8671740800000003</v>
      </c>
      <c r="T38" s="43">
        <f>((('indice Carburant'!N13/'Indexation Client 2026'!$D$38)-1)*'Indexation Client 2026'!$F$38)*'Indexation Client 2026'!$H$38+$H$38</f>
        <v>3.8671740800000003</v>
      </c>
      <c r="U38" s="43">
        <f>((('indice Carburant'!O13/'Indexation Client 2026'!$D$38)-1)*'Indexation Client 2026'!$F$38)*'Indexation Client 2026'!$H$38+$H$38</f>
        <v>3.8671740800000003</v>
      </c>
    </row>
    <row r="39" spans="1:21" ht="15.6" x14ac:dyDescent="0.3">
      <c r="A39" s="33" t="s">
        <v>62</v>
      </c>
      <c r="B39" s="35" t="s">
        <v>77</v>
      </c>
      <c r="C39" s="37" t="s">
        <v>64</v>
      </c>
      <c r="D39" s="30">
        <v>153.94</v>
      </c>
      <c r="E39" s="30" t="s">
        <v>70</v>
      </c>
      <c r="F39" s="42">
        <v>0.15640000000000001</v>
      </c>
      <c r="G39" s="30" t="s">
        <v>67</v>
      </c>
      <c r="H39" s="43">
        <v>2.4922</v>
      </c>
      <c r="I39" s="32"/>
      <c r="J39" s="110">
        <f>((('indice Carburant'!D13/'Indexation Client 2026'!$D$39)-1)*'Indexation Client 2026'!$F$39)*'Indexation Client 2026'!$H$39+$H$39</f>
        <v>2.5111648746212811</v>
      </c>
      <c r="K39" s="110">
        <f>((('indice Carburant'!E13/'Indexation Client 2026'!$D$39)-1)*'Indexation Client 2026'!$F$39)*'Indexation Client 2026'!$H$39+$H$39</f>
        <v>2.5065565873301288</v>
      </c>
      <c r="L39" s="110">
        <f>((('indice Carburant'!F13/'Indexation Client 2026'!$D$39)-1)*'Indexation Client 2026'!$F$39)*'Indexation Client 2026'!$H$39+$H$39</f>
        <v>2.552310296863713</v>
      </c>
      <c r="M39" s="90">
        <f>((('indice Carburant'!G13/'Indexation Client 2026'!$D$39)-1)*'Indexation Client 2026'!$F$39)*'Indexation Client 2026'!$H$39+$H$39</f>
        <v>2.10241992</v>
      </c>
      <c r="N39" s="43">
        <f>((('indice Carburant'!H13/'Indexation Client 2026'!$D$39)-1)*'Indexation Client 2026'!$F$39)*'Indexation Client 2026'!$H$39+$H$39</f>
        <v>2.10241992</v>
      </c>
      <c r="O39" s="43">
        <f>((('indice Carburant'!I13/'Indexation Client 2026'!$D$39)-1)*'Indexation Client 2026'!$F$39)*'Indexation Client 2026'!$H$39+$H$39</f>
        <v>2.10241992</v>
      </c>
      <c r="P39" s="43">
        <f>((('indice Carburant'!J13/'Indexation Client 2026'!$D$39)-1)*'Indexation Client 2026'!$F$39)*'Indexation Client 2026'!$H$39+$H$39</f>
        <v>2.10241992</v>
      </c>
      <c r="Q39" s="43">
        <f>((('indice Carburant'!K13/'Indexation Client 2026'!$D$39)-1)*'Indexation Client 2026'!$F$39)*'Indexation Client 2026'!$H$39+$H$39</f>
        <v>2.10241992</v>
      </c>
      <c r="R39" s="43">
        <f>((('indice Carburant'!L13/'Indexation Client 2026'!$D$39)-1)*'Indexation Client 2026'!$F$39)*'Indexation Client 2026'!$H$39+$H$39</f>
        <v>2.10241992</v>
      </c>
      <c r="S39" s="43">
        <f>((('indice Carburant'!M13/'Indexation Client 2026'!$D$39)-1)*'Indexation Client 2026'!$F$39)*'Indexation Client 2026'!$H$39+$H$39</f>
        <v>2.10241992</v>
      </c>
      <c r="T39" s="43">
        <f>((('indice Carburant'!N13/'Indexation Client 2026'!$D$39)-1)*'Indexation Client 2026'!$F$39)*'Indexation Client 2026'!$H$39+$H$39</f>
        <v>2.10241992</v>
      </c>
      <c r="U39" s="43">
        <f>((('indice Carburant'!O13/'Indexation Client 2026'!$D$39)-1)*'Indexation Client 2026'!$F$39)*'Indexation Client 2026'!$H$39+$H$39</f>
        <v>2.10241992</v>
      </c>
    </row>
    <row r="40" spans="1:21" ht="15.6" x14ac:dyDescent="0.3">
      <c r="A40" s="33" t="s">
        <v>62</v>
      </c>
      <c r="B40" s="35" t="s">
        <v>78</v>
      </c>
      <c r="C40" s="37" t="s">
        <v>64</v>
      </c>
      <c r="D40" s="30">
        <v>153.94</v>
      </c>
      <c r="E40" s="30" t="s">
        <v>70</v>
      </c>
      <c r="F40" s="42">
        <v>0.15570000000000001</v>
      </c>
      <c r="G40" s="30" t="s">
        <v>67</v>
      </c>
      <c r="H40" s="43">
        <v>2.3944000000000001</v>
      </c>
      <c r="I40" s="32"/>
      <c r="J40" s="110">
        <f>((('indice Carburant'!D13/'Indexation Client 2026'!$D$40)-1)*'Indexation Client 2026'!$F$40)*'Indexation Client 2026'!$H$40+$H$40</f>
        <v>2.4125390965259195</v>
      </c>
      <c r="K40" s="110">
        <f>((('indice Carburant'!E13/'Indexation Client 2026'!$D$40)-1)*'Indexation Client 2026'!$F$40)*'Indexation Client 2026'!$H$40+$H$40</f>
        <v>2.4081314655943875</v>
      </c>
      <c r="L40" s="110">
        <f>((('indice Carburant'!F13/'Indexation Client 2026'!$D$40)-1)*'Indexation Client 2026'!$F$40)*'Indexation Client 2026'!$H$40+$H$40</f>
        <v>2.4518929441288817</v>
      </c>
      <c r="M40" s="90">
        <f>((('indice Carburant'!G13/'Indexation Client 2026'!$D$40)-1)*'Indexation Client 2026'!$F$40)*'Indexation Client 2026'!$H$40+$H$40</f>
        <v>2.0215919200000001</v>
      </c>
      <c r="N40" s="43">
        <f>((('indice Carburant'!H13/'Indexation Client 2026'!$D$40)-1)*'Indexation Client 2026'!$F$40)*'Indexation Client 2026'!$H$40+$H$40</f>
        <v>2.0215919200000001</v>
      </c>
      <c r="O40" s="43">
        <f>((('indice Carburant'!I13/'Indexation Client 2026'!$D$40)-1)*'Indexation Client 2026'!$F$40)*'Indexation Client 2026'!$H$40+$H$40</f>
        <v>2.0215919200000001</v>
      </c>
      <c r="P40" s="43">
        <f>((('indice Carburant'!J13/'Indexation Client 2026'!$D$40)-1)*'Indexation Client 2026'!$F$40)*'Indexation Client 2026'!$H$40+$H$40</f>
        <v>2.0215919200000001</v>
      </c>
      <c r="Q40" s="43">
        <f>((('indice Carburant'!K13/'Indexation Client 2026'!$D$40)-1)*'Indexation Client 2026'!$F$40)*'Indexation Client 2026'!$H$40+$H$40</f>
        <v>2.0215919200000001</v>
      </c>
      <c r="R40" s="43">
        <f>((('indice Carburant'!L13/'Indexation Client 2026'!$D$40)-1)*'Indexation Client 2026'!$F$40)*'Indexation Client 2026'!$H$40+$H$40</f>
        <v>2.0215919200000001</v>
      </c>
      <c r="S40" s="43">
        <f>((('indice Carburant'!M13/'Indexation Client 2026'!$D$40)-1)*'Indexation Client 2026'!$F$40)*'Indexation Client 2026'!$H$40+$H$40</f>
        <v>2.0215919200000001</v>
      </c>
      <c r="T40" s="43">
        <f>((('indice Carburant'!N13/'Indexation Client 2026'!$D$40)-1)*'Indexation Client 2026'!$F$40)*'Indexation Client 2026'!$H$40+$H$40</f>
        <v>2.0215919200000001</v>
      </c>
      <c r="U40" s="43">
        <f>((('indice Carburant'!O13/'Indexation Client 2026'!$D$40)-1)*'Indexation Client 2026'!$F$40)*'Indexation Client 2026'!$H$40+$H$40</f>
        <v>2.0215919200000001</v>
      </c>
    </row>
    <row r="41" spans="1:21" ht="15.6" x14ac:dyDescent="0.3">
      <c r="A41" s="33" t="s">
        <v>62</v>
      </c>
      <c r="B41" s="35" t="s">
        <v>79</v>
      </c>
      <c r="C41" s="37" t="s">
        <v>64</v>
      </c>
      <c r="D41" s="30">
        <v>153.94</v>
      </c>
      <c r="E41" s="30" t="s">
        <v>70</v>
      </c>
      <c r="F41" s="42">
        <v>0.23469999999999999</v>
      </c>
      <c r="G41" s="30" t="s">
        <v>67</v>
      </c>
      <c r="H41" s="43">
        <v>1.5889</v>
      </c>
      <c r="I41" s="32"/>
      <c r="J41" s="110">
        <f>((('indice Carburant'!D13/'Indexation Client 2026'!$D$41)-1)*'Indexation Client 2026'!$F$41)*'Indexation Client 2026'!$H$41+$H$41</f>
        <v>1.6070442904813564</v>
      </c>
      <c r="K41" s="110">
        <f>((('indice Carburant'!E13/'Indexation Client 2026'!$D$41)-1)*'Indexation Client 2026'!$F$41)*'Indexation Client 2026'!$H$41+$H$41</f>
        <v>1.602635397467195</v>
      </c>
      <c r="L41" s="110">
        <f>((('indice Carburant'!F13/'Indexation Client 2026'!$D$41)-1)*'Indexation Client 2026'!$F$41)*'Indexation Client 2026'!$H$41+$H$41</f>
        <v>1.6464094066792256</v>
      </c>
      <c r="M41" s="90">
        <f>((('indice Carburant'!G13/'Indexation Client 2026'!$D$41)-1)*'Indexation Client 2026'!$F$41)*'Indexation Client 2026'!$H$41+$H$41</f>
        <v>1.2159851699999999</v>
      </c>
      <c r="N41" s="43">
        <f>((('indice Carburant'!H13/'Indexation Client 2026'!$D$41)-1)*'Indexation Client 2026'!$F$41)*'Indexation Client 2026'!$H$41+$H$41</f>
        <v>1.2159851699999999</v>
      </c>
      <c r="O41" s="43">
        <f>((('indice Carburant'!I13/'Indexation Client 2026'!$D$41)-1)*'Indexation Client 2026'!$F$41)*'Indexation Client 2026'!$H$41+$H$41</f>
        <v>1.2159851699999999</v>
      </c>
      <c r="P41" s="43">
        <f>((('indice Carburant'!J13/'Indexation Client 2026'!$D$41)-1)*'Indexation Client 2026'!$F$41)*'Indexation Client 2026'!$H$41+$H$41</f>
        <v>1.2159851699999999</v>
      </c>
      <c r="Q41" s="43">
        <f>((('indice Carburant'!K13/'Indexation Client 2026'!$D$41)-1)*'Indexation Client 2026'!$F$41)*'Indexation Client 2026'!$H$41+$H$41</f>
        <v>1.2159851699999999</v>
      </c>
      <c r="R41" s="43">
        <f>((('indice Carburant'!L13/'Indexation Client 2026'!$D$41)-1)*'Indexation Client 2026'!$F$41)*'Indexation Client 2026'!$H$41+$H$41</f>
        <v>1.2159851699999999</v>
      </c>
      <c r="S41" s="43">
        <f>((('indice Carburant'!M13/'Indexation Client 2026'!$D$41)-1)*'Indexation Client 2026'!$F$41)*'Indexation Client 2026'!$H$41+$H$41</f>
        <v>1.2159851699999999</v>
      </c>
      <c r="T41" s="43">
        <f>((('indice Carburant'!N13/'Indexation Client 2026'!$D$41)-1)*'Indexation Client 2026'!$F$41)*'Indexation Client 2026'!$H$41+$H$41</f>
        <v>1.2159851699999999</v>
      </c>
      <c r="U41" s="43">
        <f>((('indice Carburant'!O13/'Indexation Client 2026'!$D$41)-1)*'Indexation Client 2026'!$F$41)*'Indexation Client 2026'!$H$41+$H$41</f>
        <v>1.2159851699999999</v>
      </c>
    </row>
    <row r="42" spans="1:21" ht="15.6" x14ac:dyDescent="0.3">
      <c r="A42" s="33" t="s">
        <v>62</v>
      </c>
      <c r="B42" s="35" t="s">
        <v>80</v>
      </c>
      <c r="C42" s="37" t="s">
        <v>64</v>
      </c>
      <c r="D42" s="30">
        <v>153.94</v>
      </c>
      <c r="E42" s="30" t="s">
        <v>70</v>
      </c>
      <c r="F42" s="42">
        <v>0.2898</v>
      </c>
      <c r="G42" s="30" t="s">
        <v>67</v>
      </c>
      <c r="H42" s="43">
        <v>1.5168999999999999</v>
      </c>
      <c r="I42" s="32"/>
      <c r="J42" s="110">
        <f>((('indice Carburant'!D13/'Indexation Client 2026'!$D$42)-1)*'Indexation Client 2026'!$F$42)*'Indexation Client 2026'!$H$42+$H$42</f>
        <v>1.5382887629842794</v>
      </c>
      <c r="K42" s="110">
        <f>((('indice Carburant'!E13/'Indexation Client 2026'!$D$42)-1)*'Indexation Client 2026'!$F$42)*'Indexation Client 2026'!$H$42+$H$42</f>
        <v>1.5330914934740807</v>
      </c>
      <c r="L42" s="110">
        <f>((('indice Carburant'!F13/'Indexation Client 2026'!$D$42)-1)*'Indexation Client 2026'!$F$42)*'Indexation Client 2026'!$H$42+$H$42</f>
        <v>1.5846929550396258</v>
      </c>
      <c r="M42" s="90">
        <f>((('indice Carburant'!G13/'Indexation Client 2026'!$D$42)-1)*'Indexation Client 2026'!$F$42)*'Indexation Client 2026'!$H$42+$H$42</f>
        <v>1.0773023799999999</v>
      </c>
      <c r="N42" s="43">
        <f>((('indice Carburant'!H13/'Indexation Client 2026'!$D$42)-1)*'Indexation Client 2026'!$F$42)*'Indexation Client 2026'!$H$42+$H$42</f>
        <v>1.0773023799999999</v>
      </c>
      <c r="O42" s="43">
        <f>((('indice Carburant'!I13/'Indexation Client 2026'!$D$42)-1)*'Indexation Client 2026'!$F$42)*'Indexation Client 2026'!$H$42+$H$42</f>
        <v>1.0773023799999999</v>
      </c>
      <c r="P42" s="43">
        <f>((('indice Carburant'!J13/'Indexation Client 2026'!$D$42)-1)*'Indexation Client 2026'!$F$42)*'Indexation Client 2026'!$H$42+$H$42</f>
        <v>1.0773023799999999</v>
      </c>
      <c r="Q42" s="43">
        <f>((('indice Carburant'!K13/'Indexation Client 2026'!$D$42)-1)*'Indexation Client 2026'!$F$42)*'Indexation Client 2026'!$H$42+$H$42</f>
        <v>1.0773023799999999</v>
      </c>
      <c r="R42" s="43">
        <f>((('indice Carburant'!L13/'Indexation Client 2026'!$D$42)-1)*'Indexation Client 2026'!$F$42)*'Indexation Client 2026'!$H$42+$H$42</f>
        <v>1.0773023799999999</v>
      </c>
      <c r="S42" s="43">
        <f>((('indice Carburant'!M13/'Indexation Client 2026'!$D$42)-1)*'Indexation Client 2026'!$F$42)*'Indexation Client 2026'!$H$42+$H$42</f>
        <v>1.0773023799999999</v>
      </c>
      <c r="T42" s="43">
        <f>((('indice Carburant'!N13/'Indexation Client 2026'!$D$42)-1)*'Indexation Client 2026'!$F$42)*'Indexation Client 2026'!$H$42+$H$42</f>
        <v>1.0773023799999999</v>
      </c>
      <c r="U42" s="43">
        <f>((('indice Carburant'!O13/'Indexation Client 2026'!$D$42)-1)*'Indexation Client 2026'!$F$42)*'Indexation Client 2026'!$H$42+$H$42</f>
        <v>1.0773023799999999</v>
      </c>
    </row>
    <row r="43" spans="1:21" ht="15.6" x14ac:dyDescent="0.3">
      <c r="A43" s="33" t="s">
        <v>62</v>
      </c>
      <c r="B43" s="30" t="s">
        <v>81</v>
      </c>
      <c r="C43" s="37" t="s">
        <v>64</v>
      </c>
      <c r="D43" s="40" t="s">
        <v>82</v>
      </c>
      <c r="E43" s="40"/>
      <c r="F43" s="40"/>
      <c r="G43" s="40"/>
      <c r="H43" s="44"/>
      <c r="I43" s="32"/>
      <c r="J43" s="111"/>
      <c r="K43" s="111"/>
      <c r="L43" s="111"/>
      <c r="M43" s="91"/>
      <c r="N43" s="89"/>
      <c r="O43" s="89"/>
      <c r="P43" s="89"/>
      <c r="Q43" s="89"/>
      <c r="R43" s="89"/>
      <c r="S43" s="89"/>
      <c r="T43" s="89"/>
      <c r="U43" s="89"/>
    </row>
    <row r="44" spans="1:21" ht="15.6" x14ac:dyDescent="0.3">
      <c r="A44" s="33" t="s">
        <v>62</v>
      </c>
      <c r="B44" s="30" t="s">
        <v>83</v>
      </c>
      <c r="C44" s="37" t="s">
        <v>64</v>
      </c>
      <c r="D44" s="30">
        <v>180.42</v>
      </c>
      <c r="E44" s="30" t="s">
        <v>27</v>
      </c>
      <c r="F44" s="42">
        <v>0.37130000000000002</v>
      </c>
      <c r="G44" s="30" t="s">
        <v>67</v>
      </c>
      <c r="H44" s="43">
        <v>1.0368999999999999</v>
      </c>
      <c r="I44" s="32"/>
      <c r="J44" s="110">
        <f>((('indice Carburant'!D6/'Indexation Client 2026'!$D$44)-1)*'Indexation Client 2026'!$F$44)*'Indexation Client 2026'!$H$44+$H$44</f>
        <v>1.0392473066566899</v>
      </c>
      <c r="K44" s="110">
        <f>((('indice Carburant'!E6/'Indexation Client 2026'!$D$44)-1)*'Indexation Client 2026'!$F$44)*'Indexation Client 2026'!$H$44+$H$44</f>
        <v>1.0523495456313046</v>
      </c>
      <c r="L44" s="110">
        <f>((('indice Carburant'!F6/'Indexation Client 2026'!$D$44)-1)*'Indexation Client 2026'!$F$44)*'Indexation Client 2026'!$H$44+$H$44</f>
        <v>1.0644701836403947</v>
      </c>
      <c r="M44" s="90">
        <f>((('indice Carburant'!G6/'Indexation Client 2026'!$D$44)-1)*'Indexation Client 2026'!$F$44)*'Indexation Client 2026'!$H$44+$H$44</f>
        <v>1.1812806985378561</v>
      </c>
      <c r="N44" s="43">
        <f>((('indice Carburant'!H6/'Indexation Client 2026'!$D$44)-1)*'Indexation Client 2026'!$F$44)*'Indexation Client 2026'!$H$44+$H$44</f>
        <v>0.65189902999999993</v>
      </c>
      <c r="O44" s="43">
        <f>((('indice Carburant'!I6/'Indexation Client 2026'!$D$44)-1)*'Indexation Client 2026'!$F$44)*'Indexation Client 2026'!$H$44+$H$44</f>
        <v>0.65189902999999993</v>
      </c>
      <c r="P44" s="43">
        <f>((('indice Carburant'!J6/'Indexation Client 2026'!$D$44)-1)*'Indexation Client 2026'!$F$44)*'Indexation Client 2026'!$H$44+$H$44</f>
        <v>0.65189902999999993</v>
      </c>
      <c r="Q44" s="43">
        <f>((('indice Carburant'!K6/'Indexation Client 2026'!$D$44)-1)*'Indexation Client 2026'!$F$44)*'Indexation Client 2026'!$H$44+$H$44</f>
        <v>0.65189902999999993</v>
      </c>
      <c r="R44" s="43">
        <f>((('indice Carburant'!L6/'Indexation Client 2026'!$D$44)-1)*'Indexation Client 2026'!$F$44)*'Indexation Client 2026'!$H$44+$H$44</f>
        <v>0.65189902999999993</v>
      </c>
      <c r="S44" s="43">
        <f>((('indice Carburant'!M6/'Indexation Client 2026'!$D$44)-1)*'Indexation Client 2026'!$F$44)*'Indexation Client 2026'!$H$44+$H$44</f>
        <v>0.65189902999999993</v>
      </c>
      <c r="T44" s="43">
        <f>((('indice Carburant'!N6/'Indexation Client 2026'!$D$44)-1)*'Indexation Client 2026'!$F$44)*'Indexation Client 2026'!$H$44+$H$44</f>
        <v>0.65189902999999993</v>
      </c>
      <c r="U44" s="43">
        <f>((('indice Carburant'!O6/'Indexation Client 2026'!$D$44)-1)*'Indexation Client 2026'!$F$44)*'Indexation Client 2026'!$H$44+$H$44</f>
        <v>0.65189902999999993</v>
      </c>
    </row>
    <row r="45" spans="1:21" ht="15.6" x14ac:dyDescent="0.3">
      <c r="A45" s="33" t="s">
        <v>62</v>
      </c>
      <c r="B45" s="35" t="s">
        <v>84</v>
      </c>
      <c r="C45" s="37" t="s">
        <v>64</v>
      </c>
      <c r="D45" s="30">
        <v>167.18</v>
      </c>
      <c r="E45" s="30" t="s">
        <v>70</v>
      </c>
      <c r="F45" s="42">
        <v>0.25230000000000002</v>
      </c>
      <c r="G45" s="30" t="s">
        <v>67</v>
      </c>
      <c r="H45" s="43">
        <v>1.51</v>
      </c>
      <c r="I45" s="32"/>
      <c r="J45" s="110">
        <f>((('indice Carburant'!D13/'Indexation Client 2026'!$D$45)-1)*'Indexation Client 2026'!$F$45)*'Indexation Client 2026'!$H$45+$H$45</f>
        <v>1.4968967893886829</v>
      </c>
      <c r="K45" s="110">
        <f>((('indice Carburant'!E13/'Indexation Client 2026'!$D$45)-1)*'Indexation Client 2026'!$F$45)*'Indexation Client 2026'!$H$45+$H$45</f>
        <v>1.4927493383777963</v>
      </c>
      <c r="L45" s="110">
        <f>((('indice Carburant'!F13/'Indexation Client 2026'!$D$45)-1)*'Indexation Client 2026'!$F$45)*'Indexation Client 2026'!$H$45+$H$45</f>
        <v>1.5339276019858834</v>
      </c>
      <c r="M45" s="90">
        <f>((('indice Carburant'!G13/'Indexation Client 2026'!$D$45)-1)*'Indexation Client 2026'!$F$45)*'Indexation Client 2026'!$H$45+$H$45</f>
        <v>1.129027</v>
      </c>
      <c r="N45" s="43">
        <f>((('indice Carburant'!H13/'Indexation Client 2026'!$D$45)-1)*'Indexation Client 2026'!$F$45)*'Indexation Client 2026'!$H$45+$H$45</f>
        <v>1.129027</v>
      </c>
      <c r="O45" s="43">
        <f>((('indice Carburant'!I13/'Indexation Client 2026'!$D$45)-1)*'Indexation Client 2026'!$F$45)*'Indexation Client 2026'!$H$45+$H$45</f>
        <v>1.129027</v>
      </c>
      <c r="P45" s="43">
        <f>((('indice Carburant'!J13/'Indexation Client 2026'!$D$45)-1)*'Indexation Client 2026'!$F$45)*'Indexation Client 2026'!$H$45+$H$45</f>
        <v>1.129027</v>
      </c>
      <c r="Q45" s="43">
        <f>((('indice Carburant'!K13/'Indexation Client 2026'!$D$45)-1)*'Indexation Client 2026'!$F$45)*'Indexation Client 2026'!$H$45+$H$45</f>
        <v>1.129027</v>
      </c>
      <c r="R45" s="43">
        <f>((('indice Carburant'!L13/'Indexation Client 2026'!$D$45)-1)*'Indexation Client 2026'!$F$45)*'Indexation Client 2026'!$H$45+$H$45</f>
        <v>1.129027</v>
      </c>
      <c r="S45" s="43">
        <f>((('indice Carburant'!M13/'Indexation Client 2026'!$D$45)-1)*'Indexation Client 2026'!$F$45)*'Indexation Client 2026'!$H$45+$H$45</f>
        <v>1.129027</v>
      </c>
      <c r="T45" s="43">
        <f>((('indice Carburant'!N13/'Indexation Client 2026'!$D$45)-1)*'Indexation Client 2026'!$F$45)*'Indexation Client 2026'!$H$45+$H$45</f>
        <v>1.129027</v>
      </c>
      <c r="U45" s="43">
        <f>((('indice Carburant'!O13/'Indexation Client 2026'!$D$45)-1)*'Indexation Client 2026'!$F$45)*'Indexation Client 2026'!$H$45+$H$45</f>
        <v>1.129027</v>
      </c>
    </row>
    <row r="46" spans="1:21" ht="15.6" x14ac:dyDescent="0.3">
      <c r="A46" s="33" t="s">
        <v>62</v>
      </c>
      <c r="B46" s="81" t="s">
        <v>245</v>
      </c>
      <c r="C46" s="37" t="s">
        <v>64</v>
      </c>
      <c r="D46" s="81">
        <v>195.67</v>
      </c>
      <c r="E46" s="30" t="s">
        <v>27</v>
      </c>
      <c r="F46" s="82">
        <v>0.30990000000000001</v>
      </c>
      <c r="G46" s="30" t="s">
        <v>67</v>
      </c>
      <c r="H46" s="43">
        <v>1.4661999999999999</v>
      </c>
      <c r="I46" s="32"/>
      <c r="J46" s="110">
        <f>((('indice Carburant'!D6/'Indexation Client 2026'!$D$46)-1)*'Indexation Client 2026'!$F$46)*'Indexation Client 2026'!$H$46+$H$46</f>
        <v>1.4333415565646241</v>
      </c>
      <c r="K46" s="110">
        <f>((('indice Carburant'!E6/'Indexation Client 2026'!$D$46)-1)*'Indexation Client 2026'!$F$46)*'Indexation Client 2026'!$H$46+$H$46</f>
        <v>1.4475995666489498</v>
      </c>
      <c r="L46" s="110">
        <f>((('indice Carburant'!F6/'Indexation Client 2026'!$D$46)-1)*'Indexation Client 2026'!$F$46)*'Indexation Client 2026'!$H$46+$H$46</f>
        <v>1.4607893870526907</v>
      </c>
      <c r="M46" s="90">
        <f>((('indice Carburant'!G6/'Indexation Client 2026'!$D$46)-1)*'Indexation Client 2026'!$F$46)*'Indexation Client 2026'!$H$46+$H$46</f>
        <v>1.587903959042265</v>
      </c>
      <c r="N46" s="43">
        <f>((('indice Carburant'!H6/'Indexation Client 2026'!$D$46)-1)*'Indexation Client 2026'!$F$46)*'Indexation Client 2026'!$H$46+$H$46</f>
        <v>1.0118246200000001</v>
      </c>
      <c r="O46" s="43">
        <f>((('indice Carburant'!I6/'Indexation Client 2026'!$D$46)-1)*'Indexation Client 2026'!$F$46)*'Indexation Client 2026'!$H$46+$H$46</f>
        <v>1.0118246200000001</v>
      </c>
      <c r="P46" s="43">
        <f>((('indice Carburant'!J6/'Indexation Client 2026'!$D$46)-1)*'Indexation Client 2026'!$F$46)*'Indexation Client 2026'!$H$46+$H$46</f>
        <v>1.0118246200000001</v>
      </c>
      <c r="Q46" s="43">
        <f>((('indice Carburant'!K6/'Indexation Client 2026'!$D$46)-1)*'Indexation Client 2026'!$F$46)*'Indexation Client 2026'!$H$46+$H$46</f>
        <v>1.0118246200000001</v>
      </c>
      <c r="R46" s="43">
        <f>((('indice Carburant'!L6/'Indexation Client 2026'!$D$46)-1)*'Indexation Client 2026'!$F$46)*'Indexation Client 2026'!$H$46+$H$46</f>
        <v>1.0118246200000001</v>
      </c>
      <c r="S46" s="43">
        <f>((('indice Carburant'!M6/'Indexation Client 2026'!$D$46)-1)*'Indexation Client 2026'!$F$46)*'Indexation Client 2026'!$H$46+$H$46</f>
        <v>1.0118246200000001</v>
      </c>
      <c r="T46" s="43">
        <f>((('indice Carburant'!N6/'Indexation Client 2026'!$D$46)-1)*'Indexation Client 2026'!$F$46)*'Indexation Client 2026'!$H$46+$H$46</f>
        <v>1.0118246200000001</v>
      </c>
      <c r="U46" s="43">
        <f>((('indice Carburant'!O6/'Indexation Client 2026'!$D$46)-1)*'Indexation Client 2026'!$F$46)*'Indexation Client 2026'!$H$46+$H$46</f>
        <v>1.0118246200000001</v>
      </c>
    </row>
    <row r="47" spans="1:21" ht="15.6" x14ac:dyDescent="0.3">
      <c r="A47" s="33" t="s">
        <v>62</v>
      </c>
      <c r="B47" s="30" t="s">
        <v>85</v>
      </c>
      <c r="C47" s="37" t="s">
        <v>64</v>
      </c>
      <c r="D47" s="30">
        <v>204.89</v>
      </c>
      <c r="E47" s="30" t="s">
        <v>27</v>
      </c>
      <c r="F47" s="42">
        <v>0.33600000000000002</v>
      </c>
      <c r="G47" s="30" t="s">
        <v>67</v>
      </c>
      <c r="H47" s="43">
        <v>1.3298000000000001</v>
      </c>
      <c r="I47" s="32"/>
      <c r="J47" s="110">
        <f>((('indice Carburant'!D6/'Indexation Client 2026'!$D$47)-1)*'Indexation Client 2026'!$F$47)*'Indexation Client 2026'!$H$47+$H$47</f>
        <v>1.2788359942603349</v>
      </c>
      <c r="K47" s="110">
        <f>((('indice Carburant'!E6/'Indexation Client 2026'!$D$47)-1)*'Indexation Client 2026'!$F$47)*'Indexation Client 2026'!$H$47+$H$47</f>
        <v>1.2922257672702426</v>
      </c>
      <c r="L47" s="110">
        <f>((('indice Carburant'!F6/'Indexation Client 2026'!$D$47)-1)*'Indexation Client 2026'!$F$47)*'Indexation Client 2026'!$H$47+$H$47</f>
        <v>1.3046123976768023</v>
      </c>
      <c r="M47" s="90">
        <f>((('indice Carburant'!G6/'Indexation Client 2026'!$D$47)-1)*'Indexation Client 2026'!$F$47)*'Indexation Client 2026'!$H$47+$H$47</f>
        <v>1.4239863674752309</v>
      </c>
      <c r="N47" s="43">
        <f>((('indice Carburant'!H6/'Indexation Client 2026'!$D$47)-1)*'Indexation Client 2026'!$F$47)*'Indexation Client 2026'!$H$47+$H$47</f>
        <v>0.88298720000000008</v>
      </c>
      <c r="O47" s="43">
        <f>((('indice Carburant'!I6/'Indexation Client 2026'!$D$47)-1)*'Indexation Client 2026'!$F$47)*'Indexation Client 2026'!$H$47+$H$47</f>
        <v>0.88298720000000008</v>
      </c>
      <c r="P47" s="43">
        <f>((('indice Carburant'!J6/'Indexation Client 2026'!$D$47)-1)*'Indexation Client 2026'!$F$47)*'Indexation Client 2026'!$H$47+$H$47</f>
        <v>0.88298720000000008</v>
      </c>
      <c r="Q47" s="43">
        <f>((('indice Carburant'!K6/'Indexation Client 2026'!$D$47)-1)*'Indexation Client 2026'!$F$47)*'Indexation Client 2026'!$H$47+$H$47</f>
        <v>0.88298720000000008</v>
      </c>
      <c r="R47" s="43">
        <f>((('indice Carburant'!L6/'Indexation Client 2026'!$D$47)-1)*'Indexation Client 2026'!$F$47)*'Indexation Client 2026'!$H$47+$H$47</f>
        <v>0.88298720000000008</v>
      </c>
      <c r="S47" s="43">
        <f>((('indice Carburant'!M6/'Indexation Client 2026'!$D$47)-1)*'Indexation Client 2026'!$F$47)*'Indexation Client 2026'!$H$47+$H$47</f>
        <v>0.88298720000000008</v>
      </c>
      <c r="T47" s="43">
        <f>((('indice Carburant'!N6/'Indexation Client 2026'!$D$47)-1)*'Indexation Client 2026'!$F$47)*'Indexation Client 2026'!$H$47+$H$47</f>
        <v>0.88298720000000008</v>
      </c>
      <c r="U47" s="43">
        <f>((('indice Carburant'!O6/'Indexation Client 2026'!$D$47)-1)*'Indexation Client 2026'!$F$47)*'Indexation Client 2026'!$H$47+$H$47</f>
        <v>0.88298720000000008</v>
      </c>
    </row>
    <row r="48" spans="1:21" ht="15.6" x14ac:dyDescent="0.3">
      <c r="A48" s="33" t="s">
        <v>62</v>
      </c>
      <c r="B48" s="35" t="s">
        <v>86</v>
      </c>
      <c r="C48" s="37" t="s">
        <v>64</v>
      </c>
      <c r="D48" s="30">
        <v>167.18</v>
      </c>
      <c r="E48" s="30" t="s">
        <v>70</v>
      </c>
      <c r="F48" s="42">
        <v>0.27110000000000001</v>
      </c>
      <c r="G48" s="30" t="s">
        <v>67</v>
      </c>
      <c r="H48" s="43">
        <v>1.4055</v>
      </c>
      <c r="I48" s="32"/>
      <c r="J48" s="110">
        <f>((('indice Carburant'!D13/'Indexation Client 2026'!$D$48)-1)*'Indexation Client 2026'!$F$48)*'Indexation Client 2026'!$H$48+$H$48</f>
        <v>1.3923947928131355</v>
      </c>
      <c r="K48" s="110">
        <f>((('indice Carburant'!E13/'Indexation Client 2026'!$D$48)-1)*'Indexation Client 2026'!$F$48)*'Indexation Client 2026'!$H$48+$H$48</f>
        <v>1.3882467098426845</v>
      </c>
      <c r="L48" s="110">
        <f>((('indice Carburant'!F13/'Indexation Client 2026'!$D$48)-1)*'Indexation Client 2026'!$F$48)*'Indexation Client 2026'!$H$48+$H$48</f>
        <v>1.4294312479064482</v>
      </c>
      <c r="M48" s="90">
        <f>((('indice Carburant'!G13/'Indexation Client 2026'!$D$48)-1)*'Indexation Client 2026'!$F$48)*'Indexation Client 2026'!$H$48+$H$48</f>
        <v>1.0244689499999999</v>
      </c>
      <c r="N48" s="43">
        <f>((('indice Carburant'!H13/'Indexation Client 2026'!$D$48)-1)*'Indexation Client 2026'!$F$48)*'Indexation Client 2026'!$H$48+$H$48</f>
        <v>1.0244689499999999</v>
      </c>
      <c r="O48" s="43">
        <f>((('indice Carburant'!I13/'Indexation Client 2026'!$D$48)-1)*'Indexation Client 2026'!$F$48)*'Indexation Client 2026'!$H$48+$H$48</f>
        <v>1.0244689499999999</v>
      </c>
      <c r="P48" s="43">
        <f>((('indice Carburant'!J13/'Indexation Client 2026'!$D$48)-1)*'Indexation Client 2026'!$F$48)*'Indexation Client 2026'!$H$48+$H$48</f>
        <v>1.0244689499999999</v>
      </c>
      <c r="Q48" s="43">
        <f>((('indice Carburant'!K13/'Indexation Client 2026'!$D$48)-1)*'Indexation Client 2026'!$F$48)*'Indexation Client 2026'!$H$48+$H$48</f>
        <v>1.0244689499999999</v>
      </c>
      <c r="R48" s="43">
        <f>((('indice Carburant'!L13/'Indexation Client 2026'!$D$48)-1)*'Indexation Client 2026'!$F$48)*'Indexation Client 2026'!$H$48+$H$48</f>
        <v>1.0244689499999999</v>
      </c>
      <c r="S48" s="43">
        <f>((('indice Carburant'!M13/'Indexation Client 2026'!$D$48)-1)*'Indexation Client 2026'!$F$48)*'Indexation Client 2026'!$H$48+$H$48</f>
        <v>1.0244689499999999</v>
      </c>
      <c r="T48" s="43">
        <f>((('indice Carburant'!N13/'Indexation Client 2026'!$D$48)-1)*'Indexation Client 2026'!$F$48)*'Indexation Client 2026'!$H$48+$H$48</f>
        <v>1.0244689499999999</v>
      </c>
      <c r="U48" s="43">
        <f>((('indice Carburant'!O13/'Indexation Client 2026'!$D$48)-1)*'Indexation Client 2026'!$F$48)*'Indexation Client 2026'!$H$48+$H$48</f>
        <v>1.0244689499999999</v>
      </c>
    </row>
    <row r="49" spans="1:21" ht="15.6" x14ac:dyDescent="0.3">
      <c r="A49" s="33" t="s">
        <v>62</v>
      </c>
      <c r="B49" s="35" t="s">
        <v>87</v>
      </c>
      <c r="C49" s="37" t="s">
        <v>64</v>
      </c>
      <c r="D49" s="30">
        <v>167.18</v>
      </c>
      <c r="E49" s="30" t="s">
        <v>70</v>
      </c>
      <c r="F49" s="42">
        <v>0.26340000000000002</v>
      </c>
      <c r="G49" s="30" t="s">
        <v>67</v>
      </c>
      <c r="H49" s="43">
        <v>1.4467000000000001</v>
      </c>
      <c r="I49" s="32"/>
      <c r="J49" s="110">
        <f>((('indice Carburant'!D13/'Indexation Client 2026'!$D$49)-1)*'Indexation Client 2026'!$F$49)*'Indexation Client 2026'!$H$49+$H$49</f>
        <v>1.4335937702775452</v>
      </c>
      <c r="K49" s="110">
        <f>((('indice Carburant'!E13/'Indexation Client 2026'!$D$49)-1)*'Indexation Client 2026'!$F$49)*'Indexation Client 2026'!$H$49+$H$49</f>
        <v>1.429445363652351</v>
      </c>
      <c r="L49" s="110">
        <f>((('indice Carburant'!F13/'Indexation Client 2026'!$D$49)-1)*'Indexation Client 2026'!$F$49)*'Indexation Client 2026'!$H$49+$H$49</f>
        <v>1.4706331151453524</v>
      </c>
      <c r="M49" s="90">
        <f>((('indice Carburant'!G13/'Indexation Client 2026'!$D$49)-1)*'Indexation Client 2026'!$F$49)*'Indexation Client 2026'!$H$49+$H$49</f>
        <v>1.06563922</v>
      </c>
      <c r="N49" s="43">
        <f>((('indice Carburant'!H13/'Indexation Client 2026'!$D$49)-1)*'Indexation Client 2026'!$F$49)*'Indexation Client 2026'!$H$49+$H$49</f>
        <v>1.06563922</v>
      </c>
      <c r="O49" s="43">
        <f>((('indice Carburant'!I13/'Indexation Client 2026'!$D$49)-1)*'Indexation Client 2026'!$F$49)*'Indexation Client 2026'!$H$49+$H$49</f>
        <v>1.06563922</v>
      </c>
      <c r="P49" s="43">
        <f>((('indice Carburant'!J13/'Indexation Client 2026'!$D$49)-1)*'Indexation Client 2026'!$F$49)*'Indexation Client 2026'!$H$49+$H$49</f>
        <v>1.06563922</v>
      </c>
      <c r="Q49" s="43">
        <f>((('indice Carburant'!K13/'Indexation Client 2026'!$D$49)-1)*'Indexation Client 2026'!$F$49)*'Indexation Client 2026'!$H$49+$H$49</f>
        <v>1.06563922</v>
      </c>
      <c r="R49" s="43">
        <f>((('indice Carburant'!L13/'Indexation Client 2026'!$D$49)-1)*'Indexation Client 2026'!$F$49)*'Indexation Client 2026'!$H$49+$H$49</f>
        <v>1.06563922</v>
      </c>
      <c r="S49" s="43">
        <f>((('indice Carburant'!M13/'Indexation Client 2026'!$D$49)-1)*'Indexation Client 2026'!$F$49)*'Indexation Client 2026'!$H$49+$H$49</f>
        <v>1.06563922</v>
      </c>
      <c r="T49" s="43">
        <f>((('indice Carburant'!N13/'Indexation Client 2026'!$D$49)-1)*'Indexation Client 2026'!$F$49)*'Indexation Client 2026'!$H$49+$H$49</f>
        <v>1.06563922</v>
      </c>
      <c r="U49" s="43">
        <f>((('indice Carburant'!O13/'Indexation Client 2026'!$D$49)-1)*'Indexation Client 2026'!$F$49)*'Indexation Client 2026'!$H$49+$H$49</f>
        <v>1.06563922</v>
      </c>
    </row>
    <row r="50" spans="1:21" ht="15.6" x14ac:dyDescent="0.3">
      <c r="A50" s="33" t="s">
        <v>62</v>
      </c>
      <c r="B50" s="35" t="s">
        <v>88</v>
      </c>
      <c r="C50" s="37" t="s">
        <v>64</v>
      </c>
      <c r="D50" s="30">
        <v>142.37</v>
      </c>
      <c r="E50" s="30" t="s">
        <v>70</v>
      </c>
      <c r="F50" s="42">
        <v>0.23980000000000001</v>
      </c>
      <c r="G50" s="30" t="s">
        <v>67</v>
      </c>
      <c r="H50" s="43">
        <v>1.5548</v>
      </c>
      <c r="I50" s="32"/>
      <c r="J50" s="110">
        <f>((('indice Carburant'!D13/'Indexation Client 2026'!$D$50)-1)*'Indexation Client 2026'!$F$50)*'Indexation Client 2026'!$H$50+$H$50</f>
        <v>1.604714660549273</v>
      </c>
      <c r="K50" s="110">
        <f>((('indice Carburant'!E13/'Indexation Client 2026'!$D$50)-1)*'Indexation Client 2026'!$F$50)*'Indexation Client 2026'!$H$50+$H$50</f>
        <v>1.5999484127948302</v>
      </c>
      <c r="L50" s="110">
        <f>((('indice Carburant'!F13/'Indexation Client 2026'!$D$50)-1)*'Indexation Client 2026'!$F$50)*'Indexation Client 2026'!$H$50+$H$50</f>
        <v>1.6472704440710824</v>
      </c>
      <c r="M50" s="90">
        <f>((('indice Carburant'!G13/'Indexation Client 2026'!$D$50)-1)*'Indexation Client 2026'!$F$50)*'Indexation Client 2026'!$H$50+$H$50</f>
        <v>1.18195896</v>
      </c>
      <c r="N50" s="43">
        <f>((('indice Carburant'!H13/'Indexation Client 2026'!$D$50)-1)*'Indexation Client 2026'!$F$50)*'Indexation Client 2026'!$H$50+$H$50</f>
        <v>1.18195896</v>
      </c>
      <c r="O50" s="43">
        <f>((('indice Carburant'!I13/'Indexation Client 2026'!$D$50)-1)*'Indexation Client 2026'!$F$50)*'Indexation Client 2026'!$H$50+$H$50</f>
        <v>1.18195896</v>
      </c>
      <c r="P50" s="43">
        <f>((('indice Carburant'!J13/'Indexation Client 2026'!$D$50)-1)*'Indexation Client 2026'!$F$50)*'Indexation Client 2026'!$H$50+$H$50</f>
        <v>1.18195896</v>
      </c>
      <c r="Q50" s="43">
        <f>((('indice Carburant'!K13/'Indexation Client 2026'!$D$50)-1)*'Indexation Client 2026'!$F$50)*'Indexation Client 2026'!$H$50+$H$50</f>
        <v>1.18195896</v>
      </c>
      <c r="R50" s="43">
        <f>((('indice Carburant'!L13/'Indexation Client 2026'!$D$50)-1)*'Indexation Client 2026'!$F$50)*'Indexation Client 2026'!$H$50+$H$50</f>
        <v>1.18195896</v>
      </c>
      <c r="S50" s="43">
        <f>((('indice Carburant'!M13/'Indexation Client 2026'!$D$50)-1)*'Indexation Client 2026'!$F$50)*'Indexation Client 2026'!$H$50+$H$50</f>
        <v>1.18195896</v>
      </c>
      <c r="T50" s="43">
        <f>((('indice Carburant'!N13/'Indexation Client 2026'!$D$50)-1)*'Indexation Client 2026'!$F$50)*'Indexation Client 2026'!$H$50+$H$50</f>
        <v>1.18195896</v>
      </c>
      <c r="U50" s="43">
        <f>((('indice Carburant'!O13/'Indexation Client 2026'!$D$50)-1)*'Indexation Client 2026'!$F$50)*'Indexation Client 2026'!$H$50+$H$50</f>
        <v>1.18195896</v>
      </c>
    </row>
    <row r="51" spans="1:21" ht="15.6" x14ac:dyDescent="0.3">
      <c r="A51" s="33" t="s">
        <v>62</v>
      </c>
      <c r="B51" s="30" t="s">
        <v>89</v>
      </c>
      <c r="C51" s="37" t="s">
        <v>64</v>
      </c>
      <c r="D51" s="30">
        <v>204.89</v>
      </c>
      <c r="E51" s="30" t="s">
        <v>27</v>
      </c>
      <c r="F51" s="42">
        <v>0.3201</v>
      </c>
      <c r="G51" s="30" t="s">
        <v>67</v>
      </c>
      <c r="H51" s="43">
        <v>1.3956999999999999</v>
      </c>
      <c r="I51" s="32"/>
      <c r="J51" s="110">
        <f>((('indice Carburant'!D6/'Indexation Client 2026'!$D$51)-1)*'Indexation Client 2026'!$F$51)*'Indexation Client 2026'!$H$51+$H$51</f>
        <v>1.3447416094933866</v>
      </c>
      <c r="K51" s="110">
        <f>((('indice Carburant'!E6/'Indexation Client 2026'!$D$51)-1)*'Indexation Client 2026'!$F$51)*'Indexation Client 2026'!$H$51+$H$51</f>
        <v>1.3581299072131388</v>
      </c>
      <c r="L51" s="110">
        <f>((('indice Carburant'!F6/'Indexation Client 2026'!$D$51)-1)*'Indexation Client 2026'!$F$51)*'Indexation Client 2026'!$H$51+$H$51</f>
        <v>1.3705151728561666</v>
      </c>
      <c r="M51" s="90">
        <f>((('indice Carburant'!G6/'Indexation Client 2026'!$D$51)-1)*'Indexation Client 2026'!$F$51)*'Indexation Client 2026'!$H$51+$H$51</f>
        <v>1.4898759899863341</v>
      </c>
      <c r="N51" s="43">
        <f>((('indice Carburant'!H6/'Indexation Client 2026'!$D$51)-1)*'Indexation Client 2026'!$F$51)*'Indexation Client 2026'!$H$51+$H$51</f>
        <v>0.94893642999999994</v>
      </c>
      <c r="O51" s="43">
        <f>((('indice Carburant'!I6/'Indexation Client 2026'!$D$51)-1)*'Indexation Client 2026'!$F$51)*'Indexation Client 2026'!$H$51+$H$51</f>
        <v>0.94893642999999994</v>
      </c>
      <c r="P51" s="43">
        <f>((('indice Carburant'!J6/'Indexation Client 2026'!$D$51)-1)*'Indexation Client 2026'!$F$51)*'Indexation Client 2026'!$H$51+$H$51</f>
        <v>0.94893642999999994</v>
      </c>
      <c r="Q51" s="43">
        <f>((('indice Carburant'!K6/'Indexation Client 2026'!$D$51)-1)*'Indexation Client 2026'!$F$51)*'Indexation Client 2026'!$H$51+$H$51</f>
        <v>0.94893642999999994</v>
      </c>
      <c r="R51" s="43">
        <f>((('indice Carburant'!L6/'Indexation Client 2026'!$D$51)-1)*'Indexation Client 2026'!$F$51)*'Indexation Client 2026'!$H$51+$H$51</f>
        <v>0.94893642999999994</v>
      </c>
      <c r="S51" s="43">
        <f>((('indice Carburant'!M6/'Indexation Client 2026'!$D$51)-1)*'Indexation Client 2026'!$F$51)*'Indexation Client 2026'!$H$51+$H$51</f>
        <v>0.94893642999999994</v>
      </c>
      <c r="T51" s="43">
        <f>((('indice Carburant'!N6/'Indexation Client 2026'!$D$51)-1)*'Indexation Client 2026'!$F$51)*'Indexation Client 2026'!$H$51+$H$51</f>
        <v>0.94893642999999994</v>
      </c>
      <c r="U51" s="43">
        <f>((('indice Carburant'!O6/'Indexation Client 2026'!$D$51)-1)*'Indexation Client 2026'!$F$51)*'Indexation Client 2026'!$H$51+$H$51</f>
        <v>0.94893642999999994</v>
      </c>
    </row>
    <row r="52" spans="1:21" ht="15.6" x14ac:dyDescent="0.3">
      <c r="A52" s="33" t="s">
        <v>62</v>
      </c>
      <c r="B52" s="30" t="s">
        <v>91</v>
      </c>
      <c r="C52" s="37" t="s">
        <v>64</v>
      </c>
      <c r="D52" s="30">
        <v>180.81</v>
      </c>
      <c r="E52" s="30" t="s">
        <v>27</v>
      </c>
      <c r="F52" s="42">
        <v>0.14000000000000001</v>
      </c>
      <c r="G52" s="30" t="s">
        <v>90</v>
      </c>
      <c r="H52" s="48">
        <v>38.65</v>
      </c>
      <c r="I52" s="32"/>
      <c r="J52" s="110">
        <f>((('indice Carburant'!D6/'Indexation Client 2026'!$D$52)-1)*'Indexation Client 2026'!$F$52)*'Indexation Client 2026'!$H$52+$H$52</f>
        <v>38.671247773906309</v>
      </c>
      <c r="K52" s="110">
        <f>((('indice Carburant'!E6/'Indexation Client 2026'!$D$52)-1)*'Indexation Client 2026'!$F$52)*'Indexation Client 2026'!$H$52+$H$52</f>
        <v>38.854996128532711</v>
      </c>
      <c r="L52" s="110">
        <f>((('indice Carburant'!F6/'Indexation Client 2026'!$D$52)-1)*'Indexation Client 2026'!$F$52)*'Indexation Client 2026'!$H$52+$H$52</f>
        <v>39.024978319783195</v>
      </c>
      <c r="M52" s="90">
        <f>((('indice Carburant'!G6/'Indexation Client 2026'!$D$52)-1)*'Indexation Client 2026'!$F$52)*'Indexation Client 2026'!$H$52+$H$52</f>
        <v>40.663151761517611</v>
      </c>
      <c r="N52" s="43">
        <f>((('indice Carburant'!H6/'Indexation Client 2026'!$D$52)-1)*'Indexation Client 2026'!$F$52)*'Indexation Client 2026'!$H$52+$H$52</f>
        <v>33.238999999999997</v>
      </c>
      <c r="O52" s="43">
        <f>((('indice Carburant'!I6/'Indexation Client 2026'!$D$52)-1)*'Indexation Client 2026'!$F$52)*'Indexation Client 2026'!$H$52+$H$52</f>
        <v>33.238999999999997</v>
      </c>
      <c r="P52" s="43">
        <f>((('indice Carburant'!J6/'Indexation Client 2026'!$D$52)-1)*'Indexation Client 2026'!$F$52)*'Indexation Client 2026'!$H$52+$H$52</f>
        <v>33.238999999999997</v>
      </c>
      <c r="Q52" s="43">
        <f>((('indice Carburant'!K6/'Indexation Client 2026'!$D$52)-1)*'Indexation Client 2026'!$F$52)*'Indexation Client 2026'!$H$52+$H$52</f>
        <v>33.238999999999997</v>
      </c>
      <c r="R52" s="43">
        <f>((('indice Carburant'!L6/'Indexation Client 2026'!$D$52)-1)*'Indexation Client 2026'!$F$52)*'Indexation Client 2026'!$H$52+$H$52</f>
        <v>33.238999999999997</v>
      </c>
      <c r="S52" s="43">
        <f>((('indice Carburant'!M6/'Indexation Client 2026'!$D$52)-1)*'Indexation Client 2026'!$F$52)*'Indexation Client 2026'!$H$52+$H$52</f>
        <v>33.238999999999997</v>
      </c>
      <c r="T52" s="43">
        <f>((('indice Carburant'!N6/'Indexation Client 2026'!$D$52)-1)*'Indexation Client 2026'!$F$52)*'Indexation Client 2026'!$H$52+$H$52</f>
        <v>33.238999999999997</v>
      </c>
      <c r="U52" s="43">
        <f>((('indice Carburant'!O6/'Indexation Client 2026'!$D$52)-1)*'Indexation Client 2026'!$F$52)*'Indexation Client 2026'!$H$52+$H$52</f>
        <v>33.238999999999997</v>
      </c>
    </row>
    <row r="53" spans="1:21" ht="15.6" x14ac:dyDescent="0.3">
      <c r="A53" s="33" t="s">
        <v>62</v>
      </c>
      <c r="B53" s="35" t="s">
        <v>92</v>
      </c>
      <c r="C53" s="37" t="s">
        <v>64</v>
      </c>
      <c r="D53" s="30">
        <v>153.94</v>
      </c>
      <c r="E53" s="30" t="s">
        <v>70</v>
      </c>
      <c r="F53" s="42">
        <v>0.2021</v>
      </c>
      <c r="G53" s="30" t="s">
        <v>67</v>
      </c>
      <c r="H53" s="43">
        <v>2.3748</v>
      </c>
      <c r="I53" s="32"/>
      <c r="J53" s="110">
        <f>((('indice Carburant'!D13/'Indexation Client 2026'!$D$53)-1)*'Indexation Client 2026'!$F$53)*'Indexation Client 2026'!$H$53+$H$53</f>
        <v>2.3981519788826815</v>
      </c>
      <c r="K53" s="110">
        <f>((('indice Carburant'!E13/'Indexation Client 2026'!$D$53)-1)*'Indexation Client 2026'!$F$53)*'Indexation Client 2026'!$H$53+$H$53</f>
        <v>2.3924776662569833</v>
      </c>
      <c r="L53" s="110">
        <f>((('indice Carburant'!F13/'Indexation Client 2026'!$D$53)-1)*'Indexation Client 2026'!$F$53)*'Indexation Client 2026'!$H$53+$H$53</f>
        <v>2.4488154844692738</v>
      </c>
      <c r="M53" s="90">
        <f>((('indice Carburant'!G13/'Indexation Client 2026'!$D$53)-1)*'Indexation Client 2026'!$F$53)*'Indexation Client 2026'!$H$53+$H$53</f>
        <v>1.8948529199999999</v>
      </c>
      <c r="N53" s="43">
        <f>((('indice Carburant'!H13/'Indexation Client 2026'!$D$53)-1)*'Indexation Client 2026'!$F$53)*'Indexation Client 2026'!$H$53+$H$53</f>
        <v>1.8948529199999999</v>
      </c>
      <c r="O53" s="43">
        <f>((('indice Carburant'!I13/'Indexation Client 2026'!$D$53)-1)*'Indexation Client 2026'!$F$53)*'Indexation Client 2026'!$H$53+$H$53</f>
        <v>1.8948529199999999</v>
      </c>
      <c r="P53" s="43">
        <f>((('indice Carburant'!J13/'Indexation Client 2026'!$D$53)-1)*'Indexation Client 2026'!$F$53)*'Indexation Client 2026'!$H$53+$H$53</f>
        <v>1.8948529199999999</v>
      </c>
      <c r="Q53" s="43">
        <f>((('indice Carburant'!K13/'Indexation Client 2026'!$D$53)-1)*'Indexation Client 2026'!$F$53)*'Indexation Client 2026'!$H$53+$H$53</f>
        <v>1.8948529199999999</v>
      </c>
      <c r="R53" s="43">
        <f>((('indice Carburant'!L13/'Indexation Client 2026'!$D$53)-1)*'Indexation Client 2026'!$F$53)*'Indexation Client 2026'!$H$53+$H$53</f>
        <v>1.8948529199999999</v>
      </c>
      <c r="S53" s="43">
        <f>((('indice Carburant'!M13/'Indexation Client 2026'!$D$53)-1)*'Indexation Client 2026'!$F$53)*'Indexation Client 2026'!$H$53+$H$53</f>
        <v>1.8948529199999999</v>
      </c>
      <c r="T53" s="43">
        <f>((('indice Carburant'!N13/'Indexation Client 2026'!$D$53)-1)*'Indexation Client 2026'!$F$53)*'Indexation Client 2026'!$H$53+$H$53</f>
        <v>1.8948529199999999</v>
      </c>
      <c r="U53" s="43">
        <f>((('indice Carburant'!O13/'Indexation Client 2026'!$D$53)-1)*'Indexation Client 2026'!$F$53)*'Indexation Client 2026'!$H$53+$H$53</f>
        <v>1.8948529199999999</v>
      </c>
    </row>
    <row r="54" spans="1:21" ht="15.6" x14ac:dyDescent="0.3">
      <c r="A54" s="33" t="s">
        <v>62</v>
      </c>
      <c r="B54" s="35" t="s">
        <v>93</v>
      </c>
      <c r="C54" s="37" t="s">
        <v>64</v>
      </c>
      <c r="D54" s="30">
        <v>179.54</v>
      </c>
      <c r="E54" s="30" t="s">
        <v>70</v>
      </c>
      <c r="F54" s="42">
        <v>0.20979999999999999</v>
      </c>
      <c r="G54" s="30" t="s">
        <v>67</v>
      </c>
      <c r="H54" s="43">
        <v>1.3559000000000001</v>
      </c>
      <c r="I54" s="32"/>
      <c r="J54" s="110">
        <f>((('indice Carburant'!D13/'Indexation Client 2026'!$D$54)-1)*'Indexation Client 2026'!$F$54)*'Indexation Client 2026'!$H$53+$H$54</f>
        <v>1.3056437877108167</v>
      </c>
      <c r="K54" s="110">
        <f>((('indice Carburant'!E13/'Indexation Client 2026'!$D$54)-1)*'Indexation Client 2026'!$F$54)*'Indexation Client 2026'!$H$53+$H$54</f>
        <v>1.3005931910036763</v>
      </c>
      <c r="L54" s="110">
        <f>((('indice Carburant'!F13/'Indexation Client 2026'!$D$54)-1)*'Indexation Client 2026'!$F$54)*'Indexation Client 2026'!$H$53+$H$54</f>
        <v>1.3507384011674279</v>
      </c>
      <c r="M54" s="43">
        <f>((('indice Carburant'!G13/'Indexation Client 2026'!$D$54)-1)*'Indexation Client 2026'!$F$54)*'Indexation Client 2026'!$H$53+$H$54</f>
        <v>0.8576669600000002</v>
      </c>
      <c r="N54" s="43">
        <f>((('indice Carburant'!H13/'Indexation Client 2026'!$D$54)-1)*'Indexation Client 2026'!$F$54)*'Indexation Client 2026'!$H$53+$H$54</f>
        <v>0.8576669600000002</v>
      </c>
      <c r="O54" s="43">
        <f>((('indice Carburant'!I13/'Indexation Client 2026'!$D$54)-1)*'Indexation Client 2026'!$F$54)*'Indexation Client 2026'!$H$53+$H$54</f>
        <v>0.8576669600000002</v>
      </c>
      <c r="P54" s="43">
        <f>((('indice Carburant'!J13/'Indexation Client 2026'!$D$54)-1)*'Indexation Client 2026'!$F$54)*'Indexation Client 2026'!$H$53+$H$54</f>
        <v>0.8576669600000002</v>
      </c>
      <c r="Q54" s="43">
        <f>((('indice Carburant'!K13/'Indexation Client 2026'!$D$54)-1)*'Indexation Client 2026'!$F$54)*'Indexation Client 2026'!$H$53+$H$54</f>
        <v>0.8576669600000002</v>
      </c>
      <c r="R54" s="43">
        <f>((('indice Carburant'!L13/'Indexation Client 2026'!$D$54)-1)*'Indexation Client 2026'!$F$54)*'Indexation Client 2026'!$H$53+$H$54</f>
        <v>0.8576669600000002</v>
      </c>
      <c r="S54" s="43">
        <f>((('indice Carburant'!M13/'Indexation Client 2026'!$D$54)-1)*'Indexation Client 2026'!$F$54)*'Indexation Client 2026'!$H$53+$H$54</f>
        <v>0.8576669600000002</v>
      </c>
      <c r="T54" s="43">
        <f>((('indice Carburant'!N13/'Indexation Client 2026'!$D$54)-1)*'Indexation Client 2026'!$F$54)*'Indexation Client 2026'!$H$53+$H$54</f>
        <v>0.8576669600000002</v>
      </c>
      <c r="U54" s="43">
        <f>((('indice Carburant'!O13/'Indexation Client 2026'!$D$54)-1)*'Indexation Client 2026'!$F$54)*'Indexation Client 2026'!$H$53+$H$54</f>
        <v>0.8576669600000002</v>
      </c>
    </row>
    <row r="55" spans="1:21" ht="15.6" x14ac:dyDescent="0.3">
      <c r="A55" s="33" t="s">
        <v>62</v>
      </c>
      <c r="B55" s="35" t="s">
        <v>94</v>
      </c>
      <c r="C55" s="37" t="s">
        <v>64</v>
      </c>
      <c r="D55" s="30">
        <v>179.54</v>
      </c>
      <c r="E55" s="30" t="s">
        <v>70</v>
      </c>
      <c r="F55" s="42">
        <v>0.18690000000000001</v>
      </c>
      <c r="G55" s="30" t="s">
        <v>67</v>
      </c>
      <c r="H55" s="43">
        <v>2.3948</v>
      </c>
      <c r="I55" s="32"/>
      <c r="J55" s="110">
        <f>((('indice Carburant'!D13/'Indexation Client 2026'!$D$55)-1)*'Indexation Client 2026'!$F$55)*'Indexation Client 2026'!$H$53+$H$55</f>
        <v>2.350029332331514</v>
      </c>
      <c r="K55" s="110">
        <f>((('indice Carburant'!E13/'Indexation Client 2026'!$D$55)-1)*'Indexation Client 2026'!$F$55)*'Indexation Client 2026'!$H$53+$H$55</f>
        <v>2.3455300161991759</v>
      </c>
      <c r="L55" s="110">
        <f>((('indice Carburant'!F13/'Indexation Client 2026'!$D$55)-1)*'Indexation Client 2026'!$F$55)*'Indexation Client 2026'!$H$53+$H$55</f>
        <v>2.3902017977988192</v>
      </c>
      <c r="M55" s="43">
        <f>((('indice Carburant'!G13/'Indexation Client 2026'!$D$55)-1)*'Indexation Client 2026'!$F$55)*'Indexation Client 2026'!$H$53+$H$55</f>
        <v>1.95094988</v>
      </c>
      <c r="N55" s="43">
        <f>((('indice Carburant'!H13/'Indexation Client 2026'!$D$55)-1)*'Indexation Client 2026'!$F$55)*'Indexation Client 2026'!$H$53+$H$55</f>
        <v>1.95094988</v>
      </c>
      <c r="O55" s="43">
        <f>((('indice Carburant'!I13/'Indexation Client 2026'!$D$55)-1)*'Indexation Client 2026'!$F$55)*'Indexation Client 2026'!$H$53+$H$55</f>
        <v>1.95094988</v>
      </c>
      <c r="P55" s="43">
        <f>((('indice Carburant'!J13/'Indexation Client 2026'!$D$55)-1)*'Indexation Client 2026'!$F$55)*'Indexation Client 2026'!$H$53+$H$55</f>
        <v>1.95094988</v>
      </c>
      <c r="Q55" s="43">
        <f>((('indice Carburant'!K13/'Indexation Client 2026'!$D$55)-1)*'Indexation Client 2026'!$F$55)*'Indexation Client 2026'!$H$53+$H$55</f>
        <v>1.95094988</v>
      </c>
      <c r="R55" s="43">
        <f>((('indice Carburant'!L13/'Indexation Client 2026'!$D$55)-1)*'Indexation Client 2026'!$F$55)*'Indexation Client 2026'!$H$53+$H$55</f>
        <v>1.95094988</v>
      </c>
      <c r="S55" s="43">
        <f>((('indice Carburant'!M13/'Indexation Client 2026'!$D$55)-1)*'Indexation Client 2026'!$F$55)*'Indexation Client 2026'!$H$53+$H$55</f>
        <v>1.95094988</v>
      </c>
      <c r="T55" s="43">
        <f>((('indice Carburant'!N13/'Indexation Client 2026'!$D$55)-1)*'Indexation Client 2026'!$F$55)*'Indexation Client 2026'!$H$53+$H$55</f>
        <v>1.95094988</v>
      </c>
      <c r="U55" s="43">
        <f>((('indice Carburant'!O13/'Indexation Client 2026'!$D$55)-1)*'Indexation Client 2026'!$F$55)*'Indexation Client 2026'!$H$53+$H$55</f>
        <v>1.95094988</v>
      </c>
    </row>
    <row r="56" spans="1:21" ht="15.6" x14ac:dyDescent="0.3">
      <c r="A56" s="33" t="s">
        <v>62</v>
      </c>
      <c r="B56" s="54" t="s">
        <v>95</v>
      </c>
      <c r="C56" s="37" t="s">
        <v>64</v>
      </c>
      <c r="D56" s="30">
        <v>195.67</v>
      </c>
      <c r="E56" s="30" t="s">
        <v>27</v>
      </c>
      <c r="F56" s="42">
        <v>0.30780000000000002</v>
      </c>
      <c r="G56" s="30" t="s">
        <v>67</v>
      </c>
      <c r="H56" s="43">
        <v>1.1937</v>
      </c>
      <c r="I56" s="32"/>
      <c r="J56" s="110">
        <f>((('indice Carburant'!D6/'Indexation Client 2026'!$D$56)-1)*'Indexation Client 2026'!$F$56)*'Indexation Client 2026'!$H$56+$H$56</f>
        <v>1.1671297277610262</v>
      </c>
      <c r="K56" s="110">
        <f>((('indice Carburant'!E6/'Indexation Client 2026'!$D$56)-1)*'Indexation Client 2026'!$F$56)*'Indexation Client 2026'!$H$56+$H$56</f>
        <v>1.1786591603792098</v>
      </c>
      <c r="L56" s="110">
        <f>((('indice Carburant'!F6/'Indexation Client 2026'!$D$56)-1)*'Indexation Client 2026'!$F$56)*'Indexation Client 2026'!$H$56+$H$56</f>
        <v>1.1893248244299075</v>
      </c>
      <c r="M56" s="43">
        <f>((('indice Carburant'!G6/'Indexation Client 2026'!$D$56)-1)*'Indexation Client 2026'!$F$56)*'Indexation Client 2026'!$H$56+$H$56</f>
        <v>1.2921132839607503</v>
      </c>
      <c r="N56" s="43">
        <f>((('indice Carburant'!H6/'Indexation Client 2026'!$D$56)-1)*'Indexation Client 2026'!$F$56)*'Indexation Client 2026'!$H$56+$H$56</f>
        <v>0.82627914000000002</v>
      </c>
      <c r="O56" s="43">
        <f>((('indice Carburant'!I6/'Indexation Client 2026'!$D$56)-1)*'Indexation Client 2026'!$F$56)*'Indexation Client 2026'!$H$56+$H$56</f>
        <v>0.82627914000000002</v>
      </c>
      <c r="P56" s="43">
        <f>((('indice Carburant'!J6/'Indexation Client 2026'!$D$56)-1)*'Indexation Client 2026'!$F$56)*'Indexation Client 2026'!$H$56+$H$56</f>
        <v>0.82627914000000002</v>
      </c>
      <c r="Q56" s="43">
        <f>((('indice Carburant'!K6/'Indexation Client 2026'!$D$56)-1)*'Indexation Client 2026'!$F$56)*'Indexation Client 2026'!$H$56+$H$56</f>
        <v>0.82627914000000002</v>
      </c>
      <c r="R56" s="43">
        <f>((('indice Carburant'!L6/'Indexation Client 2026'!$D$56)-1)*'Indexation Client 2026'!$F$56)*'Indexation Client 2026'!$H$56+$H$56</f>
        <v>0.82627914000000002</v>
      </c>
      <c r="S56" s="43">
        <f>((('indice Carburant'!M6/'Indexation Client 2026'!$D$56)-1)*'Indexation Client 2026'!$F$56)*'Indexation Client 2026'!$H$56+$H$56</f>
        <v>0.82627914000000002</v>
      </c>
      <c r="T56" s="43">
        <f>((('indice Carburant'!N6/'Indexation Client 2026'!$D$56)-1)*'Indexation Client 2026'!$F$56)*'Indexation Client 2026'!$H$56+$H$56</f>
        <v>0.82627914000000002</v>
      </c>
      <c r="U56" s="43">
        <f>((('indice Carburant'!O6/'Indexation Client 2026'!$D$56)-1)*'Indexation Client 2026'!$F$56)*'Indexation Client 2026'!$H$56+$H$56</f>
        <v>0.82627914000000002</v>
      </c>
    </row>
    <row r="57" spans="1:21" ht="15.6" x14ac:dyDescent="0.3">
      <c r="A57" s="33" t="s">
        <v>62</v>
      </c>
      <c r="B57" s="35" t="s">
        <v>248</v>
      </c>
      <c r="C57" s="37" t="s">
        <v>64</v>
      </c>
      <c r="D57" s="30">
        <v>192.18</v>
      </c>
      <c r="E57" s="30" t="s">
        <v>70</v>
      </c>
      <c r="F57" s="42">
        <v>0.2445</v>
      </c>
      <c r="G57" s="30" t="s">
        <v>67</v>
      </c>
      <c r="H57" s="43">
        <v>1.8084</v>
      </c>
      <c r="I57" s="32"/>
      <c r="J57" s="110">
        <f>((('indice Carburant'!D13/'Indexation Client 2026'!$D$57)-1)*'Indexation Client 2026'!$F$57)*'Indexation Client 2026'!$H$57+$H$57</f>
        <v>1.7376526311270684</v>
      </c>
      <c r="K57" s="110">
        <f>((('indice Carburant'!E13/'Indexation Client 2026'!$D$57)-1)*'Indexation Client 2026'!$F$57)*'Indexation Client 2026'!$H$57+$H$57</f>
        <v>1.733465307180768</v>
      </c>
      <c r="L57" s="110">
        <f>((('indice Carburant'!F13/'Indexation Client 2026'!$D$57)-1)*'Indexation Client 2026'!$F$57)*'Indexation Client 2026'!$H$57+$H$57</f>
        <v>1.7750394520761785</v>
      </c>
      <c r="M57" s="43">
        <f>((('indice Carburant'!G13/'Indexation Client 2026'!$D$57)-1)*'Indexation Client 2026'!$F$57)*'Indexation Client 2026'!$H$57+$H$57</f>
        <v>1.3662462</v>
      </c>
      <c r="N57" s="43">
        <f>((('indice Carburant'!H13/'Indexation Client 2026'!$D$57)-1)*'Indexation Client 2026'!$F$57)*'Indexation Client 2026'!$H$57+$H$57</f>
        <v>1.3662462</v>
      </c>
      <c r="O57" s="43">
        <f>((('indice Carburant'!I13/'Indexation Client 2026'!$D$57)-1)*'Indexation Client 2026'!$F$57)*'Indexation Client 2026'!$H$57+$H$57</f>
        <v>1.3662462</v>
      </c>
      <c r="P57" s="43">
        <f>((('indice Carburant'!J13/'Indexation Client 2026'!$D$57)-1)*'Indexation Client 2026'!$F$57)*'Indexation Client 2026'!$H$57+$H$57</f>
        <v>1.3662462</v>
      </c>
      <c r="Q57" s="43">
        <f>((('indice Carburant'!K13/'Indexation Client 2026'!$D$57)-1)*'Indexation Client 2026'!$F$57)*'Indexation Client 2026'!$H$57+$H$57</f>
        <v>1.3662462</v>
      </c>
      <c r="R57" s="43">
        <f>((('indice Carburant'!L13/'Indexation Client 2026'!$D$57)-1)*'Indexation Client 2026'!$F$57)*'Indexation Client 2026'!$H$57+$H$57</f>
        <v>1.3662462</v>
      </c>
      <c r="S57" s="43">
        <f>((('indice Carburant'!M13/'Indexation Client 2026'!$D$57)-1)*'Indexation Client 2026'!$F$57)*'Indexation Client 2026'!$H$57+$H$57</f>
        <v>1.3662462</v>
      </c>
      <c r="T57" s="43">
        <f>((('indice Carburant'!N13/'Indexation Client 2026'!$D$57)-1)*'Indexation Client 2026'!$F$57)*'Indexation Client 2026'!$H$57+$H$57</f>
        <v>1.3662462</v>
      </c>
      <c r="U57" s="43">
        <f>((('indice Carburant'!O13/'Indexation Client 2026'!$D$57)-1)*'Indexation Client 2026'!$F$57)*'Indexation Client 2026'!$H$57+$H$57</f>
        <v>1.3662462</v>
      </c>
    </row>
    <row r="58" spans="1:21" ht="15.6" x14ac:dyDescent="0.3">
      <c r="A58" s="33" t="s">
        <v>62</v>
      </c>
      <c r="B58" s="35" t="s">
        <v>246</v>
      </c>
      <c r="C58" s="37" t="s">
        <v>64</v>
      </c>
      <c r="D58" s="30">
        <v>170.34</v>
      </c>
      <c r="E58" s="30" t="s">
        <v>70</v>
      </c>
      <c r="F58" s="42">
        <v>0.25009999999999999</v>
      </c>
      <c r="G58" s="30" t="s">
        <v>67</v>
      </c>
      <c r="H58" s="43">
        <v>1.6503000000000001</v>
      </c>
      <c r="I58" s="32"/>
      <c r="J58" s="110">
        <f>((('indice Carburant'!D13/'Indexation Client 2026'!$D$58)-1)*'Indexation Client 2026'!$F$58)*'Indexation Client 2026'!$H$58+$H$58</f>
        <v>1.6287107451725962</v>
      </c>
      <c r="K58" s="110">
        <f>((('indice Carburant'!E13/'Indexation Client 2026'!$D$58)-1)*'Indexation Client 2026'!$F$58)*'Indexation Client 2026'!$H$58+$H$58</f>
        <v>1.6243008188217682</v>
      </c>
      <c r="L58" s="110">
        <f>((('indice Carburant'!F13/'Indexation Client 2026'!$D$58)-1)*'Indexation Client 2026'!$F$58)*'Indexation Client 2026'!$H$58+$H$58</f>
        <v>1.668085087590701</v>
      </c>
      <c r="M58" s="43">
        <f>((('indice Carburant'!G13/'Indexation Client 2026'!$D$58)-1)*'Indexation Client 2026'!$F$58)*'Indexation Client 2026'!$H$58+$H$58</f>
        <v>1.2375599700000002</v>
      </c>
      <c r="N58" s="43">
        <f>((('indice Carburant'!H13/'Indexation Client 2026'!$D$58)-1)*'Indexation Client 2026'!$F$58)*'Indexation Client 2026'!$H$58+$H$58</f>
        <v>1.2375599700000002</v>
      </c>
      <c r="O58" s="43">
        <f>((('indice Carburant'!I13/'Indexation Client 2026'!$D$58)-1)*'Indexation Client 2026'!$F$58)*'Indexation Client 2026'!$H$58+$H$58</f>
        <v>1.2375599700000002</v>
      </c>
      <c r="P58" s="43">
        <f>((('indice Carburant'!J13/'Indexation Client 2026'!$D$58)-1)*'Indexation Client 2026'!$F$58)*'Indexation Client 2026'!$H$58+$H$58</f>
        <v>1.2375599700000002</v>
      </c>
      <c r="Q58" s="43">
        <f>((('indice Carburant'!K13/'Indexation Client 2026'!$D$58)-1)*'Indexation Client 2026'!$F$58)*'Indexation Client 2026'!$H$58+$H$58</f>
        <v>1.2375599700000002</v>
      </c>
      <c r="R58" s="43">
        <f>((('indice Carburant'!L13/'Indexation Client 2026'!$D$58)-1)*'Indexation Client 2026'!$F$58)*'Indexation Client 2026'!$H$58+$H$58</f>
        <v>1.2375599700000002</v>
      </c>
      <c r="S58" s="43">
        <f>((('indice Carburant'!M13/'Indexation Client 2026'!$D$58)-1)*'Indexation Client 2026'!$F$58)*'Indexation Client 2026'!$H$58+$H$58</f>
        <v>1.2375599700000002</v>
      </c>
      <c r="T58" s="43">
        <f>((('indice Carburant'!N13/'Indexation Client 2026'!$D$58)-1)*'Indexation Client 2026'!$F$58)*'Indexation Client 2026'!$H$58+$H$58</f>
        <v>1.2375599700000002</v>
      </c>
      <c r="U58" s="43">
        <f>((('indice Carburant'!O13/'Indexation Client 2026'!$D$58)-1)*'Indexation Client 2026'!$F$58)*'Indexation Client 2026'!$H$58+$H$58</f>
        <v>1.2375599700000002</v>
      </c>
    </row>
    <row r="59" spans="1:21" ht="15.6" x14ac:dyDescent="0.3">
      <c r="A59" s="33" t="s">
        <v>62</v>
      </c>
      <c r="B59" s="35" t="s">
        <v>247</v>
      </c>
      <c r="C59" s="37" t="s">
        <v>64</v>
      </c>
      <c r="D59" s="30">
        <v>170.34</v>
      </c>
      <c r="E59" s="30" t="s">
        <v>70</v>
      </c>
      <c r="F59" s="42">
        <v>0.18099999999999999</v>
      </c>
      <c r="G59" s="30" t="s">
        <v>67</v>
      </c>
      <c r="H59" s="43">
        <v>2.1640000000000001</v>
      </c>
      <c r="I59" s="32"/>
      <c r="J59" s="110">
        <f>((('indice Carburant'!D13/'Indexation Client 2026'!$D$59)-1)*'Indexation Client 2026'!$F$59)*'Indexation Client 2026'!$H$59+$H$59</f>
        <v>2.1435121261007399</v>
      </c>
      <c r="K59" s="110">
        <f>((('indice Carburant'!E13/'Indexation Client 2026'!$D$59)-1)*'Indexation Client 2026'!$F$59)*'Indexation Client 2026'!$H$59+$H$59</f>
        <v>2.1393271731830459</v>
      </c>
      <c r="L59" s="110">
        <f>((('indice Carburant'!F13/'Indexation Client 2026'!$D$59)-1)*'Indexation Client 2026'!$F$59)*'Indexation Client 2026'!$H$59+$H$59</f>
        <v>2.1808777771515793</v>
      </c>
      <c r="M59" s="43">
        <f>((('indice Carburant'!G13/'Indexation Client 2026'!$D$59)-1)*'Indexation Client 2026'!$F$59)*'Indexation Client 2026'!$H$59+$H$59</f>
        <v>1.772316</v>
      </c>
      <c r="N59" s="43">
        <f>((('indice Carburant'!H13/'Indexation Client 2026'!$D$59)-1)*'Indexation Client 2026'!$F$59)*'Indexation Client 2026'!$H$59+$H$59</f>
        <v>1.772316</v>
      </c>
      <c r="O59" s="43">
        <f>((('indice Carburant'!I13/'Indexation Client 2026'!$D$59)-1)*'Indexation Client 2026'!$F$59)*'Indexation Client 2026'!$H$59+$H$59</f>
        <v>1.772316</v>
      </c>
      <c r="P59" s="43">
        <f>((('indice Carburant'!J13/'Indexation Client 2026'!$D$59)-1)*'Indexation Client 2026'!$F$59)*'Indexation Client 2026'!$H$59+$H$59</f>
        <v>1.772316</v>
      </c>
      <c r="Q59" s="43">
        <f>((('indice Carburant'!K13/'Indexation Client 2026'!$D$59)-1)*'Indexation Client 2026'!$F$59)*'Indexation Client 2026'!$H$59+$H$59</f>
        <v>1.772316</v>
      </c>
      <c r="R59" s="43">
        <f>((('indice Carburant'!L13/'Indexation Client 2026'!$D$59)-1)*'Indexation Client 2026'!$F$59)*'Indexation Client 2026'!$H$59+$H$59</f>
        <v>1.772316</v>
      </c>
      <c r="S59" s="43">
        <f>((('indice Carburant'!M13/'Indexation Client 2026'!$D$59)-1)*'Indexation Client 2026'!$F$59)*'Indexation Client 2026'!$H$59+$H$59</f>
        <v>1.772316</v>
      </c>
      <c r="T59" s="43">
        <f>((('indice Carburant'!N13/'Indexation Client 2026'!$D$59)-1)*'Indexation Client 2026'!$F$59)*'Indexation Client 2026'!$H$59+$H$59</f>
        <v>1.772316</v>
      </c>
      <c r="U59" s="43">
        <f>((('indice Carburant'!O13/'Indexation Client 2026'!$D$59)-1)*'Indexation Client 2026'!$F$59)*'Indexation Client 2026'!$H$59+$H$59</f>
        <v>1.772316</v>
      </c>
    </row>
    <row r="60" spans="1:21" ht="15.6" x14ac:dyDescent="0.3">
      <c r="A60" s="33" t="s">
        <v>62</v>
      </c>
      <c r="B60" s="35" t="s">
        <v>281</v>
      </c>
      <c r="C60" s="37" t="s">
        <v>64</v>
      </c>
      <c r="D60" s="30">
        <v>163.31</v>
      </c>
      <c r="E60" s="30" t="s">
        <v>70</v>
      </c>
      <c r="F60" s="42">
        <v>0.27689999999999998</v>
      </c>
      <c r="G60" s="30" t="s">
        <v>67</v>
      </c>
      <c r="H60" s="43">
        <v>1.421</v>
      </c>
      <c r="I60" s="32"/>
      <c r="J60" s="110">
        <f>((('indice Carburant'!D13/'Indexation Client 2026'!$D$60)-1)*'Indexation Client 2026'!$F$60)*'Indexation Client 2026'!$H$60+$H$60</f>
        <v>1.4164703765109301</v>
      </c>
      <c r="K60" s="110">
        <f>((('indice Carburant'!E13/'Indexation Client 2026'!$D$60)-1)*'Indexation Client 2026'!$F$60)*'Indexation Client 2026'!$H$60+$H$60</f>
        <v>1.4120853154736392</v>
      </c>
      <c r="L60" s="110">
        <f>((('indice Carburant'!F13/'Indexation Client 2026'!$D$60)-1)*'Indexation Client 2026'!$F$60)*'Indexation Client 2026'!$H$60+$H$60</f>
        <v>1.4556227072010288</v>
      </c>
      <c r="M60" s="43">
        <f>((('indice Carburant'!G13/'Indexation Client 2026'!$D$60)-1)*'Indexation Client 2026'!$F$60)*'Indexation Client 2026'!$H$60+$H$60</f>
        <v>1.0275251000000001</v>
      </c>
      <c r="N60" s="43">
        <f>((('indice Carburant'!H13/'Indexation Client 2026'!$D$60)-1)*'Indexation Client 2026'!$F$60)*'Indexation Client 2026'!$H$60+$H$60</f>
        <v>1.0275251000000001</v>
      </c>
      <c r="O60" s="43">
        <f>((('indice Carburant'!I13/'Indexation Client 2026'!$D$60)-1)*'Indexation Client 2026'!$F$60)*'Indexation Client 2026'!$H$60+$H$60</f>
        <v>1.0275251000000001</v>
      </c>
      <c r="P60" s="43">
        <f>((('indice Carburant'!J13/'Indexation Client 2026'!$D$60)-1)*'Indexation Client 2026'!$F$60)*'Indexation Client 2026'!$H$60+$H$60</f>
        <v>1.0275251000000001</v>
      </c>
      <c r="Q60" s="43">
        <f>((('indice Carburant'!K13/'Indexation Client 2026'!$D$60)-1)*'Indexation Client 2026'!$F$60)*'Indexation Client 2026'!$H$60+$H$60</f>
        <v>1.0275251000000001</v>
      </c>
      <c r="R60" s="43">
        <f>((('indice Carburant'!L13/'Indexation Client 2026'!$D$60)-1)*'Indexation Client 2026'!$F$60)*'Indexation Client 2026'!$H$60+$H$60</f>
        <v>1.0275251000000001</v>
      </c>
      <c r="S60" s="43">
        <f>((('indice Carburant'!M13/'Indexation Client 2026'!$D$60)-1)*'Indexation Client 2026'!$F$60)*'Indexation Client 2026'!$H$60+$H$60</f>
        <v>1.0275251000000001</v>
      </c>
      <c r="T60" s="43">
        <f>((('indice Carburant'!N13/'Indexation Client 2026'!$D$60)-1)*'Indexation Client 2026'!$F$60)*'Indexation Client 2026'!$H$60+$H$60</f>
        <v>1.0275251000000001</v>
      </c>
      <c r="U60" s="43">
        <f>((('indice Carburant'!O13/'Indexation Client 2026'!$D$60)-1)*'Indexation Client 2026'!$F$60)*'Indexation Client 2026'!$H$60+$H$60</f>
        <v>1.0275251000000001</v>
      </c>
    </row>
    <row r="61" spans="1:21" ht="15.6" x14ac:dyDescent="0.3">
      <c r="A61" s="33" t="s">
        <v>62</v>
      </c>
      <c r="B61" s="35" t="s">
        <v>282</v>
      </c>
      <c r="C61" s="37" t="s">
        <v>64</v>
      </c>
      <c r="D61" s="30">
        <v>163.31</v>
      </c>
      <c r="E61" s="30" t="s">
        <v>70</v>
      </c>
      <c r="F61" s="42">
        <v>0.27979999999999999</v>
      </c>
      <c r="G61" s="30" t="s">
        <v>67</v>
      </c>
      <c r="H61" s="43">
        <v>1.452</v>
      </c>
      <c r="I61" s="32"/>
      <c r="J61" s="110">
        <f>((('indice Carburant'!D13/'Indexation Client 2026'!$D$61)-1)*'Indexation Client 2026'!$F$61)*'Indexation Client 2026'!$H$61+$H$61</f>
        <v>1.4473230858612454</v>
      </c>
      <c r="K61" s="110">
        <f>((('indice Carburant'!E13/'Indexation Client 2026'!$D$61)-1)*'Indexation Client 2026'!$F$61)*'Indexation Client 2026'!$H$61+$H$61</f>
        <v>1.4427954349396852</v>
      </c>
      <c r="L61" s="110">
        <f>((('indice Carburant'!F13/'Indexation Client 2026'!$D$61)-1)*'Indexation Client 2026'!$F$61)*'Indexation Client 2026'!$H$61+$H$61</f>
        <v>1.4877485405180331</v>
      </c>
      <c r="M61" s="43">
        <f>((('indice Carburant'!G13/'Indexation Client 2026'!$D$61)-1)*'Indexation Client 2026'!$F$61)*'Indexation Client 2026'!$H$61+$H$61</f>
        <v>1.0457304000000001</v>
      </c>
      <c r="N61" s="43">
        <f>((('indice Carburant'!H13/'Indexation Client 2026'!$D$61)-1)*'Indexation Client 2026'!$F$61)*'Indexation Client 2026'!$H$61+$H$61</f>
        <v>1.0457304000000001</v>
      </c>
      <c r="O61" s="43">
        <f>((('indice Carburant'!I13/'Indexation Client 2026'!$D$61)-1)*'Indexation Client 2026'!$F$61)*'Indexation Client 2026'!$H$61+$H$61</f>
        <v>1.0457304000000001</v>
      </c>
      <c r="P61" s="43">
        <f>((('indice Carburant'!J13/'Indexation Client 2026'!$D$61)-1)*'Indexation Client 2026'!$F$61)*'Indexation Client 2026'!$H$61+$H$61</f>
        <v>1.0457304000000001</v>
      </c>
      <c r="Q61" s="43">
        <f>((('indice Carburant'!K13/'Indexation Client 2026'!$D$61)-1)*'Indexation Client 2026'!$F$61)*'Indexation Client 2026'!$H$61+$H$61</f>
        <v>1.0457304000000001</v>
      </c>
      <c r="R61" s="43">
        <f>((('indice Carburant'!L13/'Indexation Client 2026'!$D$61)-1)*'Indexation Client 2026'!$F$61)*'Indexation Client 2026'!$H$61+$H$61</f>
        <v>1.0457304000000001</v>
      </c>
      <c r="S61" s="43">
        <f>((('indice Carburant'!M13/'Indexation Client 2026'!$D$61)-1)*'Indexation Client 2026'!$F$61)*'Indexation Client 2026'!$H$61+$H$61</f>
        <v>1.0457304000000001</v>
      </c>
      <c r="T61" s="43">
        <f>((('indice Carburant'!N13/'Indexation Client 2026'!$D$61)-1)*'Indexation Client 2026'!$F$61)*'Indexation Client 2026'!$H$61+$H$61</f>
        <v>1.0457304000000001</v>
      </c>
      <c r="U61" s="43">
        <f>((('indice Carburant'!O13/'Indexation Client 2026'!$D$61)-1)*'Indexation Client 2026'!$F$61)*'Indexation Client 2026'!$H$61+$H$61</f>
        <v>1.0457304000000001</v>
      </c>
    </row>
    <row r="62" spans="1:21" x14ac:dyDescent="0.3">
      <c r="A62" s="38" t="s">
        <v>96</v>
      </c>
      <c r="B62" s="30" t="s">
        <v>97</v>
      </c>
      <c r="C62" s="29" t="s">
        <v>98</v>
      </c>
      <c r="D62" s="30">
        <v>182.05</v>
      </c>
      <c r="E62" s="30" t="s">
        <v>27</v>
      </c>
      <c r="F62" s="42">
        <v>0.26500000000000001</v>
      </c>
      <c r="G62" s="30" t="s">
        <v>28</v>
      </c>
      <c r="H62" s="30"/>
      <c r="I62" s="32"/>
      <c r="J62" s="105">
        <v>4.4972672446287235E-2</v>
      </c>
      <c r="K62" s="105">
        <f>((('indice Carburant'!E6/'Indexation Client 2026'!$D$62)-1)*'Indexation Client 2026'!$F$62)</f>
        <v>8.1661631419939085E-3</v>
      </c>
      <c r="L62" s="105">
        <f>((('indice Carburant'!F6/'Indexation Client 2026'!$D$62)-1)*'Indexation Client 2026'!$F$62)</f>
        <v>1.6434221367756095E-2</v>
      </c>
      <c r="M62" s="68">
        <f>((('indice Carburant'!G6/'Indexation Client 2026'!$D$62)-1)*'Indexation Client 2026'!$F$62)</f>
        <v>9.6116176874485038E-2</v>
      </c>
      <c r="N62" s="68">
        <f>((('indice Carburant'!H6/'Indexation Client 2026'!$D$62)-1)*'Indexation Client 2026'!$F$62)</f>
        <v>-0.26500000000000001</v>
      </c>
      <c r="O62" s="68">
        <f>((('indice Carburant'!I6/'Indexation Client 2026'!$D$62)-1)*'Indexation Client 2026'!$F$62)</f>
        <v>-0.26500000000000001</v>
      </c>
      <c r="P62" s="68">
        <f>((('indice Carburant'!J6/'Indexation Client 2026'!$D$62)-1)*'Indexation Client 2026'!$F$62)</f>
        <v>-0.26500000000000001</v>
      </c>
      <c r="Q62" s="68">
        <f>((('indice Carburant'!K6/'Indexation Client 2026'!$D$62)-1)*'Indexation Client 2026'!$F$62)</f>
        <v>-0.26500000000000001</v>
      </c>
      <c r="R62" s="68">
        <f>((('indice Carburant'!L6/'Indexation Client 2026'!$D$62)-1)*'Indexation Client 2026'!$F$62)</f>
        <v>-0.26500000000000001</v>
      </c>
      <c r="S62" s="68">
        <f>((('indice Carburant'!M6/'Indexation Client 2026'!$D$62)-1)*'Indexation Client 2026'!$F$62)</f>
        <v>-0.26500000000000001</v>
      </c>
      <c r="T62" s="68">
        <f>((('indice Carburant'!N6/'Indexation Client 2026'!$D$62)-1)*'Indexation Client 2026'!$F$62)</f>
        <v>-0.26500000000000001</v>
      </c>
      <c r="U62" s="68">
        <f>((('indice Carburant'!O6/'Indexation Client 2026'!$D$62)-1)*'Indexation Client 2026'!$F$62)</f>
        <v>-0.26500000000000001</v>
      </c>
    </row>
    <row r="63" spans="1:21" x14ac:dyDescent="0.3">
      <c r="A63" s="38" t="s">
        <v>96</v>
      </c>
      <c r="B63" s="30" t="s">
        <v>100</v>
      </c>
      <c r="C63" s="29" t="s">
        <v>98</v>
      </c>
      <c r="D63" s="30">
        <v>182.05</v>
      </c>
      <c r="E63" s="30" t="s">
        <v>27</v>
      </c>
      <c r="F63" s="42">
        <v>0.26500000000000001</v>
      </c>
      <c r="G63" s="30" t="s">
        <v>28</v>
      </c>
      <c r="H63" s="30"/>
      <c r="I63" s="32"/>
      <c r="J63" s="105">
        <v>-4.5419131822109958E-2</v>
      </c>
      <c r="K63" s="105">
        <f>((('indice Carburant'!E6/'Indexation Client 2026'!$D$63)-1)*'Indexation Client 2026'!$F$63)</f>
        <v>8.1661631419939085E-3</v>
      </c>
      <c r="L63" s="105">
        <f>((('indice Carburant'!F6/'Indexation Client 2026'!$D$63)-1)*'Indexation Client 2026'!$F$63)</f>
        <v>1.6434221367756095E-2</v>
      </c>
      <c r="M63" s="68">
        <f>((('indice Carburant'!G6/'Indexation Client 2026'!$D$63)-1)*'Indexation Client 2026'!$F$63)</f>
        <v>9.6116176874485038E-2</v>
      </c>
      <c r="N63" s="68">
        <f>((('indice Carburant'!H6/'Indexation Client 2026'!$D$63)-1)*'Indexation Client 2026'!$F$63)</f>
        <v>-0.26500000000000001</v>
      </c>
      <c r="O63" s="68">
        <f>((('indice Carburant'!I6/'Indexation Client 2026'!$D$63)-1)*'Indexation Client 2026'!$F$63)</f>
        <v>-0.26500000000000001</v>
      </c>
      <c r="P63" s="68">
        <f>((('indice Carburant'!J6/'Indexation Client 2026'!$D$63)-1)*'Indexation Client 2026'!$F$63)</f>
        <v>-0.26500000000000001</v>
      </c>
      <c r="Q63" s="68">
        <f>((('indice Carburant'!K6/'Indexation Client 2026'!$D$63)-1)*'Indexation Client 2026'!$F$63)</f>
        <v>-0.26500000000000001</v>
      </c>
      <c r="R63" s="68">
        <f>((('indice Carburant'!L6/'Indexation Client 2026'!$D$63)-1)*'Indexation Client 2026'!$F$63)</f>
        <v>-0.26500000000000001</v>
      </c>
      <c r="S63" s="68">
        <f>((('indice Carburant'!M6/'Indexation Client 2026'!$D$63)-1)*'Indexation Client 2026'!$F$63)</f>
        <v>-0.26500000000000001</v>
      </c>
      <c r="T63" s="68">
        <f>((('indice Carburant'!N6/'Indexation Client 2026'!$D$63)-1)*'Indexation Client 2026'!$F$63)</f>
        <v>-0.26500000000000001</v>
      </c>
      <c r="U63" s="68">
        <f>((('indice Carburant'!O6/'Indexation Client 2026'!$D$63)-1)*'Indexation Client 2026'!$F$63)</f>
        <v>-0.26500000000000001</v>
      </c>
    </row>
    <row r="64" spans="1:21" x14ac:dyDescent="0.3">
      <c r="A64" s="38" t="s">
        <v>96</v>
      </c>
      <c r="B64" s="30" t="s">
        <v>101</v>
      </c>
      <c r="C64" s="29" t="s">
        <v>98</v>
      </c>
      <c r="D64" s="30">
        <v>182.05</v>
      </c>
      <c r="E64" s="30" t="s">
        <v>27</v>
      </c>
      <c r="F64" s="42">
        <v>0.26500000000000001</v>
      </c>
      <c r="G64" s="30" t="s">
        <v>28</v>
      </c>
      <c r="H64" s="30"/>
      <c r="I64" s="32"/>
      <c r="J64" s="105">
        <v>-4.6985308781493061E-2</v>
      </c>
      <c r="K64" s="105">
        <f>((('indice Carburant'!E6/'Indexation Client 2026'!$D$64)-1)*'Indexation Client 2026'!$F$64)</f>
        <v>8.1661631419939085E-3</v>
      </c>
      <c r="L64" s="105">
        <f>((('indice Carburant'!F6/'Indexation Client 2026'!$D$64)-1)*'Indexation Client 2026'!$F$64)</f>
        <v>1.6434221367756095E-2</v>
      </c>
      <c r="M64" s="68">
        <f>((('indice Carburant'!G6/'Indexation Client 2026'!$D$64)-1)*'Indexation Client 2026'!$F$64)</f>
        <v>9.6116176874485038E-2</v>
      </c>
      <c r="N64" s="68">
        <f>((('indice Carburant'!H6/'Indexation Client 2026'!$D$64)-1)*'Indexation Client 2026'!$F$64)</f>
        <v>-0.26500000000000001</v>
      </c>
      <c r="O64" s="68">
        <f>((('indice Carburant'!I6/'Indexation Client 2026'!$D$64)-1)*'Indexation Client 2026'!$F$64)</f>
        <v>-0.26500000000000001</v>
      </c>
      <c r="P64" s="68">
        <f>((('indice Carburant'!J6/'Indexation Client 2026'!$D$64)-1)*'Indexation Client 2026'!$F$64)</f>
        <v>-0.26500000000000001</v>
      </c>
      <c r="Q64" s="68">
        <f>((('indice Carburant'!K6/'Indexation Client 2026'!$D$64)-1)*'Indexation Client 2026'!$F$64)</f>
        <v>-0.26500000000000001</v>
      </c>
      <c r="R64" s="68">
        <f>((('indice Carburant'!L6/'Indexation Client 2026'!$D$64)-1)*'Indexation Client 2026'!$F$64)</f>
        <v>-0.26500000000000001</v>
      </c>
      <c r="S64" s="68">
        <f>((('indice Carburant'!M6/'Indexation Client 2026'!$D$64)-1)*'Indexation Client 2026'!$F$64)</f>
        <v>-0.26500000000000001</v>
      </c>
      <c r="T64" s="68">
        <f>((('indice Carburant'!N6/'Indexation Client 2026'!$D$64)-1)*'Indexation Client 2026'!$F$64)</f>
        <v>-0.26500000000000001</v>
      </c>
      <c r="U64" s="68">
        <f>((('indice Carburant'!O6/'Indexation Client 2026'!$D$64)-1)*'Indexation Client 2026'!$F$64)</f>
        <v>-0.26500000000000001</v>
      </c>
    </row>
    <row r="65" spans="1:21" x14ac:dyDescent="0.3">
      <c r="A65" s="38" t="s">
        <v>96</v>
      </c>
      <c r="B65" s="30" t="s">
        <v>102</v>
      </c>
      <c r="C65" s="29" t="s">
        <v>98</v>
      </c>
      <c r="D65" s="30">
        <v>182.05</v>
      </c>
      <c r="E65" s="30" t="s">
        <v>27</v>
      </c>
      <c r="F65" s="42">
        <v>0.26500000000000001</v>
      </c>
      <c r="G65" s="30" t="s">
        <v>28</v>
      </c>
      <c r="H65" s="30"/>
      <c r="I65" s="32"/>
      <c r="J65" s="105">
        <v>-4.2286777903343759E-2</v>
      </c>
      <c r="K65" s="105">
        <f>((('indice Carburant'!E6/'Indexation Client 2026'!$D$65)-1)*'Indexation Client 2026'!$F$65)</f>
        <v>8.1661631419939085E-3</v>
      </c>
      <c r="L65" s="105">
        <f>((('indice Carburant'!F6/'Indexation Client 2026'!$D$65)-1)*'Indexation Client 2026'!$F$65)</f>
        <v>1.6434221367756095E-2</v>
      </c>
      <c r="M65" s="68">
        <f>((('indice Carburant'!G6/'Indexation Client 2026'!$D$65)-1)*'Indexation Client 2026'!$F$65)</f>
        <v>9.6116176874485038E-2</v>
      </c>
      <c r="N65" s="68">
        <f>((('indice Carburant'!H6/'Indexation Client 2026'!$D$65)-1)*'Indexation Client 2026'!$F$65)</f>
        <v>-0.26500000000000001</v>
      </c>
      <c r="O65" s="68">
        <f>((('indice Carburant'!I6/'Indexation Client 2026'!$D$65)-1)*'Indexation Client 2026'!$F$65)</f>
        <v>-0.26500000000000001</v>
      </c>
      <c r="P65" s="68">
        <f>((('indice Carburant'!J6/'Indexation Client 2026'!$D$65)-1)*'Indexation Client 2026'!$F$65)</f>
        <v>-0.26500000000000001</v>
      </c>
      <c r="Q65" s="68">
        <f>((('indice Carburant'!K6/'Indexation Client 2026'!$D$65)-1)*'Indexation Client 2026'!$F$65)</f>
        <v>-0.26500000000000001</v>
      </c>
      <c r="R65" s="68">
        <f>((('indice Carburant'!L6/'Indexation Client 2026'!$D$65)-1)*'Indexation Client 2026'!$F$65)</f>
        <v>-0.26500000000000001</v>
      </c>
      <c r="S65" s="68">
        <f>((('indice Carburant'!M6/'Indexation Client 2026'!$D$65)-1)*'Indexation Client 2026'!$F$65)</f>
        <v>-0.26500000000000001</v>
      </c>
      <c r="T65" s="68">
        <f>((('indice Carburant'!N6/'Indexation Client 2026'!$D$65)-1)*'Indexation Client 2026'!$F$65)</f>
        <v>-0.26500000000000001</v>
      </c>
      <c r="U65" s="68">
        <f>((('indice Carburant'!O6/'Indexation Client 2026'!$D$65)-1)*'Indexation Client 2026'!$F$65)</f>
        <v>-0.26500000000000001</v>
      </c>
    </row>
    <row r="66" spans="1:21" x14ac:dyDescent="0.3">
      <c r="A66" s="38" t="s">
        <v>96</v>
      </c>
      <c r="B66" s="30" t="s">
        <v>103</v>
      </c>
      <c r="C66" s="29" t="s">
        <v>98</v>
      </c>
      <c r="D66" s="30">
        <v>182.05</v>
      </c>
      <c r="E66" s="30" t="s">
        <v>27</v>
      </c>
      <c r="F66" s="42">
        <v>0.26500000000000001</v>
      </c>
      <c r="G66" s="30" t="s">
        <v>28</v>
      </c>
      <c r="H66" s="30"/>
      <c r="I66" s="32"/>
      <c r="J66" s="105">
        <v>-4.8601401157477929E-2</v>
      </c>
      <c r="K66" s="105">
        <f>((('indice Carburant'!E6/'Indexation Client 2026'!$D$66)-1)*'Indexation Client 2026'!$F$66)</f>
        <v>8.1661631419939085E-3</v>
      </c>
      <c r="L66" s="105">
        <f>((('indice Carburant'!F6/'Indexation Client 2026'!$D$66)-1)*'Indexation Client 2026'!$F$66)</f>
        <v>1.6434221367756095E-2</v>
      </c>
      <c r="M66" s="68">
        <f>((('indice Carburant'!G6/'Indexation Client 2026'!$D$66)-1)*'Indexation Client 2026'!$F$66)</f>
        <v>9.6116176874485038E-2</v>
      </c>
      <c r="N66" s="68">
        <f>((('indice Carburant'!H6/'Indexation Client 2026'!$D$66)-1)*'Indexation Client 2026'!$F$66)</f>
        <v>-0.26500000000000001</v>
      </c>
      <c r="O66" s="68">
        <f>((('indice Carburant'!I6/'Indexation Client 2026'!$D$66)-1)*'Indexation Client 2026'!$F$66)</f>
        <v>-0.26500000000000001</v>
      </c>
      <c r="P66" s="68">
        <f>((('indice Carburant'!J6/'Indexation Client 2026'!$D$66)-1)*'Indexation Client 2026'!$F$66)</f>
        <v>-0.26500000000000001</v>
      </c>
      <c r="Q66" s="68">
        <f>((('indice Carburant'!K6/'Indexation Client 2026'!$D$66)-1)*'Indexation Client 2026'!$F$66)</f>
        <v>-0.26500000000000001</v>
      </c>
      <c r="R66" s="68">
        <f>((('indice Carburant'!L6/'Indexation Client 2026'!$D$66)-1)*'Indexation Client 2026'!$F$66)</f>
        <v>-0.26500000000000001</v>
      </c>
      <c r="S66" s="68">
        <f>((('indice Carburant'!M6/'Indexation Client 2026'!$D$66)-1)*'Indexation Client 2026'!$F$66)</f>
        <v>-0.26500000000000001</v>
      </c>
      <c r="T66" s="68">
        <f>((('indice Carburant'!N6/'Indexation Client 2026'!$D$66)-1)*'Indexation Client 2026'!$F$66)</f>
        <v>-0.26500000000000001</v>
      </c>
      <c r="U66" s="68">
        <f>((('indice Carburant'!O6/'Indexation Client 2026'!$D$66)-1)*'Indexation Client 2026'!$F$66)</f>
        <v>-0.26500000000000001</v>
      </c>
    </row>
    <row r="67" spans="1:21" x14ac:dyDescent="0.3">
      <c r="A67" s="38" t="s">
        <v>96</v>
      </c>
      <c r="B67" s="30" t="s">
        <v>244</v>
      </c>
      <c r="C67" s="29" t="s">
        <v>98</v>
      </c>
      <c r="D67" s="30">
        <v>188.39</v>
      </c>
      <c r="E67" s="30" t="s">
        <v>27</v>
      </c>
      <c r="F67" s="42">
        <v>0.16900000000000001</v>
      </c>
      <c r="G67" s="30" t="s">
        <v>28</v>
      </c>
      <c r="H67" s="30"/>
      <c r="I67" s="32"/>
      <c r="J67" s="105">
        <f>((('indice Carburant'!D6/'Indexation Client 2026'!$D$67)-1)*'Indexation Client 2026'!$F$67)</f>
        <v>-6.1629067360263095E-3</v>
      </c>
      <c r="K67" s="105">
        <f>((('indice Carburant'!E6/'Indexation Client 2026'!$D$67)-1)*'Indexation Client 2026'!$F$67)</f>
        <v>-6.548649079038064E-4</v>
      </c>
      <c r="L67" s="105">
        <f>((('indice Carburant'!F6/'Indexation Client 2026'!$D$67)-1)*'Indexation Client 2026'!$F$67)</f>
        <v>4.4405223207176596E-3</v>
      </c>
      <c r="M67" s="68">
        <f>((('indice Carburant'!G6/'Indexation Client 2026'!$D$67)-1)*'Indexation Client 2026'!$F$67)</f>
        <v>5.3546419661340862E-2</v>
      </c>
      <c r="N67" s="68">
        <f>((('indice Carburant'!H6/'Indexation Client 2026'!$D$67)-1)*'Indexation Client 2026'!$F$67)</f>
        <v>-0.16900000000000001</v>
      </c>
      <c r="O67" s="68">
        <f>((('indice Carburant'!I6/'Indexation Client 2026'!$D$67)-1)*'Indexation Client 2026'!$F$67)</f>
        <v>-0.16900000000000001</v>
      </c>
      <c r="P67" s="68">
        <f>((('indice Carburant'!J6/'Indexation Client 2026'!$D$67)-1)*'Indexation Client 2026'!$F$67)</f>
        <v>-0.16900000000000001</v>
      </c>
      <c r="Q67" s="68">
        <f>((('indice Carburant'!K6/'Indexation Client 2026'!$D$67)-1)*'Indexation Client 2026'!$F$67)</f>
        <v>-0.16900000000000001</v>
      </c>
      <c r="R67" s="68">
        <f>((('indice Carburant'!L6/'Indexation Client 2026'!$D$67)-1)*'Indexation Client 2026'!$F$67)</f>
        <v>-0.16900000000000001</v>
      </c>
      <c r="S67" s="68">
        <f>((('indice Carburant'!M6/'Indexation Client 2026'!$D$67)-1)*'Indexation Client 2026'!$F$67)</f>
        <v>-0.16900000000000001</v>
      </c>
      <c r="T67" s="68">
        <f>((('indice Carburant'!N6/'Indexation Client 2026'!$D$67)-1)*'Indexation Client 2026'!$F$67)</f>
        <v>-0.16900000000000001</v>
      </c>
      <c r="U67" s="68">
        <f>((('indice Carburant'!O6/'Indexation Client 2026'!$D$67)-1)*'Indexation Client 2026'!$F$67)</f>
        <v>-0.16900000000000001</v>
      </c>
    </row>
    <row r="68" spans="1:21" x14ac:dyDescent="0.3">
      <c r="A68" s="33" t="s">
        <v>104</v>
      </c>
      <c r="B68" s="30" t="s">
        <v>105</v>
      </c>
      <c r="C68" s="29" t="s">
        <v>106</v>
      </c>
      <c r="D68" s="30">
        <v>181.52</v>
      </c>
      <c r="E68" s="30" t="s">
        <v>27</v>
      </c>
      <c r="F68" s="42">
        <v>0.28000000000000003</v>
      </c>
      <c r="G68" s="30" t="s">
        <v>28</v>
      </c>
      <c r="H68" s="30"/>
      <c r="I68" s="32"/>
      <c r="J68" s="105">
        <f>((('indice Carburant'!D6/'Indexation Client 2026'!$D$68)-1)*'Indexation Client 2026'!$F$68)</f>
        <v>0</v>
      </c>
      <c r="K68" s="105">
        <f>((('indice Carburant'!E6/'Indexation Client 2026'!$D$68)-1)*'Indexation Client 2026'!$F$68)</f>
        <v>9.4711326575584037E-3</v>
      </c>
      <c r="L68" s="105">
        <f>((('indice Carburant'!F6/'Indexation Client 2026'!$D$68)-1)*'Indexation Client 2026'!$F$68)</f>
        <v>1.8232701630674315E-2</v>
      </c>
      <c r="M68" s="68">
        <f>((('indice Carburant'!G6/'Indexation Client 2026'!$D$68)-1)*'Indexation Client 2026'!$F$68)</f>
        <v>0.1026707800793301</v>
      </c>
      <c r="N68" s="68">
        <f>((('indice Carburant'!H6/'Indexation Client 2026'!$D$68)-1)*'Indexation Client 2026'!$F$68)</f>
        <v>-0.28000000000000003</v>
      </c>
      <c r="O68" s="68">
        <f>((('indice Carburant'!I6/'Indexation Client 2026'!$D$68)-1)*'Indexation Client 2026'!$F$68)</f>
        <v>-0.28000000000000003</v>
      </c>
      <c r="P68" s="68">
        <f>((('indice Carburant'!J6/'Indexation Client 2026'!$D$68)-1)*'Indexation Client 2026'!$F$68)</f>
        <v>-0.28000000000000003</v>
      </c>
      <c r="Q68" s="68">
        <f>((('indice Carburant'!K6/'Indexation Client 2026'!$D$68)-1)*'Indexation Client 2026'!$F$68)</f>
        <v>-0.28000000000000003</v>
      </c>
      <c r="R68" s="68">
        <f>((('indice Carburant'!L6/'Indexation Client 2026'!$D$68)-1)*'Indexation Client 2026'!$F$68)</f>
        <v>-0.28000000000000003</v>
      </c>
      <c r="S68" s="68">
        <f>((('indice Carburant'!M6/'Indexation Client 2026'!$D$68)-1)*'Indexation Client 2026'!$F$68)</f>
        <v>-0.28000000000000003</v>
      </c>
      <c r="T68" s="68">
        <f>((('indice Carburant'!N6/'Indexation Client 2026'!$D$68)-1)*'Indexation Client 2026'!$F$68)</f>
        <v>-0.28000000000000003</v>
      </c>
      <c r="U68" s="68">
        <f>((('indice Carburant'!O6/'Indexation Client 2026'!$D$68)-1)*'Indexation Client 2026'!$F$68)</f>
        <v>-0.28000000000000003</v>
      </c>
    </row>
    <row r="69" spans="1:21" x14ac:dyDescent="0.3">
      <c r="A69" s="33" t="s">
        <v>104</v>
      </c>
      <c r="B69" s="30" t="s">
        <v>107</v>
      </c>
      <c r="C69" s="29" t="s">
        <v>106</v>
      </c>
      <c r="D69" s="30">
        <v>181.52</v>
      </c>
      <c r="E69" s="30" t="s">
        <v>27</v>
      </c>
      <c r="F69" s="42">
        <v>0.28000000000000003</v>
      </c>
      <c r="G69" s="30" t="s">
        <v>28</v>
      </c>
      <c r="H69" s="30"/>
      <c r="I69" s="32"/>
      <c r="J69" s="105">
        <f>((('indice Carburant'!D6/'Indexation Client 2026'!$D$68)-1)*'Indexation Client 2026'!$F$68)</f>
        <v>0</v>
      </c>
      <c r="K69" s="105">
        <f>((('indice Carburant'!E6/'Indexation Client 2026'!$D$68)-1)*'Indexation Client 2026'!$F$68)</f>
        <v>9.4711326575584037E-3</v>
      </c>
      <c r="L69" s="105">
        <f>((('indice Carburant'!F6/'Indexation Client 2026'!$D$68)-1)*'Indexation Client 2026'!$F$68)</f>
        <v>1.8232701630674315E-2</v>
      </c>
      <c r="M69" s="68">
        <f>((('indice Carburant'!G6/'Indexation Client 2026'!$D$68)-1)*'Indexation Client 2026'!$F$68)</f>
        <v>0.1026707800793301</v>
      </c>
      <c r="N69" s="68">
        <f>((('indice Carburant'!H6/'Indexation Client 2026'!$D$68)-1)*'Indexation Client 2026'!$F$68)</f>
        <v>-0.28000000000000003</v>
      </c>
      <c r="O69" s="68">
        <f>((('indice Carburant'!I6/'Indexation Client 2026'!$D$68)-1)*'Indexation Client 2026'!$F$68)</f>
        <v>-0.28000000000000003</v>
      </c>
      <c r="P69" s="68">
        <f>((('indice Carburant'!J6/'Indexation Client 2026'!$D$68)-1)*'Indexation Client 2026'!$F$68)</f>
        <v>-0.28000000000000003</v>
      </c>
      <c r="Q69" s="68">
        <f>((('indice Carburant'!K6/'Indexation Client 2026'!$D$68)-1)*'Indexation Client 2026'!$F$68)</f>
        <v>-0.28000000000000003</v>
      </c>
      <c r="R69" s="68">
        <f>((('indice Carburant'!L6/'Indexation Client 2026'!$D$68)-1)*'Indexation Client 2026'!$F$68)</f>
        <v>-0.28000000000000003</v>
      </c>
      <c r="S69" s="68">
        <f>((('indice Carburant'!M6/'Indexation Client 2026'!$D$68)-1)*'Indexation Client 2026'!$F$68)</f>
        <v>-0.28000000000000003</v>
      </c>
      <c r="T69" s="68">
        <f>((('indice Carburant'!N6/'Indexation Client 2026'!$D$68)-1)*'Indexation Client 2026'!$F$68)</f>
        <v>-0.28000000000000003</v>
      </c>
      <c r="U69" s="68">
        <f>((('indice Carburant'!O6/'Indexation Client 2026'!$D$68)-1)*'Indexation Client 2026'!$F$68)</f>
        <v>-0.28000000000000003</v>
      </c>
    </row>
    <row r="70" spans="1:21" x14ac:dyDescent="0.3">
      <c r="A70" s="33" t="s">
        <v>108</v>
      </c>
      <c r="B70" s="35" t="s">
        <v>109</v>
      </c>
      <c r="C70" s="29" t="s">
        <v>110</v>
      </c>
      <c r="D70" s="30">
        <v>142.37</v>
      </c>
      <c r="E70" s="30" t="s">
        <v>70</v>
      </c>
      <c r="F70" s="42">
        <v>0.25700000000000001</v>
      </c>
      <c r="G70" s="30" t="s">
        <v>28</v>
      </c>
      <c r="H70" s="30"/>
      <c r="I70" s="32"/>
      <c r="J70" s="105">
        <f>((('indice Carburant'!D13/'Indexation Client 2026'!$D$70)-1)*'Indexation Client 2026'!$F$70)</f>
        <v>3.4406265364894321E-2</v>
      </c>
      <c r="K70" s="105">
        <f>((('indice Carburant'!E13/'Indexation Client 2026'!$D$70)-1)*'Indexation Client 2026'!$F$70)</f>
        <v>3.1120882208330414E-2</v>
      </c>
      <c r="L70" s="105">
        <f>((('indice Carburant'!F13/'Indexation Client 2026'!$D$70)-1)*'Indexation Client 2026'!$F$70)</f>
        <v>6.3740043548500408E-2</v>
      </c>
      <c r="M70" s="68">
        <f>((('indice Carburant'!G13/'Indexation Client 2026'!$D$70)-1)*'Indexation Client 2026'!$F$70)</f>
        <v>-0.25700000000000001</v>
      </c>
      <c r="N70" s="68">
        <f>((('indice Carburant'!H13/'Indexation Client 2026'!$D$70)-1)*'Indexation Client 2026'!$F$70)</f>
        <v>-0.25700000000000001</v>
      </c>
      <c r="O70" s="68">
        <f>((('indice Carburant'!I13/'Indexation Client 2026'!$D$70)-1)*'Indexation Client 2026'!$F$70)</f>
        <v>-0.25700000000000001</v>
      </c>
      <c r="P70" s="68">
        <f>((('indice Carburant'!J13/'Indexation Client 2026'!$D$70)-1)*'Indexation Client 2026'!$F$70)</f>
        <v>-0.25700000000000001</v>
      </c>
      <c r="Q70" s="68">
        <f>((('indice Carburant'!K13/'Indexation Client 2026'!$D$70)-1)*'Indexation Client 2026'!$F$70)</f>
        <v>-0.25700000000000001</v>
      </c>
      <c r="R70" s="68">
        <f>((('indice Carburant'!L13/'Indexation Client 2026'!$D$70)-1)*'Indexation Client 2026'!$F$70)</f>
        <v>-0.25700000000000001</v>
      </c>
      <c r="S70" s="68">
        <f>((('indice Carburant'!M13/'Indexation Client 2026'!$D$70)-1)*'Indexation Client 2026'!$F$70)</f>
        <v>-0.25700000000000001</v>
      </c>
      <c r="T70" s="68">
        <f>((('indice Carburant'!N13/'Indexation Client 2026'!$D$70)-1)*'Indexation Client 2026'!$F$70)</f>
        <v>-0.25700000000000001</v>
      </c>
      <c r="U70" s="68">
        <f>((('indice Carburant'!O13/'Indexation Client 2026'!$D$70)-1)*'Indexation Client 2026'!$F$70)</f>
        <v>-0.25700000000000001</v>
      </c>
    </row>
    <row r="71" spans="1:21" x14ac:dyDescent="0.3">
      <c r="A71" s="33" t="s">
        <v>111</v>
      </c>
      <c r="B71" s="30" t="s">
        <v>112</v>
      </c>
      <c r="C71" s="29" t="s">
        <v>113</v>
      </c>
      <c r="D71" s="30">
        <v>1.1549</v>
      </c>
      <c r="E71" s="54" t="s">
        <v>99</v>
      </c>
      <c r="F71" s="42">
        <v>0.28000000000000003</v>
      </c>
      <c r="G71" s="30" t="s">
        <v>28</v>
      </c>
      <c r="H71" s="30"/>
      <c r="I71" s="32"/>
      <c r="J71" s="105">
        <v>2.75902675556325E-2</v>
      </c>
      <c r="K71" s="105">
        <f>((('indice Carburant'!E8/'Indexation Client 2026'!$D$71)-1)*'Indexation Client 2026'!$F$71)</f>
        <v>4.0464109446705337E-2</v>
      </c>
      <c r="L71" s="105">
        <f>((('indice Carburant'!F8/'Indexation Client 2026'!$D$71)-1)*'Indexation Client 2026'!$F$71)</f>
        <v>4.8440557624036693E-2</v>
      </c>
      <c r="M71" s="68">
        <f>((('indice Carburant'!G8/'Indexation Client 2026'!$D$71)-1)*'Indexation Client 2026'!$F$71)</f>
        <v>0.14609749761884147</v>
      </c>
      <c r="N71" s="68">
        <f>((('indice Carburant'!H8/'Indexation Client 2026'!$D$71)-1)*'Indexation Client 2026'!$F$71)</f>
        <v>-0.28000000000000003</v>
      </c>
      <c r="O71" s="68">
        <f>((('indice Carburant'!I8/'Indexation Client 2026'!$D$71)-1)*'Indexation Client 2026'!$F$71)</f>
        <v>-0.28000000000000003</v>
      </c>
      <c r="P71" s="68">
        <f>((('indice Carburant'!J8/'Indexation Client 2026'!$D$71)-1)*'Indexation Client 2026'!$F$71)</f>
        <v>-0.28000000000000003</v>
      </c>
      <c r="Q71" s="68">
        <f>((('indice Carburant'!K8/'Indexation Client 2026'!$D$71)-1)*'Indexation Client 2026'!$F$71)</f>
        <v>-0.28000000000000003</v>
      </c>
      <c r="R71" s="68">
        <f>((('indice Carburant'!L8/'Indexation Client 2026'!$D$71)-1)*'Indexation Client 2026'!$F$71)</f>
        <v>-0.28000000000000003</v>
      </c>
      <c r="S71" s="68">
        <f>((('indice Carburant'!M8/'Indexation Client 2026'!$D$71)-1)*'Indexation Client 2026'!$F$71)</f>
        <v>-0.28000000000000003</v>
      </c>
      <c r="T71" s="68">
        <f>((('indice Carburant'!N8/'Indexation Client 2026'!$D$71)-1)*'Indexation Client 2026'!$F$71)</f>
        <v>-0.28000000000000003</v>
      </c>
      <c r="U71" s="68">
        <f>((('indice Carburant'!O8/'Indexation Client 2026'!$D$71)-1)*'Indexation Client 2026'!$F$71)</f>
        <v>-0.28000000000000003</v>
      </c>
    </row>
    <row r="72" spans="1:21" x14ac:dyDescent="0.3">
      <c r="A72" s="33" t="s">
        <v>114</v>
      </c>
      <c r="B72" s="30" t="s">
        <v>115</v>
      </c>
      <c r="C72" s="29" t="s">
        <v>116</v>
      </c>
      <c r="D72" s="30">
        <v>182.05</v>
      </c>
      <c r="E72" s="30" t="s">
        <v>27</v>
      </c>
      <c r="F72" s="42">
        <v>0.26500000000000001</v>
      </c>
      <c r="G72" s="30" t="s">
        <v>28</v>
      </c>
      <c r="H72" s="30"/>
      <c r="I72" s="32"/>
      <c r="J72" s="105">
        <v>5.3408076009501156E-2</v>
      </c>
      <c r="K72" s="105">
        <f>((('indice Carburant'!E6/'Indexation Client 2026'!$D$72)-1)*'Indexation Client 2026'!$F$72)</f>
        <v>8.1661631419939085E-3</v>
      </c>
      <c r="L72" s="105">
        <f>((('indice Carburant'!F6/'Indexation Client 2026'!$D$72)-1)*'Indexation Client 2026'!$F$72)</f>
        <v>1.6434221367756095E-2</v>
      </c>
      <c r="M72" s="68">
        <f>((('indice Carburant'!G6/'Indexation Client 2026'!$D$72)-1)*'Indexation Client 2026'!$F$72)</f>
        <v>9.6116176874485038E-2</v>
      </c>
      <c r="N72" s="68">
        <f>((('indice Carburant'!H6/'Indexation Client 2026'!$D$72)-1)*'Indexation Client 2026'!$F$72)</f>
        <v>-0.26500000000000001</v>
      </c>
      <c r="O72" s="68">
        <f>((('indice Carburant'!I6/'Indexation Client 2026'!$D$72)-1)*'Indexation Client 2026'!$F$72)</f>
        <v>-0.26500000000000001</v>
      </c>
      <c r="P72" s="68">
        <f>((('indice Carburant'!J6/'Indexation Client 2026'!$D$72)-1)*'Indexation Client 2026'!$F$72)</f>
        <v>-0.26500000000000001</v>
      </c>
      <c r="Q72" s="68">
        <f>((('indice Carburant'!K6/'Indexation Client 2026'!$D$72)-1)*'Indexation Client 2026'!$F$72)</f>
        <v>-0.26500000000000001</v>
      </c>
      <c r="R72" s="68">
        <f>((('indice Carburant'!L6/'Indexation Client 2026'!$D$72)-1)*'Indexation Client 2026'!$F$72)</f>
        <v>-0.26500000000000001</v>
      </c>
      <c r="S72" s="68">
        <f>((('indice Carburant'!M6/'Indexation Client 2026'!$D$72)-1)*'Indexation Client 2026'!$F$72)</f>
        <v>-0.26500000000000001</v>
      </c>
      <c r="T72" s="68">
        <f>((('indice Carburant'!N6/'Indexation Client 2026'!$D$72)-1)*'Indexation Client 2026'!$F$72)</f>
        <v>-0.26500000000000001</v>
      </c>
      <c r="U72" s="68">
        <f>((('indice Carburant'!O6/'Indexation Client 2026'!$D$72)-1)*'Indexation Client 2026'!$F$72)</f>
        <v>-0.26500000000000001</v>
      </c>
    </row>
    <row r="73" spans="1:21" x14ac:dyDescent="0.3">
      <c r="A73" s="33" t="s">
        <v>114</v>
      </c>
      <c r="B73" s="30" t="s">
        <v>117</v>
      </c>
      <c r="C73" s="29" t="s">
        <v>116</v>
      </c>
      <c r="D73" s="30">
        <v>182.05</v>
      </c>
      <c r="E73" s="30" t="s">
        <v>27</v>
      </c>
      <c r="F73" s="42">
        <v>0.26500000000000001</v>
      </c>
      <c r="G73" s="30" t="s">
        <v>28</v>
      </c>
      <c r="H73" s="30"/>
      <c r="I73" s="32"/>
      <c r="J73" s="105">
        <v>9.9131192161132295E-2</v>
      </c>
      <c r="K73" s="105">
        <f>((('indice Carburant'!E6/'Indexation Client 2026'!$D$73)-1)*'Indexation Client 2026'!$F$73)</f>
        <v>8.1661631419939085E-3</v>
      </c>
      <c r="L73" s="105">
        <f>((('indice Carburant'!F6/'Indexation Client 2026'!$D$73)-1)*'Indexation Client 2026'!$F$73)</f>
        <v>1.6434221367756095E-2</v>
      </c>
      <c r="M73" s="68">
        <f>((('indice Carburant'!G6/'Indexation Client 2026'!$D$73)-1)*'Indexation Client 2026'!$F$73)</f>
        <v>9.6116176874485038E-2</v>
      </c>
      <c r="N73" s="68">
        <f>((('indice Carburant'!H6/'Indexation Client 2026'!$D$73)-1)*'Indexation Client 2026'!$F$73)</f>
        <v>-0.26500000000000001</v>
      </c>
      <c r="O73" s="68">
        <f>((('indice Carburant'!I6/'Indexation Client 2026'!$D$73)-1)*'Indexation Client 2026'!$F$73)</f>
        <v>-0.26500000000000001</v>
      </c>
      <c r="P73" s="68">
        <f>((('indice Carburant'!J6/'Indexation Client 2026'!$D$73)-1)*'Indexation Client 2026'!$F$73)</f>
        <v>-0.26500000000000001</v>
      </c>
      <c r="Q73" s="68">
        <f>((('indice Carburant'!K6/'Indexation Client 2026'!$D$73)-1)*'Indexation Client 2026'!$F$73)</f>
        <v>-0.26500000000000001</v>
      </c>
      <c r="R73" s="68">
        <f>((('indice Carburant'!L6/'Indexation Client 2026'!$D$73)-1)*'Indexation Client 2026'!$F$73)</f>
        <v>-0.26500000000000001</v>
      </c>
      <c r="S73" s="68">
        <f>((('indice Carburant'!M6/'Indexation Client 2026'!$D$73)-1)*'Indexation Client 2026'!$F$73)</f>
        <v>-0.26500000000000001</v>
      </c>
      <c r="T73" s="68">
        <f>((('indice Carburant'!N6/'Indexation Client 2026'!$D$73)-1)*'Indexation Client 2026'!$F$73)</f>
        <v>-0.26500000000000001</v>
      </c>
      <c r="U73" s="68">
        <f>((('indice Carburant'!O6/'Indexation Client 2026'!$D$73)-1)*'Indexation Client 2026'!$F$73)</f>
        <v>-0.26500000000000001</v>
      </c>
    </row>
    <row r="74" spans="1:21" x14ac:dyDescent="0.3">
      <c r="A74" s="33" t="s">
        <v>114</v>
      </c>
      <c r="B74" s="30" t="s">
        <v>118</v>
      </c>
      <c r="C74" s="29" t="s">
        <v>116</v>
      </c>
      <c r="D74" s="30">
        <v>182.05</v>
      </c>
      <c r="E74" s="30" t="s">
        <v>27</v>
      </c>
      <c r="F74" s="42">
        <v>0.26500000000000001</v>
      </c>
      <c r="G74" s="30" t="s">
        <v>28</v>
      </c>
      <c r="H74" s="30"/>
      <c r="I74" s="32"/>
      <c r="J74" s="105">
        <v>9.8978520286396157E-2</v>
      </c>
      <c r="K74" s="105">
        <f>((('indice Carburant'!E6/'Indexation Client 2026'!$D$74)-1)*'Indexation Client 2026'!$F$74)</f>
        <v>8.1661631419939085E-3</v>
      </c>
      <c r="L74" s="105">
        <f>((('indice Carburant'!F6/'Indexation Client 2026'!$D$74)-1)*'Indexation Client 2026'!$F$74)</f>
        <v>1.6434221367756095E-2</v>
      </c>
      <c r="M74" s="68">
        <f>((('indice Carburant'!G6/'Indexation Client 2026'!$D$74)-1)*'Indexation Client 2026'!$F$74)</f>
        <v>9.6116176874485038E-2</v>
      </c>
      <c r="N74" s="68">
        <f>((('indice Carburant'!H6/'Indexation Client 2026'!$D$74)-1)*'Indexation Client 2026'!$F$74)</f>
        <v>-0.26500000000000001</v>
      </c>
      <c r="O74" s="68">
        <f>((('indice Carburant'!I6/'Indexation Client 2026'!$D$74)-1)*'Indexation Client 2026'!$F$74)</f>
        <v>-0.26500000000000001</v>
      </c>
      <c r="P74" s="68">
        <f>((('indice Carburant'!J6/'Indexation Client 2026'!$D$74)-1)*'Indexation Client 2026'!$F$74)</f>
        <v>-0.26500000000000001</v>
      </c>
      <c r="Q74" s="68">
        <f>((('indice Carburant'!K6/'Indexation Client 2026'!$D$74)-1)*'Indexation Client 2026'!$F$74)</f>
        <v>-0.26500000000000001</v>
      </c>
      <c r="R74" s="68">
        <f>((('indice Carburant'!L6/'Indexation Client 2026'!$D$74)-1)*'Indexation Client 2026'!$F$74)</f>
        <v>-0.26500000000000001</v>
      </c>
      <c r="S74" s="68">
        <f>((('indice Carburant'!M6/'Indexation Client 2026'!$D$74)-1)*'Indexation Client 2026'!$F$74)</f>
        <v>-0.26500000000000001</v>
      </c>
      <c r="T74" s="68">
        <f>((('indice Carburant'!N6/'Indexation Client 2026'!$D$74)-1)*'Indexation Client 2026'!$F$74)</f>
        <v>-0.26500000000000001</v>
      </c>
      <c r="U74" s="68">
        <f>((('indice Carburant'!O6/'Indexation Client 2026'!$D$74)-1)*'Indexation Client 2026'!$F$74)</f>
        <v>-0.26500000000000001</v>
      </c>
    </row>
    <row r="75" spans="1:21" x14ac:dyDescent="0.3">
      <c r="A75" s="33" t="s">
        <v>114</v>
      </c>
      <c r="B75" s="30" t="s">
        <v>119</v>
      </c>
      <c r="C75" s="29" t="s">
        <v>116</v>
      </c>
      <c r="D75" s="30">
        <v>187.15</v>
      </c>
      <c r="E75" s="30" t="s">
        <v>159</v>
      </c>
      <c r="F75" s="42">
        <v>0.17</v>
      </c>
      <c r="G75" s="30" t="s">
        <v>28</v>
      </c>
      <c r="H75" s="30"/>
      <c r="I75" s="32"/>
      <c r="J75" s="105">
        <v>6.9048614741244102E-2</v>
      </c>
      <c r="K75" s="105">
        <f>((('indice Carburant'!D6/'Indexation Client 2026'!$D$75)-1)*'Indexation Client 2026'!$F$75)</f>
        <v>-5.1140796152818564E-3</v>
      </c>
      <c r="L75" s="105">
        <f>((('indice Carburant'!E6/'Indexation Client 2026'!$D$75)-1)*'Indexation Client 2026'!$F$75)</f>
        <v>4.6326476088698115E-4</v>
      </c>
      <c r="M75" s="68">
        <f>((('indice Carburant'!F6/'Indexation Client 2026'!$D$75)-1)*'Indexation Client 2026'!$F$75)</f>
        <v>5.6227624899812794E-3</v>
      </c>
      <c r="N75" s="68">
        <f>((('indice Carburant'!G6/'Indexation Client 2026'!$D$75)-1)*'Indexation Client 2026'!$F$75)</f>
        <v>5.5346513491851483E-2</v>
      </c>
      <c r="O75" s="68">
        <f>((('indice Carburant'!H6/'Indexation Client 2026'!$D$75)-1)*'Indexation Client 2026'!$F$75)</f>
        <v>-0.17</v>
      </c>
      <c r="P75" s="68">
        <f>((('indice Carburant'!I6/'Indexation Client 2026'!$D$75)-1)*'Indexation Client 2026'!$F$75)</f>
        <v>-0.17</v>
      </c>
      <c r="Q75" s="68">
        <f>((('indice Carburant'!J6/'Indexation Client 2026'!$D$75)-1)*'Indexation Client 2026'!$F$75)</f>
        <v>-0.17</v>
      </c>
      <c r="R75" s="68">
        <f>((('indice Carburant'!K6/'Indexation Client 2026'!$D$75)-1)*'Indexation Client 2026'!$F$75)</f>
        <v>-0.17</v>
      </c>
      <c r="S75" s="68">
        <f>((('indice Carburant'!L6/'Indexation Client 2026'!$D$75)-1)*'Indexation Client 2026'!$F$75)</f>
        <v>-0.17</v>
      </c>
      <c r="T75" s="68">
        <f>((('indice Carburant'!M6/'Indexation Client 2026'!$D$75)-1)*'Indexation Client 2026'!$F$75)</f>
        <v>-0.17</v>
      </c>
      <c r="U75" s="68">
        <f>((('indice Carburant'!N6/'Indexation Client 2026'!$D$75)-1)*'Indexation Client 2026'!$F$75)</f>
        <v>-0.17</v>
      </c>
    </row>
    <row r="76" spans="1:21" x14ac:dyDescent="0.3">
      <c r="A76" s="33" t="s">
        <v>114</v>
      </c>
      <c r="B76" s="30" t="s">
        <v>120</v>
      </c>
      <c r="C76" s="29" t="s">
        <v>116</v>
      </c>
      <c r="D76" s="30">
        <v>187.15</v>
      </c>
      <c r="E76" s="30" t="s">
        <v>159</v>
      </c>
      <c r="F76" s="42">
        <v>0.17</v>
      </c>
      <c r="G76" s="30" t="s">
        <v>28</v>
      </c>
      <c r="H76" s="30"/>
      <c r="I76" s="32"/>
      <c r="J76" s="105">
        <v>6.9048614741244102E-2</v>
      </c>
      <c r="K76" s="105">
        <f>((('indice Carburant'!D6/'Indexation Client 2026'!$D$76)-1)*'Indexation Client 2026'!$F$76)</f>
        <v>-5.1140796152818564E-3</v>
      </c>
      <c r="L76" s="105">
        <f>((('indice Carburant'!E6/'Indexation Client 2026'!$D$76)-1)*'Indexation Client 2026'!$F$76)</f>
        <v>4.6326476088698115E-4</v>
      </c>
      <c r="M76" s="68">
        <f>((('indice Carburant'!F6/'Indexation Client 2026'!$D$76)-1)*'Indexation Client 2026'!$F$76)</f>
        <v>5.6227624899812794E-3</v>
      </c>
      <c r="N76" s="68">
        <f>((('indice Carburant'!G6/'Indexation Client 2026'!$D$76)-1)*'Indexation Client 2026'!$F$76)</f>
        <v>5.5346513491851483E-2</v>
      </c>
      <c r="O76" s="68">
        <f>((('indice Carburant'!H6/'Indexation Client 2026'!$D$76)-1)*'Indexation Client 2026'!$F$76)</f>
        <v>-0.17</v>
      </c>
      <c r="P76" s="68">
        <f>((('indice Carburant'!I6/'Indexation Client 2026'!$D$76)-1)*'Indexation Client 2026'!$F$76)</f>
        <v>-0.17</v>
      </c>
      <c r="Q76" s="68">
        <f>((('indice Carburant'!J6/'Indexation Client 2026'!$D$76)-1)*'Indexation Client 2026'!$F$76)</f>
        <v>-0.17</v>
      </c>
      <c r="R76" s="68">
        <f>((('indice Carburant'!K6/'Indexation Client 2026'!$D$76)-1)*'Indexation Client 2026'!$F$76)</f>
        <v>-0.17</v>
      </c>
      <c r="S76" s="68">
        <f>((('indice Carburant'!L6/'Indexation Client 2026'!$D$76)-1)*'Indexation Client 2026'!$F$76)</f>
        <v>-0.17</v>
      </c>
      <c r="T76" s="68">
        <f>((('indice Carburant'!M6/'Indexation Client 2026'!$D$76)-1)*'Indexation Client 2026'!$F$76)</f>
        <v>-0.17</v>
      </c>
      <c r="U76" s="68">
        <f>((('indice Carburant'!N6/'Indexation Client 2026'!$D$76)-1)*'Indexation Client 2026'!$F$76)</f>
        <v>-0.17</v>
      </c>
    </row>
    <row r="77" spans="1:21" x14ac:dyDescent="0.3">
      <c r="A77" s="33" t="s">
        <v>114</v>
      </c>
      <c r="B77" s="30" t="s">
        <v>121</v>
      </c>
      <c r="C77" s="29" t="s">
        <v>116</v>
      </c>
      <c r="D77" s="30">
        <v>187.15</v>
      </c>
      <c r="E77" s="30" t="s">
        <v>159</v>
      </c>
      <c r="F77" s="42">
        <v>0.17</v>
      </c>
      <c r="G77" s="30" t="s">
        <v>28</v>
      </c>
      <c r="H77" s="30"/>
      <c r="I77" s="32"/>
      <c r="J77" s="105">
        <v>6.9048614741244102E-2</v>
      </c>
      <c r="K77" s="105">
        <f>((('indice Carburant'!D6/'Indexation Client 2026'!$D$77)-1)*'Indexation Client 2026'!$F$77)</f>
        <v>-5.1140796152818564E-3</v>
      </c>
      <c r="L77" s="105">
        <f>((('indice Carburant'!E6/'Indexation Client 2026'!$D$77)-1)*'Indexation Client 2026'!$F$77)</f>
        <v>4.6326476088698115E-4</v>
      </c>
      <c r="M77" s="68">
        <f>((('indice Carburant'!F6/'Indexation Client 2026'!$D$77)-1)*'Indexation Client 2026'!$F$77)</f>
        <v>5.6227624899812794E-3</v>
      </c>
      <c r="N77" s="68">
        <f>((('indice Carburant'!G6/'Indexation Client 2026'!$D$77)-1)*'Indexation Client 2026'!$F$77)</f>
        <v>5.5346513491851483E-2</v>
      </c>
      <c r="O77" s="68">
        <f>((('indice Carburant'!H6/'Indexation Client 2026'!$D$77)-1)*'Indexation Client 2026'!$F$77)</f>
        <v>-0.17</v>
      </c>
      <c r="P77" s="68">
        <f>((('indice Carburant'!I6/'Indexation Client 2026'!$D$77)-1)*'Indexation Client 2026'!$F$77)</f>
        <v>-0.17</v>
      </c>
      <c r="Q77" s="68">
        <f>((('indice Carburant'!J6/'Indexation Client 2026'!$D$77)-1)*'Indexation Client 2026'!$F$77)</f>
        <v>-0.17</v>
      </c>
      <c r="R77" s="68">
        <f>((('indice Carburant'!K6/'Indexation Client 2026'!$D$77)-1)*'Indexation Client 2026'!$F$77)</f>
        <v>-0.17</v>
      </c>
      <c r="S77" s="68">
        <f>((('indice Carburant'!L6/'Indexation Client 2026'!$D$77)-1)*'Indexation Client 2026'!$F$77)</f>
        <v>-0.17</v>
      </c>
      <c r="T77" s="68">
        <f>((('indice Carburant'!M6/'Indexation Client 2026'!$D$77)-1)*'Indexation Client 2026'!$F$77)</f>
        <v>-0.17</v>
      </c>
      <c r="U77" s="68">
        <f>((('indice Carburant'!N6/'Indexation Client 2026'!$D$77)-1)*'Indexation Client 2026'!$F$77)</f>
        <v>-0.17</v>
      </c>
    </row>
    <row r="78" spans="1:21" x14ac:dyDescent="0.3">
      <c r="A78" s="33" t="s">
        <v>114</v>
      </c>
      <c r="B78" s="30">
        <v>917</v>
      </c>
      <c r="C78" s="29" t="s">
        <v>116</v>
      </c>
      <c r="D78" s="30">
        <v>187.15</v>
      </c>
      <c r="E78" s="30" t="s">
        <v>27</v>
      </c>
      <c r="F78" s="42">
        <v>0.221</v>
      </c>
      <c r="G78" s="30" t="s">
        <v>28</v>
      </c>
      <c r="H78" s="30"/>
      <c r="I78" s="32"/>
      <c r="J78" s="105">
        <f>((('indice Carburant'!D6/'Indexation Client 2026'!$D$78)-1)*'Indexation Client 2026'!$F$78)</f>
        <v>-6.6483034998664125E-3</v>
      </c>
      <c r="K78" s="105">
        <f>((('indice Carburant'!E6/'Indexation Client 2026'!$D$78)-1)*'Indexation Client 2026'!$F$78)</f>
        <v>6.0224418915307541E-4</v>
      </c>
      <c r="L78" s="105">
        <f>((('indice Carburant'!F6/'Indexation Client 2026'!$D$78)-1)*'Indexation Client 2026'!$F$78)</f>
        <v>7.3095912369756629E-3</v>
      </c>
      <c r="M78" s="68">
        <f>((('indice Carburant'!G6/'Indexation Client 2026'!$D$78)-1)*'Indexation Client 2026'!$F$78)</f>
        <v>7.1950467539406926E-2</v>
      </c>
      <c r="N78" s="68">
        <f>((('indice Carburant'!H6/'Indexation Client 2026'!$D$78)-1)*'Indexation Client 2026'!$F$78)</f>
        <v>-0.221</v>
      </c>
      <c r="O78" s="68">
        <f>((('indice Carburant'!I6/'Indexation Client 2026'!$D$78)-1)*'Indexation Client 2026'!$F$78)</f>
        <v>-0.221</v>
      </c>
      <c r="P78" s="68">
        <f>((('indice Carburant'!J6/'Indexation Client 2026'!$D$78)-1)*'Indexation Client 2026'!$F$78)</f>
        <v>-0.221</v>
      </c>
      <c r="Q78" s="68">
        <f>((('indice Carburant'!K6/'Indexation Client 2026'!$D$78)-1)*'Indexation Client 2026'!$F$78)</f>
        <v>-0.221</v>
      </c>
      <c r="R78" s="68">
        <f>((('indice Carburant'!L6/'Indexation Client 2026'!$D$78)-1)*'Indexation Client 2026'!$F$78)</f>
        <v>-0.221</v>
      </c>
      <c r="S78" s="68">
        <f>((('indice Carburant'!M6/'Indexation Client 2026'!$D$78)-1)*'Indexation Client 2026'!$F$78)</f>
        <v>-0.221</v>
      </c>
      <c r="T78" s="68">
        <f>((('indice Carburant'!N6/'Indexation Client 2026'!$D$78)-1)*'Indexation Client 2026'!$F$78)</f>
        <v>-0.221</v>
      </c>
      <c r="U78" s="68">
        <f>((('indice Carburant'!O6/'Indexation Client 2026'!$D$78)-1)*'Indexation Client 2026'!$F$78)</f>
        <v>-0.221</v>
      </c>
    </row>
    <row r="79" spans="1:21" x14ac:dyDescent="0.3">
      <c r="A79" s="33" t="s">
        <v>114</v>
      </c>
      <c r="B79" s="30" t="s">
        <v>266</v>
      </c>
      <c r="C79" s="29" t="s">
        <v>116</v>
      </c>
      <c r="D79" s="30">
        <v>183.25</v>
      </c>
      <c r="E79" s="30" t="s">
        <v>27</v>
      </c>
      <c r="F79" s="42">
        <v>0.224</v>
      </c>
      <c r="G79" s="30" t="s">
        <v>28</v>
      </c>
      <c r="H79" s="30"/>
      <c r="I79" s="32"/>
      <c r="J79" s="105">
        <f>((('indice Carburant'!D6/'Indexation Client 2026'!$D$79)-1)*'Indexation Client 2026'!$F$79)</f>
        <v>-2.1147066848567313E-3</v>
      </c>
      <c r="K79" s="105">
        <f>((('indice Carburant'!E6/'Indexation Client 2026'!$D$79)-1)*'Indexation Client 2026'!$F$79)</f>
        <v>5.3906684856752851E-3</v>
      </c>
      <c r="L79" s="105">
        <f>((('indice Carburant'!F6/'Indexation Client 2026'!$D$79)-1)*'Indexation Client 2026'!$F$79)</f>
        <v>1.2333751705320601E-2</v>
      </c>
      <c r="M79" s="68">
        <f>((('indice Carburant'!G6/'Indexation Client 2026'!$D$79)-1)*'Indexation Client 2026'!$F$79)</f>
        <v>7.924649386084584E-2</v>
      </c>
      <c r="N79" s="68">
        <f>((('indice Carburant'!H6/'Indexation Client 2026'!$D$79)-1)*'Indexation Client 2026'!$F$79)</f>
        <v>-0.224</v>
      </c>
      <c r="O79" s="68">
        <f>((('indice Carburant'!I6/'Indexation Client 2026'!$D$79)-1)*'Indexation Client 2026'!$F$79)</f>
        <v>-0.224</v>
      </c>
      <c r="P79" s="68">
        <f>((('indice Carburant'!J6/'Indexation Client 2026'!$D$79)-1)*'Indexation Client 2026'!$F$79)</f>
        <v>-0.224</v>
      </c>
      <c r="Q79" s="68">
        <f>((('indice Carburant'!K6/'Indexation Client 2026'!$D$79)-1)*'Indexation Client 2026'!$F$79)</f>
        <v>-0.224</v>
      </c>
      <c r="R79" s="68">
        <f>((('indice Carburant'!L6/'Indexation Client 2026'!$D$79)-1)*'Indexation Client 2026'!$F$79)</f>
        <v>-0.224</v>
      </c>
      <c r="S79" s="68">
        <f>((('indice Carburant'!M6/'Indexation Client 2026'!$D$79)-1)*'Indexation Client 2026'!$F$79)</f>
        <v>-0.224</v>
      </c>
      <c r="T79" s="68">
        <f>((('indice Carburant'!N6/'Indexation Client 2026'!$D$79)-1)*'Indexation Client 2026'!$F$79)</f>
        <v>-0.224</v>
      </c>
      <c r="U79" s="68">
        <f>((('indice Carburant'!O6/'Indexation Client 2026'!$D$79)-1)*'Indexation Client 2026'!$F$79)</f>
        <v>-0.224</v>
      </c>
    </row>
    <row r="80" spans="1:21" x14ac:dyDescent="0.3">
      <c r="A80" s="33" t="s">
        <v>122</v>
      </c>
      <c r="B80" s="30" t="s">
        <v>123</v>
      </c>
      <c r="C80" s="29" t="s">
        <v>124</v>
      </c>
      <c r="D80" s="30">
        <v>182.05</v>
      </c>
      <c r="E80" s="30" t="s">
        <v>27</v>
      </c>
      <c r="F80" s="42">
        <v>0.26500000000000001</v>
      </c>
      <c r="G80" s="30" t="s">
        <v>28</v>
      </c>
      <c r="H80" s="30"/>
      <c r="I80" s="32"/>
      <c r="J80" s="105">
        <v>1.647472969575052E-2</v>
      </c>
      <c r="K80" s="105">
        <f>((('indice Carburant'!E6/'Indexation Client 2026'!$D$80)-1)*'Indexation Client 2026'!$F$80)</f>
        <v>8.1661631419939085E-3</v>
      </c>
      <c r="L80" s="105">
        <f>((('indice Carburant'!F6/'Indexation Client 2026'!$D$80)-1)*'Indexation Client 2026'!$F$80)</f>
        <v>1.6434221367756095E-2</v>
      </c>
      <c r="M80" s="68">
        <f>((('indice Carburant'!G6/'Indexation Client 2026'!$D$80)-1)*'Indexation Client 2026'!$F$80)</f>
        <v>9.6116176874485038E-2</v>
      </c>
      <c r="N80" s="68">
        <f>((('indice Carburant'!H6/'Indexation Client 2026'!$D$80)-1)*'Indexation Client 2026'!$F$80)</f>
        <v>-0.26500000000000001</v>
      </c>
      <c r="O80" s="68">
        <f>((('indice Carburant'!I6/'Indexation Client 2026'!$D$80)-1)*'Indexation Client 2026'!$F$80)</f>
        <v>-0.26500000000000001</v>
      </c>
      <c r="P80" s="68">
        <f>((('indice Carburant'!J6/'Indexation Client 2026'!$D$80)-1)*'Indexation Client 2026'!$F$80)</f>
        <v>-0.26500000000000001</v>
      </c>
      <c r="Q80" s="68">
        <f>((('indice Carburant'!K6/'Indexation Client 2026'!$D$80)-1)*'Indexation Client 2026'!$F$80)</f>
        <v>-0.26500000000000001</v>
      </c>
      <c r="R80" s="68">
        <f>((('indice Carburant'!L6/'Indexation Client 2026'!$D$80)-1)*'Indexation Client 2026'!$F$80)</f>
        <v>-0.26500000000000001</v>
      </c>
      <c r="S80" s="68">
        <f>((('indice Carburant'!M6/'Indexation Client 2026'!$D$80)-1)*'Indexation Client 2026'!$F$80)</f>
        <v>-0.26500000000000001</v>
      </c>
      <c r="T80" s="68">
        <f>((('indice Carburant'!N6/'Indexation Client 2026'!$D$80)-1)*'Indexation Client 2026'!$F$80)</f>
        <v>-0.26500000000000001</v>
      </c>
      <c r="U80" s="68">
        <f>((('indice Carburant'!O6/'Indexation Client 2026'!$D$80)-1)*'Indexation Client 2026'!$F$80)</f>
        <v>-0.26500000000000001</v>
      </c>
    </row>
    <row r="81" spans="1:21" x14ac:dyDescent="0.3">
      <c r="A81" s="33" t="s">
        <v>122</v>
      </c>
      <c r="B81" s="30" t="s">
        <v>125</v>
      </c>
      <c r="C81" s="29" t="s">
        <v>124</v>
      </c>
      <c r="D81" s="30">
        <v>182.05</v>
      </c>
      <c r="E81" s="30" t="s">
        <v>27</v>
      </c>
      <c r="F81" s="42">
        <v>0.26500000000000001</v>
      </c>
      <c r="G81" s="30" t="s">
        <v>28</v>
      </c>
      <c r="H81" s="30"/>
      <c r="I81" s="32"/>
      <c r="J81" s="105">
        <v>8.7692977681001635E-2</v>
      </c>
      <c r="K81" s="105">
        <f>((('indice Carburant'!E6/'Indexation Client 2026'!$D$81)-1)*'Indexation Client 2026'!$F$81)</f>
        <v>8.1661631419939085E-3</v>
      </c>
      <c r="L81" s="105">
        <f>((('indice Carburant'!F6/'Indexation Client 2026'!$D$81)-1)*'Indexation Client 2026'!$F$81)</f>
        <v>1.6434221367756095E-2</v>
      </c>
      <c r="M81" s="68">
        <f>((('indice Carburant'!G6/'Indexation Client 2026'!$D$81)-1)*'Indexation Client 2026'!$F$81)</f>
        <v>9.6116176874485038E-2</v>
      </c>
      <c r="N81" s="68">
        <f>((('indice Carburant'!H6/'Indexation Client 2026'!$D$81)-1)*'Indexation Client 2026'!$F$81)</f>
        <v>-0.26500000000000001</v>
      </c>
      <c r="O81" s="68">
        <f>((('indice Carburant'!I6/'Indexation Client 2026'!$D$81)-1)*'Indexation Client 2026'!$F$81)</f>
        <v>-0.26500000000000001</v>
      </c>
      <c r="P81" s="68">
        <f>((('indice Carburant'!J6/'Indexation Client 2026'!$D$81)-1)*'Indexation Client 2026'!$F$81)</f>
        <v>-0.26500000000000001</v>
      </c>
      <c r="Q81" s="68">
        <f>((('indice Carburant'!K6/'Indexation Client 2026'!$D$81)-1)*'Indexation Client 2026'!$F$81)</f>
        <v>-0.26500000000000001</v>
      </c>
      <c r="R81" s="68">
        <f>((('indice Carburant'!L6/'Indexation Client 2026'!$D$81)-1)*'Indexation Client 2026'!$F$81)</f>
        <v>-0.26500000000000001</v>
      </c>
      <c r="S81" s="68">
        <f>((('indice Carburant'!M6/'Indexation Client 2026'!$D$81)-1)*'Indexation Client 2026'!$F$81)</f>
        <v>-0.26500000000000001</v>
      </c>
      <c r="T81" s="68">
        <f>((('indice Carburant'!N6/'Indexation Client 2026'!$D$81)-1)*'Indexation Client 2026'!$F$81)</f>
        <v>-0.26500000000000001</v>
      </c>
      <c r="U81" s="68">
        <f>((('indice Carburant'!O6/'Indexation Client 2026'!$D$81)-1)*'Indexation Client 2026'!$F$81)</f>
        <v>-0.26500000000000001</v>
      </c>
    </row>
    <row r="82" spans="1:21" x14ac:dyDescent="0.3">
      <c r="A82" s="33" t="s">
        <v>126</v>
      </c>
      <c r="B82" s="30"/>
      <c r="C82" s="29" t="s">
        <v>126</v>
      </c>
      <c r="D82" s="40"/>
      <c r="E82" s="40"/>
      <c r="F82" s="40"/>
      <c r="G82" s="40"/>
      <c r="H82" s="40"/>
      <c r="I82" s="32"/>
      <c r="J82" s="112"/>
      <c r="K82" s="112"/>
      <c r="L82" s="112"/>
      <c r="M82" s="40"/>
      <c r="N82" s="40"/>
      <c r="O82" s="40"/>
      <c r="P82" s="40"/>
      <c r="Q82" s="40"/>
      <c r="R82" s="40"/>
      <c r="S82" s="40"/>
      <c r="T82" s="40"/>
      <c r="U82" s="40"/>
    </row>
    <row r="83" spans="1:21" x14ac:dyDescent="0.3">
      <c r="A83" s="33" t="s">
        <v>127</v>
      </c>
      <c r="B83" s="30"/>
      <c r="C83" s="29" t="s">
        <v>128</v>
      </c>
      <c r="D83" s="40"/>
      <c r="E83" s="40"/>
      <c r="F83" s="40"/>
      <c r="G83" s="40"/>
      <c r="H83" s="40"/>
      <c r="I83" s="32"/>
      <c r="J83" s="112"/>
      <c r="K83" s="112"/>
      <c r="L83" s="112"/>
      <c r="M83" s="40"/>
      <c r="N83" s="40"/>
      <c r="O83" s="40"/>
      <c r="P83" s="40"/>
      <c r="Q83" s="40"/>
      <c r="R83" s="40"/>
      <c r="S83" s="40"/>
      <c r="T83" s="40"/>
      <c r="U83" s="40"/>
    </row>
    <row r="84" spans="1:21" x14ac:dyDescent="0.3">
      <c r="A84" s="104" t="s">
        <v>129</v>
      </c>
      <c r="B84" s="62" t="s">
        <v>130</v>
      </c>
      <c r="C84" s="29" t="s">
        <v>131</v>
      </c>
      <c r="D84" s="30">
        <v>0.89859999999999995</v>
      </c>
      <c r="E84" s="54" t="s">
        <v>99</v>
      </c>
      <c r="F84" s="34">
        <v>0.13</v>
      </c>
      <c r="G84" s="30" t="s">
        <v>28</v>
      </c>
      <c r="H84" s="30"/>
      <c r="I84" s="32"/>
      <c r="J84" s="105">
        <f>((('indice Carburant'!D8/'Indexation Client 2026'!$D$84)-1)*'Indexation Client 2026'!$F$84)</f>
        <v>5.3542176719341195E-2</v>
      </c>
      <c r="K84" s="105">
        <f>((('indice Carburant'!E8/'Indexation Client 2026'!$D$84)-1)*'Indexation Client 2026'!$F$84)</f>
        <v>6.1224126418873842E-2</v>
      </c>
      <c r="L84" s="105">
        <f>((('indice Carburant'!F8/'Indexation Client 2026'!$D$84)-1)*'Indexation Client 2026'!$F$84)</f>
        <v>6.5983752503894946E-2</v>
      </c>
      <c r="M84" s="68">
        <f>((('indice Carburant'!G8/'Indexation Client 2026'!$D$84)-1)*'Indexation Client 2026'!$F$84)</f>
        <v>0.12425662141108394</v>
      </c>
      <c r="N84" s="68">
        <f>((('indice Carburant'!H8/'Indexation Client 2026'!$D$84)-1)*'Indexation Client 2026'!$F$84)</f>
        <v>-0.13</v>
      </c>
      <c r="O84" s="68">
        <f>((('indice Carburant'!I8/'Indexation Client 2026'!$D$84)-1)*'Indexation Client 2026'!$F$84)</f>
        <v>-0.13</v>
      </c>
      <c r="P84" s="68">
        <f>((('indice Carburant'!J8/'Indexation Client 2026'!$D$84)-1)*'Indexation Client 2026'!$F$84)</f>
        <v>-0.13</v>
      </c>
      <c r="Q84" s="68">
        <f>((('indice Carburant'!K8/'Indexation Client 2026'!$D$84)-1)*'Indexation Client 2026'!$F$84)</f>
        <v>-0.13</v>
      </c>
      <c r="R84" s="68">
        <f>((('indice Carburant'!L8/'Indexation Client 2026'!$D$84)-1)*'Indexation Client 2026'!$F$84)</f>
        <v>-0.13</v>
      </c>
      <c r="S84" s="68">
        <f>((('indice Carburant'!M8/'Indexation Client 2026'!$D$84)-1)*'Indexation Client 2026'!$F$84)</f>
        <v>-0.13</v>
      </c>
      <c r="T84" s="68">
        <f>((('indice Carburant'!N8/'Indexation Client 2026'!$D$84)-1)*'Indexation Client 2026'!$F$84)</f>
        <v>-0.13</v>
      </c>
      <c r="U84" s="68">
        <f>((('indice Carburant'!O8/'Indexation Client 2026'!$D$84)-1)*'Indexation Client 2026'!$F$84)</f>
        <v>-0.13</v>
      </c>
    </row>
    <row r="85" spans="1:21" x14ac:dyDescent="0.3">
      <c r="A85" s="33" t="s">
        <v>132</v>
      </c>
      <c r="B85" s="30" t="s">
        <v>133</v>
      </c>
      <c r="C85" s="29" t="s">
        <v>134</v>
      </c>
      <c r="D85" s="41">
        <v>0</v>
      </c>
      <c r="E85" s="30"/>
      <c r="F85" s="30"/>
      <c r="G85" s="30"/>
      <c r="H85" s="30"/>
      <c r="I85" s="32"/>
      <c r="J85" s="107"/>
      <c r="K85" s="107"/>
      <c r="L85" s="107"/>
      <c r="M85" s="31"/>
      <c r="N85" s="31"/>
      <c r="O85" s="31"/>
      <c r="P85" s="31"/>
      <c r="Q85" s="31"/>
      <c r="R85" s="31"/>
      <c r="S85" s="31"/>
      <c r="T85" s="31"/>
      <c r="U85" s="31"/>
    </row>
    <row r="86" spans="1:21" x14ac:dyDescent="0.3">
      <c r="A86" s="33" t="s">
        <v>132</v>
      </c>
      <c r="B86" s="30" t="s">
        <v>135</v>
      </c>
      <c r="C86" s="29" t="s">
        <v>134</v>
      </c>
      <c r="D86" s="40"/>
      <c r="E86" s="40"/>
      <c r="F86" s="40"/>
      <c r="G86" s="40"/>
      <c r="H86" s="40"/>
      <c r="I86" s="32"/>
      <c r="J86" s="112"/>
      <c r="K86" s="112"/>
      <c r="L86" s="112"/>
      <c r="M86" s="40"/>
      <c r="N86" s="40"/>
      <c r="O86" s="40"/>
      <c r="P86" s="40"/>
      <c r="Q86" s="40"/>
      <c r="R86" s="40"/>
      <c r="S86" s="40"/>
      <c r="T86" s="40"/>
      <c r="U86" s="40"/>
    </row>
    <row r="87" spans="1:21" x14ac:dyDescent="0.3">
      <c r="A87" s="33" t="s">
        <v>132</v>
      </c>
      <c r="B87" s="35" t="s">
        <v>136</v>
      </c>
      <c r="C87" s="29" t="s">
        <v>134</v>
      </c>
      <c r="D87" s="30">
        <v>162.44</v>
      </c>
      <c r="E87" s="30" t="s">
        <v>70</v>
      </c>
      <c r="F87" s="34">
        <v>0.18</v>
      </c>
      <c r="G87" s="30" t="s">
        <v>28</v>
      </c>
      <c r="H87" s="30"/>
      <c r="I87" s="32"/>
      <c r="J87" s="105">
        <f>((('indice Carburant'!D13/'Indexation Client 2026'!$D$87)-1)*'Indexation Client 2026'!$F$87)</f>
        <v>-1.119182467372568E-3</v>
      </c>
      <c r="K87" s="105">
        <f>((('indice Carburant'!E13/'Indexation Client 2026'!$D$87)-1)*'Indexation Client 2026'!$F$87)</f>
        <v>-3.1359271115488662E-3</v>
      </c>
      <c r="L87" s="105">
        <f>((('indice Carburant'!F13/'Indexation Client 2026'!$D$87)-1)*'Indexation Client 2026'!$F$87)</f>
        <v>1.6887466141344523E-2</v>
      </c>
      <c r="M87" s="68">
        <f>((('indice Carburant'!G13/'Indexation Client 2026'!$D$87)-1)*'Indexation Client 2026'!$F$87)</f>
        <v>-0.18</v>
      </c>
      <c r="N87" s="68">
        <f>((('indice Carburant'!H13/'Indexation Client 2026'!$D$87)-1)*'Indexation Client 2026'!$F$87)</f>
        <v>-0.18</v>
      </c>
      <c r="O87" s="68">
        <f>((('indice Carburant'!I13/'Indexation Client 2026'!$D$87)-1)*'Indexation Client 2026'!$F$87)</f>
        <v>-0.18</v>
      </c>
      <c r="P87" s="68">
        <f>((('indice Carburant'!J13/'Indexation Client 2026'!$D$87)-1)*'Indexation Client 2026'!$F$87)</f>
        <v>-0.18</v>
      </c>
      <c r="Q87" s="68">
        <f>((('indice Carburant'!K13/'Indexation Client 2026'!$D$87)-1)*'Indexation Client 2026'!$F$87)</f>
        <v>-0.18</v>
      </c>
      <c r="R87" s="68">
        <f>((('indice Carburant'!L13/'Indexation Client 2026'!$D$87)-1)*'Indexation Client 2026'!$F$87)</f>
        <v>-0.18</v>
      </c>
      <c r="S87" s="68">
        <f>((('indice Carburant'!M13/'Indexation Client 2026'!$D$87)-1)*'Indexation Client 2026'!$F$87)</f>
        <v>-0.18</v>
      </c>
      <c r="T87" s="68">
        <f>((('indice Carburant'!N13/'Indexation Client 2026'!$D$87)-1)*'Indexation Client 2026'!$F$87)</f>
        <v>-0.18</v>
      </c>
      <c r="U87" s="68">
        <f>((('indice Carburant'!O13/'Indexation Client 2026'!$D$87)-1)*'Indexation Client 2026'!$F$87)</f>
        <v>-0.18</v>
      </c>
    </row>
    <row r="88" spans="1:21" x14ac:dyDescent="0.3">
      <c r="A88" s="33" t="s">
        <v>132</v>
      </c>
      <c r="B88" s="30" t="s">
        <v>137</v>
      </c>
      <c r="C88" s="29" t="s">
        <v>134</v>
      </c>
      <c r="D88" s="30">
        <v>224.45</v>
      </c>
      <c r="E88" s="30" t="s">
        <v>27</v>
      </c>
      <c r="F88" s="34">
        <v>0.18</v>
      </c>
      <c r="G88" s="30" t="s">
        <v>28</v>
      </c>
      <c r="H88" s="30"/>
      <c r="I88" s="32"/>
      <c r="J88" s="105">
        <f>((('indice Carburant'!D6/'Indexation Client 2026'!$D$88)-1)*'Indexation Client 2026'!$F$88)</f>
        <v>-3.4428157718868327E-2</v>
      </c>
      <c r="K88" s="105">
        <f>((('indice Carburant'!E6/'Indexation Client 2026'!$D$88)-1)*'Indexation Client 2026'!$F$88)</f>
        <v>-2.9504121185119178E-2</v>
      </c>
      <c r="L88" s="105">
        <f>((('indice Carburant'!F6/'Indexation Client 2026'!$D$88)-1)*'Indexation Client 2026'!$F$88)</f>
        <v>-2.494898641122743E-2</v>
      </c>
      <c r="M88" s="68">
        <f>((('indice Carburant'!G6/'Indexation Client 2026'!$D$88)-1)*'Indexation Client 2026'!$F$88)</f>
        <v>1.8950323011806665E-2</v>
      </c>
      <c r="N88" s="68">
        <f>((('indice Carburant'!H6/'Indexation Client 2026'!$D$88)-1)*'Indexation Client 2026'!$F$88)</f>
        <v>-0.18</v>
      </c>
      <c r="O88" s="68">
        <f>((('indice Carburant'!I6/'Indexation Client 2026'!$D$88)-1)*'Indexation Client 2026'!$F$88)</f>
        <v>-0.18</v>
      </c>
      <c r="P88" s="68">
        <f>((('indice Carburant'!J6/'Indexation Client 2026'!$D$88)-1)*'Indexation Client 2026'!$F$88)</f>
        <v>-0.18</v>
      </c>
      <c r="Q88" s="68">
        <f>((('indice Carburant'!K6/'Indexation Client 2026'!$D$88)-1)*'Indexation Client 2026'!$F$88)</f>
        <v>-0.18</v>
      </c>
      <c r="R88" s="68">
        <f>((('indice Carburant'!L6/'Indexation Client 2026'!$D$88)-1)*'Indexation Client 2026'!$F$88)</f>
        <v>-0.18</v>
      </c>
      <c r="S88" s="68">
        <f>((('indice Carburant'!M6/'Indexation Client 2026'!$D$88)-1)*'Indexation Client 2026'!$F$88)</f>
        <v>-0.18</v>
      </c>
      <c r="T88" s="68">
        <f>((('indice Carburant'!N6/'Indexation Client 2026'!$D$88)-1)*'Indexation Client 2026'!$F$88)</f>
        <v>-0.18</v>
      </c>
      <c r="U88" s="68">
        <f>((('indice Carburant'!O6/'Indexation Client 2026'!$D$88)-1)*'Indexation Client 2026'!$F$88)</f>
        <v>-0.18</v>
      </c>
    </row>
    <row r="89" spans="1:21" x14ac:dyDescent="0.3">
      <c r="A89" s="33" t="s">
        <v>132</v>
      </c>
      <c r="B89" s="30" t="s">
        <v>138</v>
      </c>
      <c r="C89" s="29" t="s">
        <v>134</v>
      </c>
      <c r="D89" s="30">
        <v>152.93</v>
      </c>
      <c r="E89" s="30" t="s">
        <v>27</v>
      </c>
      <c r="F89" s="34">
        <v>0.18</v>
      </c>
      <c r="G89" s="30" t="s">
        <v>28</v>
      </c>
      <c r="H89" s="30"/>
      <c r="I89" s="32"/>
      <c r="J89" s="105">
        <f>((('indice Carburant'!D6/'Indexation Client 2026'!$D$89)-1)*'Indexation Client 2026'!$F$89)</f>
        <v>3.3650689858105022E-2</v>
      </c>
      <c r="K89" s="105">
        <f>((('indice Carburant'!E6/'Indexation Client 2026'!$D$89)-1)*'Indexation Client 2026'!$F$89)</f>
        <v>4.0877525665337068E-2</v>
      </c>
      <c r="L89" s="105">
        <f>((('indice Carburant'!F6/'Indexation Client 2026'!$D$89)-1)*'Indexation Client 2026'!$F$89)</f>
        <v>4.7562937291571315E-2</v>
      </c>
      <c r="M89" s="68">
        <f>((('indice Carburant'!G6/'Indexation Client 2026'!$D$89)-1)*'Indexation Client 2026'!$F$89)</f>
        <v>0.11199241483031452</v>
      </c>
      <c r="N89" s="68">
        <f>((('indice Carburant'!H6/'Indexation Client 2026'!$D$89)-1)*'Indexation Client 2026'!$F$89)</f>
        <v>-0.18</v>
      </c>
      <c r="O89" s="68">
        <f>((('indice Carburant'!I6/'Indexation Client 2026'!$D$89)-1)*'Indexation Client 2026'!$F$89)</f>
        <v>-0.18</v>
      </c>
      <c r="P89" s="68">
        <f>((('indice Carburant'!J6/'Indexation Client 2026'!$D$89)-1)*'Indexation Client 2026'!$F$89)</f>
        <v>-0.18</v>
      </c>
      <c r="Q89" s="68">
        <f>((('indice Carburant'!K6/'Indexation Client 2026'!$D$89)-1)*'Indexation Client 2026'!$F$89)</f>
        <v>-0.18</v>
      </c>
      <c r="R89" s="68">
        <f>((('indice Carburant'!L6/'Indexation Client 2026'!$D$89)-1)*'Indexation Client 2026'!$F$89)</f>
        <v>-0.18</v>
      </c>
      <c r="S89" s="68">
        <f>((('indice Carburant'!M6/'Indexation Client 2026'!$D$89)-1)*'Indexation Client 2026'!$F$89)</f>
        <v>-0.18</v>
      </c>
      <c r="T89" s="68">
        <f>((('indice Carburant'!N6/'Indexation Client 2026'!$D$89)-1)*'Indexation Client 2026'!$F$89)</f>
        <v>-0.18</v>
      </c>
      <c r="U89" s="68">
        <f>((('indice Carburant'!O6/'Indexation Client 2026'!$D$89)-1)*'Indexation Client 2026'!$F$89)</f>
        <v>-0.18</v>
      </c>
    </row>
    <row r="90" spans="1:21" x14ac:dyDescent="0.3">
      <c r="A90" s="33" t="s">
        <v>139</v>
      </c>
      <c r="B90" s="30"/>
      <c r="C90" s="29" t="s">
        <v>140</v>
      </c>
      <c r="D90" s="41" t="s">
        <v>33</v>
      </c>
      <c r="E90" s="30"/>
      <c r="F90" s="30"/>
      <c r="G90" s="30"/>
      <c r="H90" s="30"/>
      <c r="I90" s="32"/>
      <c r="J90" s="113"/>
      <c r="K90" s="107"/>
      <c r="L90" s="107"/>
      <c r="M90" s="31"/>
      <c r="N90" s="31"/>
      <c r="O90" s="31"/>
      <c r="P90" s="31"/>
      <c r="Q90" s="31"/>
      <c r="R90" s="31"/>
      <c r="S90" s="31"/>
      <c r="T90" s="31"/>
      <c r="U90" s="31"/>
    </row>
    <row r="91" spans="1:21" x14ac:dyDescent="0.3">
      <c r="A91" s="33" t="s">
        <v>141</v>
      </c>
      <c r="B91" s="30"/>
      <c r="C91" s="30" t="s">
        <v>142</v>
      </c>
      <c r="D91" s="30">
        <v>1.0643</v>
      </c>
      <c r="E91" s="54" t="s">
        <v>280</v>
      </c>
      <c r="F91" s="34">
        <v>0.2</v>
      </c>
      <c r="G91" s="30" t="s">
        <v>28</v>
      </c>
      <c r="H91" s="30"/>
      <c r="I91" s="32"/>
      <c r="J91" s="105">
        <f>((('indice Carburant'!D10/'Indexation Client 2026'!$D$91)-1)*'Indexation Client 2026'!$F$91)</f>
        <v>5.1508033449215465E-2</v>
      </c>
      <c r="K91" s="105">
        <f>((('indice Carburant'!E10/'Indexation Client 2026'!$D$91)-1)*'Indexation Client 2026'!$F$91)</f>
        <v>5.594287325002352E-2</v>
      </c>
      <c r="L91" s="105">
        <f>((('indice Carburant'!F10/'Indexation Client 2026'!$D$91)-1)*'Indexation Client 2026'!$F$91)</f>
        <v>6.1899840270600359E-2</v>
      </c>
      <c r="M91" s="68">
        <f>((('indice Carburant'!G10/'Indexation Client 2026'!$D$91)-1)*'Indexation Client 2026'!$F$91)</f>
        <v>0.12366813868270224</v>
      </c>
      <c r="N91" s="68">
        <f>((('indice Carburant'!H10/'Indexation Client 2026'!$D$91)-1)*'Indexation Client 2026'!$F$91)</f>
        <v>-0.2</v>
      </c>
      <c r="O91" s="68">
        <f>((('indice Carburant'!I10/'Indexation Client 2026'!$D$91)-1)*'Indexation Client 2026'!$F$91)</f>
        <v>-0.2</v>
      </c>
      <c r="P91" s="68">
        <f>((('indice Carburant'!J10/'Indexation Client 2026'!$D$91)-1)*'Indexation Client 2026'!$F$91)</f>
        <v>-0.2</v>
      </c>
      <c r="Q91" s="68">
        <f>((('indice Carburant'!K10/'Indexation Client 2026'!$D$91)-1)*'Indexation Client 2026'!$F$91)</f>
        <v>-0.2</v>
      </c>
      <c r="R91" s="68">
        <f>((('indice Carburant'!L10/'Indexation Client 2026'!$D$91)-1)*'Indexation Client 2026'!$F$91)</f>
        <v>-0.2</v>
      </c>
      <c r="S91" s="68">
        <f>((('indice Carburant'!M10/'Indexation Client 2026'!$D$91)-1)*'Indexation Client 2026'!$F$91)</f>
        <v>-0.2</v>
      </c>
      <c r="T91" s="68">
        <f>((('indice Carburant'!N10/'Indexation Client 2026'!$D$91)-1)*'Indexation Client 2026'!$F$91)</f>
        <v>-0.2</v>
      </c>
      <c r="U91" s="68">
        <f>((('indice Carburant'!O10/'Indexation Client 2026'!$D$91)-1)*'Indexation Client 2026'!$F$91)</f>
        <v>-0.2</v>
      </c>
    </row>
    <row r="92" spans="1:21" x14ac:dyDescent="0.3">
      <c r="A92" s="33" t="s">
        <v>143</v>
      </c>
      <c r="B92" s="30" t="s">
        <v>144</v>
      </c>
      <c r="C92" s="30" t="s">
        <v>143</v>
      </c>
      <c r="D92" s="30">
        <v>0.86609999999999998</v>
      </c>
      <c r="E92" s="30" t="s">
        <v>268</v>
      </c>
      <c r="F92" s="30">
        <v>0.28000000000000003</v>
      </c>
      <c r="G92" s="30" t="s">
        <v>40</v>
      </c>
      <c r="H92" s="30">
        <v>180</v>
      </c>
      <c r="I92" s="32"/>
      <c r="J92" s="114">
        <f>((('indice Carburant'!E11-'Indexation Client 2026'!$D$92)*'Indexation Client 2026'!$F$92))</f>
        <v>0.14005600000000004</v>
      </c>
      <c r="K92" s="114">
        <f>((('indice Carburant'!F11-'Indexation Client 2026'!$D$92)*'Indexation Client 2026'!$F$92))</f>
        <v>0.14243600000000003</v>
      </c>
      <c r="L92" s="114">
        <f>((('indice Carburant'!G11-'Indexation Client 2026'!$D$92)*'Indexation Client 2026'!$F$92))</f>
        <v>0.24953600000000006</v>
      </c>
      <c r="M92" s="78">
        <f>((('indice Carburant'!H11-'Indexation Client 2026'!$D$92)*'Indexation Client 2026'!$F$92))</f>
        <v>-0.24250800000000003</v>
      </c>
      <c r="N92" s="78">
        <f>((('indice Carburant'!I11-'Indexation Client 2026'!$D$92)*'Indexation Client 2026'!$F$92))</f>
        <v>-0.24250800000000003</v>
      </c>
      <c r="O92" s="78">
        <f>((('indice Carburant'!J11-'Indexation Client 2026'!$D$92)*'Indexation Client 2026'!$F$92))</f>
        <v>-0.24250800000000003</v>
      </c>
      <c r="P92" s="78">
        <f>((('indice Carburant'!K11-'Indexation Client 2026'!$D$92)*'Indexation Client 2026'!$F$92))</f>
        <v>-0.24250800000000003</v>
      </c>
      <c r="Q92" s="78">
        <f>((('indice Carburant'!L11-'Indexation Client 2026'!$D$92)*'Indexation Client 2026'!$F$92))</f>
        <v>-0.24250800000000003</v>
      </c>
      <c r="R92" s="78">
        <f>((('indice Carburant'!M11-'Indexation Client 2026'!$D$92)*'Indexation Client 2026'!$F$92))</f>
        <v>-0.24250800000000003</v>
      </c>
      <c r="S92" s="78">
        <f>((('indice Carburant'!N11-'Indexation Client 2026'!$D$92)*'Indexation Client 2026'!$F$92))</f>
        <v>-0.24250800000000003</v>
      </c>
      <c r="T92" s="78">
        <f>((('indice Carburant'!O11-'Indexation Client 2026'!$D$92)*'Indexation Client 2026'!$F$92))</f>
        <v>-0.24250800000000003</v>
      </c>
      <c r="U92" s="78">
        <f>((('indice Carburant'!P11-'Indexation Client 2026'!$D$92)*'Indexation Client 2026'!$F$92))</f>
        <v>-0.24250800000000003</v>
      </c>
    </row>
    <row r="93" spans="1:21" x14ac:dyDescent="0.3">
      <c r="A93" s="33" t="s">
        <v>143</v>
      </c>
      <c r="B93" s="30" t="s">
        <v>145</v>
      </c>
      <c r="C93" s="30" t="s">
        <v>143</v>
      </c>
      <c r="D93" s="30">
        <v>0.86609999999999998</v>
      </c>
      <c r="E93" s="30" t="s">
        <v>268</v>
      </c>
      <c r="F93" s="30">
        <v>0.3</v>
      </c>
      <c r="G93" s="30" t="s">
        <v>40</v>
      </c>
      <c r="H93" s="30">
        <v>280</v>
      </c>
      <c r="I93" s="32"/>
      <c r="J93" s="114">
        <f>((('indice Carburant'!E11-'Indexation Client 2026'!$D$93)*'Indexation Client 2026'!$F$93))</f>
        <v>0.15006000000000003</v>
      </c>
      <c r="K93" s="114">
        <f>((('indice Carburant'!F11-'Indexation Client 2026'!$D$93)*'Indexation Client 2026'!$F$93))</f>
        <v>0.15261</v>
      </c>
      <c r="L93" s="114">
        <f>((('indice Carburant'!G11-'Indexation Client 2026'!$D$93)*'Indexation Client 2026'!$F$93))</f>
        <v>0.26736000000000004</v>
      </c>
      <c r="M93" s="78">
        <f>((('indice Carburant'!H11-'Indexation Client 2026'!$D$93)*'Indexation Client 2026'!$F$93))</f>
        <v>-0.25983000000000001</v>
      </c>
      <c r="N93" s="78">
        <f>((('indice Carburant'!I11-'Indexation Client 2026'!$D$93)*'Indexation Client 2026'!$F$93))</f>
        <v>-0.25983000000000001</v>
      </c>
      <c r="O93" s="78">
        <f>((('indice Carburant'!J11-'Indexation Client 2026'!$D$93)*'Indexation Client 2026'!$F$93))</f>
        <v>-0.25983000000000001</v>
      </c>
      <c r="P93" s="78">
        <f>((('indice Carburant'!K11-'Indexation Client 2026'!$D$93)*'Indexation Client 2026'!$F$93))</f>
        <v>-0.25983000000000001</v>
      </c>
      <c r="Q93" s="78">
        <f>((('indice Carburant'!L11-'Indexation Client 2026'!$D$93)*'Indexation Client 2026'!$F$93))</f>
        <v>-0.25983000000000001</v>
      </c>
      <c r="R93" s="78">
        <f>((('indice Carburant'!M11-'Indexation Client 2026'!$D$93)*'Indexation Client 2026'!$F$93))</f>
        <v>-0.25983000000000001</v>
      </c>
      <c r="S93" s="78">
        <f>((('indice Carburant'!N11-'Indexation Client 2026'!$D$93)*'Indexation Client 2026'!$F$93))</f>
        <v>-0.25983000000000001</v>
      </c>
      <c r="T93" s="78">
        <f>((('indice Carburant'!O11-'Indexation Client 2026'!$D$93)*'Indexation Client 2026'!$F$93))</f>
        <v>-0.25983000000000001</v>
      </c>
      <c r="U93" s="78">
        <f>((('indice Carburant'!P11-'Indexation Client 2026'!$D$93)*'Indexation Client 2026'!$F$93))</f>
        <v>-0.25983000000000001</v>
      </c>
    </row>
    <row r="94" spans="1:21" x14ac:dyDescent="0.3">
      <c r="A94" s="33" t="s">
        <v>143</v>
      </c>
      <c r="B94" s="30" t="s">
        <v>146</v>
      </c>
      <c r="C94" s="30" t="s">
        <v>143</v>
      </c>
      <c r="D94" s="30">
        <v>0.86609999999999998</v>
      </c>
      <c r="E94" s="30" t="s">
        <v>268</v>
      </c>
      <c r="F94" s="30">
        <v>0.3</v>
      </c>
      <c r="G94" s="30" t="s">
        <v>40</v>
      </c>
      <c r="H94" s="30">
        <v>484</v>
      </c>
      <c r="I94" s="32"/>
      <c r="J94" s="114">
        <f>((('indice Carburant'!E11-'Indexation Client 2026'!$D$94)*'Indexation Client 2026'!$F$94))</f>
        <v>0.15006000000000003</v>
      </c>
      <c r="K94" s="114">
        <f>((('indice Carburant'!F11-'Indexation Client 2026'!$D$94)*'Indexation Client 2026'!$F$94))</f>
        <v>0.15261</v>
      </c>
      <c r="L94" s="114">
        <f>((('indice Carburant'!G11-'Indexation Client 2026'!$D$94)*'Indexation Client 2026'!$F$94))</f>
        <v>0.26736000000000004</v>
      </c>
      <c r="M94" s="78">
        <f>((('indice Carburant'!H11-'Indexation Client 2026'!$D$94)*'Indexation Client 2026'!$F$94))</f>
        <v>-0.25983000000000001</v>
      </c>
      <c r="N94" s="78">
        <f>((('indice Carburant'!I11-'Indexation Client 2026'!$D$94)*'Indexation Client 2026'!$F$94))</f>
        <v>-0.25983000000000001</v>
      </c>
      <c r="O94" s="78">
        <f>((('indice Carburant'!J11-'Indexation Client 2026'!$D$94)*'Indexation Client 2026'!$F$94))</f>
        <v>-0.25983000000000001</v>
      </c>
      <c r="P94" s="78">
        <f>((('indice Carburant'!K11-'Indexation Client 2026'!$D$94)*'Indexation Client 2026'!$F$94))</f>
        <v>-0.25983000000000001</v>
      </c>
      <c r="Q94" s="78">
        <f>((('indice Carburant'!L11-'Indexation Client 2026'!$D$94)*'Indexation Client 2026'!$F$94))</f>
        <v>-0.25983000000000001</v>
      </c>
      <c r="R94" s="78">
        <f>((('indice Carburant'!M11-'Indexation Client 2026'!$D$94)*'Indexation Client 2026'!$F$94))</f>
        <v>-0.25983000000000001</v>
      </c>
      <c r="S94" s="78">
        <f>((('indice Carburant'!N11-'Indexation Client 2026'!$D$94)*'Indexation Client 2026'!$F$94))</f>
        <v>-0.25983000000000001</v>
      </c>
      <c r="T94" s="78">
        <f>((('indice Carburant'!O11-'Indexation Client 2026'!$D$94)*'Indexation Client 2026'!$F$94))</f>
        <v>-0.25983000000000001</v>
      </c>
      <c r="U94" s="78">
        <f>((('indice Carburant'!P11-'Indexation Client 2026'!$D$94)*'Indexation Client 2026'!$F$94))</f>
        <v>-0.25983000000000001</v>
      </c>
    </row>
    <row r="95" spans="1:21" x14ac:dyDescent="0.3">
      <c r="A95" s="33" t="s">
        <v>143</v>
      </c>
      <c r="B95" s="30" t="s">
        <v>147</v>
      </c>
      <c r="C95" s="30" t="s">
        <v>143</v>
      </c>
      <c r="D95" s="30">
        <v>0.86609999999999998</v>
      </c>
      <c r="E95" s="30" t="s">
        <v>268</v>
      </c>
      <c r="F95" s="30">
        <v>0.3</v>
      </c>
      <c r="G95" s="30" t="s">
        <v>40</v>
      </c>
      <c r="H95" s="30">
        <v>340</v>
      </c>
      <c r="I95" s="32"/>
      <c r="J95" s="114">
        <f>((('indice Carburant'!E11-'Indexation Client 2026'!$D$95)*'Indexation Client 2026'!$F$95))</f>
        <v>0.15006000000000003</v>
      </c>
      <c r="K95" s="114">
        <f>((('indice Carburant'!F11-'Indexation Client 2026'!$D$95)*'Indexation Client 2026'!$F$95))</f>
        <v>0.15261</v>
      </c>
      <c r="L95" s="114">
        <f>((('indice Carburant'!G11-'Indexation Client 2026'!$D$95)*'Indexation Client 2026'!$F$95))</f>
        <v>0.26736000000000004</v>
      </c>
      <c r="M95" s="78">
        <f>((('indice Carburant'!H11-'Indexation Client 2026'!$D$95)*'Indexation Client 2026'!$F$95))</f>
        <v>-0.25983000000000001</v>
      </c>
      <c r="N95" s="78">
        <f>((('indice Carburant'!I11-'Indexation Client 2026'!$D$95)*'Indexation Client 2026'!$F$95))</f>
        <v>-0.25983000000000001</v>
      </c>
      <c r="O95" s="78">
        <f>((('indice Carburant'!J11-'Indexation Client 2026'!$D$95)*'Indexation Client 2026'!$F$95))</f>
        <v>-0.25983000000000001</v>
      </c>
      <c r="P95" s="78">
        <f>((('indice Carburant'!K11-'Indexation Client 2026'!$D$95)*'Indexation Client 2026'!$F$95))</f>
        <v>-0.25983000000000001</v>
      </c>
      <c r="Q95" s="78">
        <f>((('indice Carburant'!L11-'Indexation Client 2026'!$D$95)*'Indexation Client 2026'!$F$95))</f>
        <v>-0.25983000000000001</v>
      </c>
      <c r="R95" s="78">
        <f>((('indice Carburant'!M11-'Indexation Client 2026'!$D$95)*'Indexation Client 2026'!$F$95))</f>
        <v>-0.25983000000000001</v>
      </c>
      <c r="S95" s="78">
        <f>((('indice Carburant'!N11-'Indexation Client 2026'!$D$95)*'Indexation Client 2026'!$F$95))</f>
        <v>-0.25983000000000001</v>
      </c>
      <c r="T95" s="78">
        <f>((('indice Carburant'!O11-'Indexation Client 2026'!$D$95)*'Indexation Client 2026'!$F$95))</f>
        <v>-0.25983000000000001</v>
      </c>
      <c r="U95" s="78">
        <f>((('indice Carburant'!P11-'Indexation Client 2026'!$D$95)*'Indexation Client 2026'!$F$95))</f>
        <v>-0.25983000000000001</v>
      </c>
    </row>
    <row r="96" spans="1:21" x14ac:dyDescent="0.3">
      <c r="A96" s="33" t="s">
        <v>143</v>
      </c>
      <c r="B96" s="30" t="s">
        <v>148</v>
      </c>
      <c r="C96" s="30" t="s">
        <v>143</v>
      </c>
      <c r="D96" s="30">
        <v>0.97499999999999998</v>
      </c>
      <c r="E96" s="49" t="s">
        <v>56</v>
      </c>
      <c r="F96" s="30">
        <v>0.26</v>
      </c>
      <c r="G96" s="30" t="s">
        <v>40</v>
      </c>
      <c r="H96" s="30">
        <v>237</v>
      </c>
      <c r="I96" s="32"/>
      <c r="J96" s="110">
        <f>((('indice Carburant'!D13/100)-'Indexation Client 2026'!$D$96)*'Indexation Client 2026'!$F$96)</f>
        <v>0.16621800000000003</v>
      </c>
      <c r="K96" s="110">
        <f>((('indice Carburant'!E13/100)-'Indexation Client 2026'!$D$96)*'Indexation Client 2026'!$F$96)</f>
        <v>0.16148600000000002</v>
      </c>
      <c r="L96" s="110">
        <f>((('indice Carburant'!F13/100)-'Indexation Client 2026'!$D$96)*'Indexation Client 2026'!$F$96)</f>
        <v>0.20846800000000004</v>
      </c>
      <c r="M96" s="43">
        <f>((('indice Carburant'!G13/100)-'Indexation Client 2026'!$D$96)*'Indexation Client 2026'!$F$96)</f>
        <v>-0.2535</v>
      </c>
      <c r="N96" s="43">
        <f>((('indice Carburant'!H13/100)-'Indexation Client 2026'!$D$96)*'Indexation Client 2026'!$F$96)</f>
        <v>-0.2535</v>
      </c>
      <c r="O96" s="43">
        <f>((('indice Carburant'!I13/100)-'Indexation Client 2026'!$D$96)*'Indexation Client 2026'!$F$96)</f>
        <v>-0.2535</v>
      </c>
      <c r="P96" s="43">
        <f>((('indice Carburant'!J13/100)-'Indexation Client 2026'!$D$96)*'Indexation Client 2026'!$F$96)</f>
        <v>-0.2535</v>
      </c>
      <c r="Q96" s="43">
        <f>((('indice Carburant'!K13/100)-'Indexation Client 2026'!$D$96)*'Indexation Client 2026'!$F$96)</f>
        <v>-0.2535</v>
      </c>
      <c r="R96" s="43">
        <f>((('indice Carburant'!L13/100)-'Indexation Client 2026'!$D$96)*'Indexation Client 2026'!$F$96)</f>
        <v>-0.2535</v>
      </c>
      <c r="S96" s="43">
        <f>((('indice Carburant'!M13/100)-'Indexation Client 2026'!$D$96)*'Indexation Client 2026'!$F$96)</f>
        <v>-0.2535</v>
      </c>
      <c r="T96" s="43">
        <f>((('indice Carburant'!N13/100)-'Indexation Client 2026'!$D$96)*'Indexation Client 2026'!$F$96)</f>
        <v>-0.2535</v>
      </c>
      <c r="U96" s="43">
        <f>((('indice Carburant'!O13/100)-'Indexation Client 2026'!$D$96)*'Indexation Client 2026'!$F$96)</f>
        <v>-0.2535</v>
      </c>
    </row>
    <row r="97" spans="1:21" x14ac:dyDescent="0.3">
      <c r="A97" s="33" t="s">
        <v>143</v>
      </c>
      <c r="B97" s="30" t="s">
        <v>149</v>
      </c>
      <c r="C97" s="30" t="s">
        <v>143</v>
      </c>
      <c r="D97" s="30">
        <v>0.97499999999999998</v>
      </c>
      <c r="E97" s="49" t="s">
        <v>56</v>
      </c>
      <c r="F97" s="30">
        <v>0.28000000000000003</v>
      </c>
      <c r="G97" s="30" t="s">
        <v>40</v>
      </c>
      <c r="H97" s="30">
        <v>161</v>
      </c>
      <c r="I97" s="32"/>
      <c r="J97" s="110">
        <f>((('indice Carburant'!D13/100)-'Indexation Client 2026'!$D$97)*'Indexation Client 2026'!$F$97)</f>
        <v>0.17900400000000005</v>
      </c>
      <c r="K97" s="110">
        <f>((('indice Carburant'!E13/100)-'Indexation Client 2026'!$D$97)*'Indexation Client 2026'!$F$97)</f>
        <v>0.17390800000000003</v>
      </c>
      <c r="L97" s="110">
        <f>((('indice Carburant'!F13/100)-'Indexation Client 2026'!$D$97)*'Indexation Client 2026'!$F$97)</f>
        <v>0.22450400000000006</v>
      </c>
      <c r="M97" s="43">
        <f>((('indice Carburant'!G13/100)-'Indexation Client 2026'!$D$97)*'Indexation Client 2026'!$F$97)</f>
        <v>-0.27300000000000002</v>
      </c>
      <c r="N97" s="43">
        <f>((('indice Carburant'!H13/100)-'Indexation Client 2026'!$D$97)*'Indexation Client 2026'!$F$97)</f>
        <v>-0.27300000000000002</v>
      </c>
      <c r="O97" s="43">
        <f>((('indice Carburant'!I13/100)-'Indexation Client 2026'!$D$97)*'Indexation Client 2026'!$F$97)</f>
        <v>-0.27300000000000002</v>
      </c>
      <c r="P97" s="43">
        <f>((('indice Carburant'!J13/100)-'Indexation Client 2026'!$D$97)*'Indexation Client 2026'!$F$97)</f>
        <v>-0.27300000000000002</v>
      </c>
      <c r="Q97" s="43">
        <f>((('indice Carburant'!K13/100)-'Indexation Client 2026'!$D$97)*'Indexation Client 2026'!$F$97)</f>
        <v>-0.27300000000000002</v>
      </c>
      <c r="R97" s="43">
        <f>((('indice Carburant'!L13/100)-'Indexation Client 2026'!$D$97)*'Indexation Client 2026'!$F$97)</f>
        <v>-0.27300000000000002</v>
      </c>
      <c r="S97" s="43">
        <f>((('indice Carburant'!M13/100)-'Indexation Client 2026'!$D$97)*'Indexation Client 2026'!$F$97)</f>
        <v>-0.27300000000000002</v>
      </c>
      <c r="T97" s="43">
        <f>((('indice Carburant'!N13/100)-'Indexation Client 2026'!$D$97)*'Indexation Client 2026'!$F$97)</f>
        <v>-0.27300000000000002</v>
      </c>
      <c r="U97" s="43">
        <f>((('indice Carburant'!O13/100)-'Indexation Client 2026'!$D$97)*'Indexation Client 2026'!$F$97)</f>
        <v>-0.27300000000000002</v>
      </c>
    </row>
    <row r="98" spans="1:21" x14ac:dyDescent="0.3">
      <c r="A98" s="33" t="s">
        <v>150</v>
      </c>
      <c r="B98" s="30" t="s">
        <v>151</v>
      </c>
      <c r="C98" s="29" t="s">
        <v>152</v>
      </c>
      <c r="D98" s="30">
        <v>183.55</v>
      </c>
      <c r="E98" s="39" t="s">
        <v>153</v>
      </c>
      <c r="F98" s="42">
        <v>0.12709999999999999</v>
      </c>
      <c r="G98" s="30" t="s">
        <v>28</v>
      </c>
      <c r="H98" s="30"/>
      <c r="I98" s="32"/>
      <c r="J98" s="107"/>
      <c r="K98" s="107"/>
      <c r="L98" s="107"/>
      <c r="M98" s="31"/>
      <c r="N98" s="31"/>
      <c r="O98" s="31"/>
      <c r="P98" s="31"/>
      <c r="Q98" s="31"/>
      <c r="R98" s="31"/>
      <c r="S98" s="31"/>
      <c r="T98" s="31"/>
      <c r="U98" s="31"/>
    </row>
    <row r="99" spans="1:21" x14ac:dyDescent="0.3">
      <c r="A99" s="33" t="s">
        <v>150</v>
      </c>
      <c r="B99" s="30" t="s">
        <v>154</v>
      </c>
      <c r="C99" s="29" t="s">
        <v>152</v>
      </c>
      <c r="D99" s="30">
        <v>222.12</v>
      </c>
      <c r="E99" s="39" t="s">
        <v>153</v>
      </c>
      <c r="F99" s="34">
        <v>0.26</v>
      </c>
      <c r="G99" s="30" t="s">
        <v>28</v>
      </c>
      <c r="H99" s="30"/>
      <c r="I99" s="32"/>
      <c r="J99" s="107"/>
      <c r="K99" s="107"/>
      <c r="L99" s="107"/>
      <c r="M99" s="31"/>
      <c r="N99" s="31"/>
      <c r="O99" s="31"/>
      <c r="P99" s="31"/>
      <c r="Q99" s="31"/>
      <c r="R99" s="31"/>
      <c r="S99" s="31"/>
      <c r="T99" s="31"/>
      <c r="U99" s="31"/>
    </row>
    <row r="100" spans="1:21" x14ac:dyDescent="0.3">
      <c r="A100" s="33" t="s">
        <v>150</v>
      </c>
      <c r="B100" s="30" t="s">
        <v>155</v>
      </c>
      <c r="C100" s="29" t="s">
        <v>152</v>
      </c>
      <c r="D100" s="30">
        <v>222.12</v>
      </c>
      <c r="E100" s="39" t="s">
        <v>153</v>
      </c>
      <c r="F100" s="34">
        <v>0.26</v>
      </c>
      <c r="G100" s="30" t="s">
        <v>28</v>
      </c>
      <c r="H100" s="30"/>
      <c r="I100" s="32"/>
      <c r="J100" s="107"/>
      <c r="K100" s="107"/>
      <c r="L100" s="107"/>
      <c r="M100" s="31"/>
      <c r="N100" s="31"/>
      <c r="O100" s="31"/>
      <c r="P100" s="31"/>
      <c r="Q100" s="31"/>
      <c r="R100" s="31"/>
      <c r="S100" s="31"/>
      <c r="T100" s="31"/>
      <c r="U100" s="31"/>
    </row>
    <row r="101" spans="1:21" x14ac:dyDescent="0.3">
      <c r="A101" s="33" t="s">
        <v>150</v>
      </c>
      <c r="B101" s="30" t="s">
        <v>156</v>
      </c>
      <c r="C101" s="29" t="s">
        <v>152</v>
      </c>
      <c r="D101" s="30">
        <v>222.12</v>
      </c>
      <c r="E101" s="39" t="s">
        <v>153</v>
      </c>
      <c r="F101" s="34">
        <v>0.26</v>
      </c>
      <c r="G101" s="30" t="s">
        <v>28</v>
      </c>
      <c r="H101" s="30"/>
      <c r="I101" s="32"/>
      <c r="J101" s="107"/>
      <c r="K101" s="107"/>
      <c r="L101" s="107"/>
      <c r="M101" s="31"/>
      <c r="N101" s="31"/>
      <c r="O101" s="31"/>
      <c r="P101" s="31"/>
      <c r="Q101" s="31"/>
      <c r="R101" s="31"/>
      <c r="S101" s="31"/>
      <c r="T101" s="31"/>
      <c r="U101" s="31"/>
    </row>
    <row r="102" spans="1:21" x14ac:dyDescent="0.3">
      <c r="A102" s="33" t="s">
        <v>152</v>
      </c>
      <c r="B102" s="35" t="s">
        <v>157</v>
      </c>
      <c r="C102" s="29" t="s">
        <v>152</v>
      </c>
      <c r="D102" s="30">
        <v>160</v>
      </c>
      <c r="E102" s="30" t="s">
        <v>70</v>
      </c>
      <c r="F102" s="34">
        <v>0.24</v>
      </c>
      <c r="G102" s="30" t="s">
        <v>28</v>
      </c>
      <c r="H102" s="30"/>
      <c r="I102" s="32"/>
      <c r="J102" s="105">
        <f>((('indice Carburant'!D13/'Indexation Client 2026'!$D$102)-1)*'Indexation Client 2026'!$F$102)</f>
        <v>2.1450000000000102E-3</v>
      </c>
      <c r="K102" s="105">
        <f>((('indice Carburant'!E13/'Indexation Client 2026'!$D$102)-1)*'Indexation Client 2026'!$F$102)</f>
        <v>-5.849999999999689E-4</v>
      </c>
      <c r="L102" s="105">
        <f>((('indice Carburant'!F13/'Indexation Client 2026'!$D$102)-1)*'Indexation Client 2026'!$F$102)</f>
        <v>2.6520000000000009E-2</v>
      </c>
      <c r="M102" s="68">
        <f>((('indice Carburant'!G13/'Indexation Client 2026'!$D$102)-1)*'Indexation Client 2026'!$F$102)</f>
        <v>-0.24</v>
      </c>
      <c r="N102" s="68">
        <f>((('indice Carburant'!H13/'Indexation Client 2026'!$D$102)-1)*'Indexation Client 2026'!$F$102)</f>
        <v>-0.24</v>
      </c>
      <c r="O102" s="68">
        <f>((('indice Carburant'!I13/'Indexation Client 2026'!$D$102)-1)*'Indexation Client 2026'!$F$102)</f>
        <v>-0.24</v>
      </c>
      <c r="P102" s="68">
        <f>((('indice Carburant'!J13/'Indexation Client 2026'!$D$102)-1)*'Indexation Client 2026'!$F$102)</f>
        <v>-0.24</v>
      </c>
      <c r="Q102" s="68">
        <f>((('indice Carburant'!K13/'Indexation Client 2026'!$D$102)-1)*'Indexation Client 2026'!$F$102)</f>
        <v>-0.24</v>
      </c>
      <c r="R102" s="68">
        <f>((('indice Carburant'!L13/'Indexation Client 2026'!$D$102)-1)*'Indexation Client 2026'!$F$102)</f>
        <v>-0.24</v>
      </c>
      <c r="S102" s="68">
        <f>((('indice Carburant'!M13/'Indexation Client 2026'!$D$102)-1)*'Indexation Client 2026'!$F$102)</f>
        <v>-0.24</v>
      </c>
      <c r="T102" s="68">
        <f>((('indice Carburant'!N13/'Indexation Client 2026'!$D$102)-1)*'Indexation Client 2026'!$F$102)</f>
        <v>-0.24</v>
      </c>
      <c r="U102" s="68">
        <f>((('indice Carburant'!O13/'Indexation Client 2026'!$D$102)-1)*'Indexation Client 2026'!$F$102)</f>
        <v>-0.24</v>
      </c>
    </row>
    <row r="103" spans="1:21" x14ac:dyDescent="0.3">
      <c r="A103" s="33" t="s">
        <v>152</v>
      </c>
      <c r="B103" s="30" t="s">
        <v>158</v>
      </c>
      <c r="C103" s="29" t="s">
        <v>152</v>
      </c>
      <c r="D103" s="30">
        <v>202.73</v>
      </c>
      <c r="E103" s="30" t="s">
        <v>159</v>
      </c>
      <c r="F103" s="34">
        <v>0.26</v>
      </c>
      <c r="G103" s="30" t="s">
        <v>28</v>
      </c>
      <c r="H103" s="30"/>
      <c r="I103" s="32"/>
      <c r="J103" s="105">
        <f>((('indice Carburant'!C6/'Indexation Client 2026'!$D$103)-1)*'Indexation Client 2026'!$F$103)</f>
        <v>-1.3722685345040194E-2</v>
      </c>
      <c r="K103" s="105">
        <f>((('indice Carburant'!D6/'Indexation Client 2026'!$D$103)-1)*'Indexation Client 2026'!$F$103)</f>
        <v>-2.7201696838159116E-2</v>
      </c>
      <c r="L103" s="105">
        <f>((('indice Carburant'!E6/'Indexation Client 2026'!$D$103)-1)*'Indexation Client 2026'!$F$103)</f>
        <v>-1.9327183939229515E-2</v>
      </c>
      <c r="M103" s="68">
        <f>((('indice Carburant'!F6/'Indexation Client 2026'!$D$103)-1)*'Indexation Client 2026'!$F$103)</f>
        <v>-1.204261826074087E-2</v>
      </c>
      <c r="N103" s="68">
        <f>((('indice Carburant'!G6/'Indexation Client 2026'!$D$103)-1)*'Indexation Client 2026'!$F$103)</f>
        <v>5.8161100971735852E-2</v>
      </c>
      <c r="O103" s="68">
        <f>((('indice Carburant'!H6/'Indexation Client 2026'!$D$103)-1)*'Indexation Client 2026'!$F$103)</f>
        <v>-0.26</v>
      </c>
      <c r="P103" s="68">
        <f>((('indice Carburant'!I6/'Indexation Client 2026'!$D$103)-1)*'Indexation Client 2026'!$F$103)</f>
        <v>-0.26</v>
      </c>
      <c r="Q103" s="68">
        <f>((('indice Carburant'!J6/'Indexation Client 2026'!$D$103)-1)*'Indexation Client 2026'!$F$103)</f>
        <v>-0.26</v>
      </c>
      <c r="R103" s="68">
        <f>((('indice Carburant'!K6/'Indexation Client 2026'!$D$103)-1)*'Indexation Client 2026'!$F$103)</f>
        <v>-0.26</v>
      </c>
      <c r="S103" s="68">
        <f>((('indice Carburant'!L6/'Indexation Client 2026'!$D$103)-1)*'Indexation Client 2026'!$F$103)</f>
        <v>-0.26</v>
      </c>
      <c r="T103" s="68">
        <f>((('indice Carburant'!M6/'Indexation Client 2026'!$D$103)-1)*'Indexation Client 2026'!$F$103)</f>
        <v>-0.26</v>
      </c>
      <c r="U103" s="68">
        <f>((('indice Carburant'!N6/'Indexation Client 2026'!$D$103)-1)*'Indexation Client 2026'!$F$103)</f>
        <v>-0.26</v>
      </c>
    </row>
    <row r="104" spans="1:21" x14ac:dyDescent="0.3">
      <c r="A104" s="33" t="s">
        <v>152</v>
      </c>
      <c r="B104" s="30" t="s">
        <v>160</v>
      </c>
      <c r="C104" s="29" t="s">
        <v>152</v>
      </c>
      <c r="D104" s="30">
        <v>202.73</v>
      </c>
      <c r="E104" s="30" t="s">
        <v>159</v>
      </c>
      <c r="F104" s="45">
        <v>0.16</v>
      </c>
      <c r="G104" s="30" t="s">
        <v>28</v>
      </c>
      <c r="H104" s="30"/>
      <c r="I104" s="32"/>
      <c r="J104" s="105">
        <f>((('indice Carburant'!C6/'Indexation Client 2026'!$D$104)-1)*'Indexation Client 2026'!$F$104)</f>
        <v>-8.4447294431016576E-3</v>
      </c>
      <c r="K104" s="105">
        <f>((('indice Carburant'!D6/'Indexation Client 2026'!$D$104)-1)*'Indexation Client 2026'!$F$104)</f>
        <v>-1.6739505746559455E-2</v>
      </c>
      <c r="L104" s="105">
        <f>((('indice Carburant'!E6/'Indexation Client 2026'!$D$104)-1)*'Indexation Client 2026'!$F$104)</f>
        <v>-1.1893651654910471E-2</v>
      </c>
      <c r="M104" s="68">
        <f>((('indice Carburant'!F6/'Indexation Client 2026'!$D$104)-1)*'Indexation Client 2026'!$F$104)</f>
        <v>-7.4108420066097656E-3</v>
      </c>
      <c r="N104" s="68">
        <f>((('indice Carburant'!G6/'Indexation Client 2026'!$D$104)-1)*'Indexation Client 2026'!$F$104)</f>
        <v>3.5791446751837451E-2</v>
      </c>
      <c r="O104" s="68">
        <f>((('indice Carburant'!H6/'Indexation Client 2026'!$D$104)-1)*'Indexation Client 2026'!$F$104)</f>
        <v>-0.16</v>
      </c>
      <c r="P104" s="68">
        <f>((('indice Carburant'!I6/'Indexation Client 2026'!$D$104)-1)*'Indexation Client 2026'!$F$104)</f>
        <v>-0.16</v>
      </c>
      <c r="Q104" s="68">
        <f>((('indice Carburant'!J6/'Indexation Client 2026'!$D$104)-1)*'Indexation Client 2026'!$F$104)</f>
        <v>-0.16</v>
      </c>
      <c r="R104" s="68">
        <f>((('indice Carburant'!K6/'Indexation Client 2026'!$D$104)-1)*'Indexation Client 2026'!$F$104)</f>
        <v>-0.16</v>
      </c>
      <c r="S104" s="68">
        <f>((('indice Carburant'!L6/'Indexation Client 2026'!$D$104)-1)*'Indexation Client 2026'!$F$104)</f>
        <v>-0.16</v>
      </c>
      <c r="T104" s="68">
        <f>((('indice Carburant'!M6/'Indexation Client 2026'!$D$104)-1)*'Indexation Client 2026'!$F$104)</f>
        <v>-0.16</v>
      </c>
      <c r="U104" s="68">
        <f>((('indice Carburant'!N6/'Indexation Client 2026'!$D$104)-1)*'Indexation Client 2026'!$F$104)</f>
        <v>-0.16</v>
      </c>
    </row>
    <row r="105" spans="1:21" x14ac:dyDescent="0.3">
      <c r="A105" s="33" t="s">
        <v>152</v>
      </c>
      <c r="B105" s="30" t="s">
        <v>161</v>
      </c>
      <c r="C105" s="29" t="s">
        <v>152</v>
      </c>
      <c r="D105" s="30">
        <v>188.39</v>
      </c>
      <c r="E105" s="30" t="s">
        <v>159</v>
      </c>
      <c r="F105" s="34">
        <v>0.25</v>
      </c>
      <c r="G105" s="30" t="s">
        <v>28</v>
      </c>
      <c r="H105" s="30"/>
      <c r="I105" s="32"/>
      <c r="J105" s="105">
        <f>((('indice Carburant'!C6/'Indexation Client 2026'!$D$105)-1)*'Indexation Client 2026'!$F$105)</f>
        <v>4.830405010881722E-3</v>
      </c>
      <c r="K105" s="105">
        <f>((('indice Carburant'!D6/'Indexation Client 2026'!$D$105)-1)*'Indexation Client 2026'!$F$105)</f>
        <v>-9.1167259408673207E-3</v>
      </c>
      <c r="L105" s="105">
        <f>((('indice Carburant'!E6/'Indexation Client 2026'!$D$105)-1)*'Indexation Client 2026'!$F$105)</f>
        <v>-9.6873507086361887E-4</v>
      </c>
      <c r="M105" s="68">
        <f>((('indice Carburant'!F6/'Indexation Client 2026'!$D$105)-1)*'Indexation Client 2026'!$F$105)</f>
        <v>6.568820001061626E-3</v>
      </c>
      <c r="N105" s="68">
        <f>((('indice Carburant'!G6/'Indexation Client 2026'!$D$105)-1)*'Indexation Client 2026'!$F$105)</f>
        <v>7.9210679972397724E-2</v>
      </c>
      <c r="O105" s="68">
        <f>((('indice Carburant'!H6/'Indexation Client 2026'!$D$105)-1)*'Indexation Client 2026'!$F$105)</f>
        <v>-0.25</v>
      </c>
      <c r="P105" s="68">
        <f>((('indice Carburant'!I6/'Indexation Client 2026'!$D$105)-1)*'Indexation Client 2026'!$F$105)</f>
        <v>-0.25</v>
      </c>
      <c r="Q105" s="68">
        <f>((('indice Carburant'!J6/'Indexation Client 2026'!$D$105)-1)*'Indexation Client 2026'!$F$105)</f>
        <v>-0.25</v>
      </c>
      <c r="R105" s="68">
        <f>((('indice Carburant'!K6/'Indexation Client 2026'!$D$105)-1)*'Indexation Client 2026'!$F$105)</f>
        <v>-0.25</v>
      </c>
      <c r="S105" s="68">
        <f>((('indice Carburant'!L6/'Indexation Client 2026'!$D$105)-1)*'Indexation Client 2026'!$F$105)</f>
        <v>-0.25</v>
      </c>
      <c r="T105" s="68">
        <f>((('indice Carburant'!M6/'Indexation Client 2026'!$D$105)-1)*'Indexation Client 2026'!$F$105)</f>
        <v>-0.25</v>
      </c>
      <c r="U105" s="68">
        <f>((('indice Carburant'!N6/'Indexation Client 2026'!$D$105)-1)*'Indexation Client 2026'!$F$105)</f>
        <v>-0.25</v>
      </c>
    </row>
    <row r="106" spans="1:21" x14ac:dyDescent="0.3">
      <c r="A106" s="33" t="s">
        <v>152</v>
      </c>
      <c r="B106" s="30" t="s">
        <v>162</v>
      </c>
      <c r="C106" s="29" t="s">
        <v>152</v>
      </c>
      <c r="D106" s="30">
        <v>188.39</v>
      </c>
      <c r="E106" s="30" t="s">
        <v>159</v>
      </c>
      <c r="F106" s="45">
        <v>0.24</v>
      </c>
      <c r="G106" s="30" t="s">
        <v>28</v>
      </c>
      <c r="H106" s="30"/>
      <c r="I106" s="32"/>
      <c r="J106" s="105">
        <f>((('indice Carburant'!C6/'Indexation Client 2026'!$D$106)-1)*'Indexation Client 2026'!$F$106)</f>
        <v>4.6371888104464526E-3</v>
      </c>
      <c r="K106" s="105">
        <f>((('indice Carburant'!D6/'Indexation Client 2026'!$D$106)-1)*'Indexation Client 2026'!$F$106)</f>
        <v>-8.752056903232627E-3</v>
      </c>
      <c r="L106" s="105">
        <f>((('indice Carburant'!E6/'Indexation Client 2026'!$D$106)-1)*'Indexation Client 2026'!$F$106)</f>
        <v>-9.2998566802907404E-4</v>
      </c>
      <c r="M106" s="68">
        <f>((('indice Carburant'!F6/'Indexation Client 2026'!$D$106)-1)*'Indexation Client 2026'!$F$106)</f>
        <v>6.3060672010191608E-3</v>
      </c>
      <c r="N106" s="68">
        <f>((('indice Carburant'!G6/'Indexation Client 2026'!$D$106)-1)*'Indexation Client 2026'!$F$106)</f>
        <v>7.6042252773501809E-2</v>
      </c>
      <c r="O106" s="68">
        <f>((('indice Carburant'!H6/'Indexation Client 2026'!$D$106)-1)*'Indexation Client 2026'!$F$106)</f>
        <v>-0.24</v>
      </c>
      <c r="P106" s="68">
        <f>((('indice Carburant'!I6/'Indexation Client 2026'!$D$106)-1)*'Indexation Client 2026'!$F$106)</f>
        <v>-0.24</v>
      </c>
      <c r="Q106" s="68">
        <f>((('indice Carburant'!J6/'Indexation Client 2026'!$D$106)-1)*'Indexation Client 2026'!$F$106)</f>
        <v>-0.24</v>
      </c>
      <c r="R106" s="68">
        <f>((('indice Carburant'!K6/'Indexation Client 2026'!$D$106)-1)*'Indexation Client 2026'!$F$106)</f>
        <v>-0.24</v>
      </c>
      <c r="S106" s="68">
        <f>((('indice Carburant'!L6/'Indexation Client 2026'!$D$106)-1)*'Indexation Client 2026'!$F$106)</f>
        <v>-0.24</v>
      </c>
      <c r="T106" s="68">
        <f>((('indice Carburant'!M6/'Indexation Client 2026'!$D$106)-1)*'Indexation Client 2026'!$F$106)</f>
        <v>-0.24</v>
      </c>
      <c r="U106" s="68">
        <f>((('indice Carburant'!N6/'Indexation Client 2026'!$D$106)-1)*'Indexation Client 2026'!$F$106)</f>
        <v>-0.24</v>
      </c>
    </row>
    <row r="107" spans="1:21" x14ac:dyDescent="0.3">
      <c r="A107" s="33" t="s">
        <v>152</v>
      </c>
      <c r="B107" s="30" t="s">
        <v>163</v>
      </c>
      <c r="C107" s="29" t="s">
        <v>152</v>
      </c>
      <c r="D107" s="30">
        <v>188.39</v>
      </c>
      <c r="E107" s="30" t="s">
        <v>159</v>
      </c>
      <c r="F107" s="45">
        <v>0.17</v>
      </c>
      <c r="G107" s="30" t="s">
        <v>28</v>
      </c>
      <c r="H107" s="30"/>
      <c r="I107" s="32"/>
      <c r="J107" s="105">
        <f>((('indice Carburant'!C6/'Indexation Client 2026'!$D$107)-1)*'Indexation Client 2026'!$F$107)</f>
        <v>3.284675407399571E-3</v>
      </c>
      <c r="K107" s="105">
        <f>((('indice Carburant'!D6/'Indexation Client 2026'!$D$107)-1)*'Indexation Client 2026'!$F$107)</f>
        <v>-6.1993736397897787E-3</v>
      </c>
      <c r="L107" s="105">
        <f>((('indice Carburant'!E6/'Indexation Client 2026'!$D$107)-1)*'Indexation Client 2026'!$F$107)</f>
        <v>-6.5873984818726086E-4</v>
      </c>
      <c r="M107" s="68">
        <f>((('indice Carburant'!F6/'Indexation Client 2026'!$D$107)-1)*'Indexation Client 2026'!$F$107)</f>
        <v>4.466797600721906E-3</v>
      </c>
      <c r="N107" s="68">
        <f>((('indice Carburant'!G6/'Indexation Client 2026'!$D$107)-1)*'Indexation Client 2026'!$F$107)</f>
        <v>5.3863262381230459E-2</v>
      </c>
      <c r="O107" s="68">
        <f>((('indice Carburant'!H6/'Indexation Client 2026'!$D$107)-1)*'Indexation Client 2026'!$F$107)</f>
        <v>-0.17</v>
      </c>
      <c r="P107" s="68">
        <f>((('indice Carburant'!I6/'Indexation Client 2026'!$D$107)-1)*'Indexation Client 2026'!$F$107)</f>
        <v>-0.17</v>
      </c>
      <c r="Q107" s="68">
        <f>((('indice Carburant'!J6/'Indexation Client 2026'!$D$107)-1)*'Indexation Client 2026'!$F$107)</f>
        <v>-0.17</v>
      </c>
      <c r="R107" s="68">
        <f>((('indice Carburant'!K6/'Indexation Client 2026'!$D$107)-1)*'Indexation Client 2026'!$F$107)</f>
        <v>-0.17</v>
      </c>
      <c r="S107" s="68">
        <f>((('indice Carburant'!L6/'Indexation Client 2026'!$D$107)-1)*'Indexation Client 2026'!$F$107)</f>
        <v>-0.17</v>
      </c>
      <c r="T107" s="68">
        <f>((('indice Carburant'!M6/'Indexation Client 2026'!$D$107)-1)*'Indexation Client 2026'!$F$107)</f>
        <v>-0.17</v>
      </c>
      <c r="U107" s="68">
        <f>((('indice Carburant'!N6/'Indexation Client 2026'!$D$107)-1)*'Indexation Client 2026'!$F$107)</f>
        <v>-0.17</v>
      </c>
    </row>
    <row r="108" spans="1:21" x14ac:dyDescent="0.3">
      <c r="A108" s="33" t="s">
        <v>152</v>
      </c>
      <c r="B108" s="30" t="s">
        <v>164</v>
      </c>
      <c r="C108" s="29" t="s">
        <v>152</v>
      </c>
      <c r="D108" s="30">
        <v>202.73</v>
      </c>
      <c r="E108" s="30" t="s">
        <v>159</v>
      </c>
      <c r="F108" s="34">
        <v>0.26</v>
      </c>
      <c r="G108" s="30" t="s">
        <v>28</v>
      </c>
      <c r="H108" s="30"/>
      <c r="I108" s="32"/>
      <c r="J108" s="105">
        <f>((('indice Carburant'!C6/'Indexation Client 2026'!$D$108)-1)*'Indexation Client 2026'!$F$108)</f>
        <v>-1.3722685345040194E-2</v>
      </c>
      <c r="K108" s="105">
        <f>((('indice Carburant'!D6/'Indexation Client 2026'!$D$108)-1)*'Indexation Client 2026'!$F$108)</f>
        <v>-2.7201696838159116E-2</v>
      </c>
      <c r="L108" s="105">
        <f>((('indice Carburant'!E6/'Indexation Client 2026'!$D$108)-1)*'Indexation Client 2026'!$F$108)</f>
        <v>-1.9327183939229515E-2</v>
      </c>
      <c r="M108" s="68">
        <f>((('indice Carburant'!F6/'Indexation Client 2026'!$D$108)-1)*'Indexation Client 2026'!$F$108)</f>
        <v>-1.204261826074087E-2</v>
      </c>
      <c r="N108" s="68">
        <f>((('indice Carburant'!G6/'Indexation Client 2026'!$D$108)-1)*'Indexation Client 2026'!$F$108)</f>
        <v>5.8161100971735852E-2</v>
      </c>
      <c r="O108" s="68">
        <f>((('indice Carburant'!H6/'Indexation Client 2026'!$D$108)-1)*'Indexation Client 2026'!$F$108)</f>
        <v>-0.26</v>
      </c>
      <c r="P108" s="68">
        <f>((('indice Carburant'!I6/'Indexation Client 2026'!$D$108)-1)*'Indexation Client 2026'!$F$108)</f>
        <v>-0.26</v>
      </c>
      <c r="Q108" s="68">
        <f>((('indice Carburant'!J6/'Indexation Client 2026'!$D$108)-1)*'Indexation Client 2026'!$F$108)</f>
        <v>-0.26</v>
      </c>
      <c r="R108" s="68">
        <f>((('indice Carburant'!K6/'Indexation Client 2026'!$D$108)-1)*'Indexation Client 2026'!$F$108)</f>
        <v>-0.26</v>
      </c>
      <c r="S108" s="68">
        <f>((('indice Carburant'!L6/'Indexation Client 2026'!$D$108)-1)*'Indexation Client 2026'!$F$108)</f>
        <v>-0.26</v>
      </c>
      <c r="T108" s="68">
        <f>((('indice Carburant'!M6/'Indexation Client 2026'!$D$108)-1)*'Indexation Client 2026'!$F$108)</f>
        <v>-0.26</v>
      </c>
      <c r="U108" s="68">
        <f>((('indice Carburant'!N6/'Indexation Client 2026'!$D$108)-1)*'Indexation Client 2026'!$F$108)</f>
        <v>-0.26</v>
      </c>
    </row>
    <row r="109" spans="1:21" x14ac:dyDescent="0.3">
      <c r="A109" s="33" t="s">
        <v>152</v>
      </c>
      <c r="B109" s="30" t="s">
        <v>165</v>
      </c>
      <c r="C109" s="29" t="s">
        <v>152</v>
      </c>
      <c r="D109" s="30">
        <v>202.73</v>
      </c>
      <c r="E109" s="30" t="s">
        <v>159</v>
      </c>
      <c r="F109" s="34">
        <v>0.26</v>
      </c>
      <c r="G109" s="30" t="s">
        <v>28</v>
      </c>
      <c r="H109" s="30"/>
      <c r="I109" s="32"/>
      <c r="J109" s="105">
        <f>((('indice Carburant'!C6/'Indexation Client 2026'!$D$109)-1)*'Indexation Client 2026'!$F$109)</f>
        <v>-1.3722685345040194E-2</v>
      </c>
      <c r="K109" s="105">
        <f>((('indice Carburant'!D6/'Indexation Client 2026'!$D$109)-1)*'Indexation Client 2026'!$F$109)</f>
        <v>-2.7201696838159116E-2</v>
      </c>
      <c r="L109" s="105">
        <f>((('indice Carburant'!E6/'Indexation Client 2026'!$D$109)-1)*'Indexation Client 2026'!$F$109)</f>
        <v>-1.9327183939229515E-2</v>
      </c>
      <c r="M109" s="68">
        <f>((('indice Carburant'!F6/'Indexation Client 2026'!$D$109)-1)*'Indexation Client 2026'!$F$109)</f>
        <v>-1.204261826074087E-2</v>
      </c>
      <c r="N109" s="68">
        <f>((('indice Carburant'!G6/'Indexation Client 2026'!$D$109)-1)*'Indexation Client 2026'!$F$109)</f>
        <v>5.8161100971735852E-2</v>
      </c>
      <c r="O109" s="68">
        <f>((('indice Carburant'!H6/'Indexation Client 2026'!$D$109)-1)*'Indexation Client 2026'!$F$109)</f>
        <v>-0.26</v>
      </c>
      <c r="P109" s="68">
        <f>((('indice Carburant'!I6/'Indexation Client 2026'!$D$109)-1)*'Indexation Client 2026'!$F$109)</f>
        <v>-0.26</v>
      </c>
      <c r="Q109" s="68">
        <f>((('indice Carburant'!J6/'Indexation Client 2026'!$D$109)-1)*'Indexation Client 2026'!$F$109)</f>
        <v>-0.26</v>
      </c>
      <c r="R109" s="68">
        <f>((('indice Carburant'!K6/'Indexation Client 2026'!$D$109)-1)*'Indexation Client 2026'!$F$109)</f>
        <v>-0.26</v>
      </c>
      <c r="S109" s="68">
        <f>((('indice Carburant'!L6/'Indexation Client 2026'!$D$109)-1)*'Indexation Client 2026'!$F$109)</f>
        <v>-0.26</v>
      </c>
      <c r="T109" s="68">
        <f>((('indice Carburant'!M6/'Indexation Client 2026'!$D$109)-1)*'Indexation Client 2026'!$F$109)</f>
        <v>-0.26</v>
      </c>
      <c r="U109" s="68">
        <f>((('indice Carburant'!N6/'Indexation Client 2026'!$D$109)-1)*'Indexation Client 2026'!$F$109)</f>
        <v>-0.26</v>
      </c>
    </row>
    <row r="110" spans="1:21" x14ac:dyDescent="0.3">
      <c r="A110" s="33" t="s">
        <v>152</v>
      </c>
      <c r="B110" s="30" t="s">
        <v>166</v>
      </c>
      <c r="C110" s="29" t="s">
        <v>152</v>
      </c>
      <c r="D110" s="30">
        <v>195.67</v>
      </c>
      <c r="E110" s="30" t="s">
        <v>159</v>
      </c>
      <c r="F110" s="69">
        <v>0.221</v>
      </c>
      <c r="G110" s="30" t="s">
        <v>28</v>
      </c>
      <c r="H110" s="30"/>
      <c r="I110" s="32"/>
      <c r="J110" s="105">
        <f>((('indice Carburant'!C6/'Indexation Client 2026'!$D$110)-1)*'Indexation Client 2026'!$F$110)</f>
        <v>-4.1112076455256229E-3</v>
      </c>
      <c r="K110" s="105">
        <f>((('indice Carburant'!D6/'Indexation Client 2026'!$D$110)-1)*'Indexation Client 2026'!$F$110)</f>
        <v>-1.598175499565592E-2</v>
      </c>
      <c r="L110" s="105">
        <f>((('indice Carburant'!E6/'Indexation Client 2026'!$D$110)-1)*'Indexation Client 2026'!$F$110)</f>
        <v>-9.0469157254561058E-3</v>
      </c>
      <c r="M110" s="68">
        <f>((('indice Carburant'!F6/'Indexation Client 2026'!$D$110)-1)*'Indexation Client 2026'!$F$110)</f>
        <v>-2.6316246741963311E-3</v>
      </c>
      <c r="N110" s="68">
        <f>((('indice Carburant'!G6/'Indexation Client 2026'!$D$110)-1)*'Indexation Client 2026'!$F$110)</f>
        <v>5.9194613379669886E-2</v>
      </c>
      <c r="O110" s="68">
        <f>((('indice Carburant'!H6/'Indexation Client 2026'!$D$110)-1)*'Indexation Client 2026'!$F$110)</f>
        <v>-0.221</v>
      </c>
      <c r="P110" s="68">
        <f>((('indice Carburant'!I6/'Indexation Client 2026'!$D$110)-1)*'Indexation Client 2026'!$F$110)</f>
        <v>-0.221</v>
      </c>
      <c r="Q110" s="68">
        <f>((('indice Carburant'!J6/'Indexation Client 2026'!$D$110)-1)*'Indexation Client 2026'!$F$110)</f>
        <v>-0.221</v>
      </c>
      <c r="R110" s="68">
        <f>((('indice Carburant'!K6/'Indexation Client 2026'!$D$110)-1)*'Indexation Client 2026'!$F$110)</f>
        <v>-0.221</v>
      </c>
      <c r="S110" s="68">
        <f>((('indice Carburant'!L6/'Indexation Client 2026'!$D$110)-1)*'Indexation Client 2026'!$F$110)</f>
        <v>-0.221</v>
      </c>
      <c r="T110" s="68">
        <f>((('indice Carburant'!M6/'Indexation Client 2026'!$D$110)-1)*'Indexation Client 2026'!$F$110)</f>
        <v>-0.221</v>
      </c>
      <c r="U110" s="68">
        <f>((('indice Carburant'!N6/'Indexation Client 2026'!$D$110)-1)*'Indexation Client 2026'!$F$110)</f>
        <v>-0.221</v>
      </c>
    </row>
    <row r="111" spans="1:21" x14ac:dyDescent="0.3">
      <c r="A111" s="33" t="s">
        <v>167</v>
      </c>
      <c r="B111" s="30" t="s">
        <v>168</v>
      </c>
      <c r="C111" s="29" t="s">
        <v>152</v>
      </c>
      <c r="D111" s="30">
        <v>188.39</v>
      </c>
      <c r="E111" s="30" t="s">
        <v>27</v>
      </c>
      <c r="F111" s="34">
        <v>0.24</v>
      </c>
      <c r="G111" s="30" t="s">
        <v>28</v>
      </c>
      <c r="H111" s="30"/>
      <c r="I111" s="32"/>
      <c r="J111" s="105">
        <f>((('indice Carburant'!D6/'Indexation Client 2026'!$D$111)-1)*'Indexation Client 2026'!$F$111)</f>
        <v>-8.752056903232627E-3</v>
      </c>
      <c r="K111" s="105">
        <f>((('indice Carburant'!E6/'Indexation Client 2026'!$D$111)-1)*'Indexation Client 2026'!$F$111)</f>
        <v>-9.2998566802907404E-4</v>
      </c>
      <c r="L111" s="105">
        <f>((('indice Carburant'!F6/'Indexation Client 2026'!$D$111)-1)*'Indexation Client 2026'!$F$111)</f>
        <v>6.3060672010191608E-3</v>
      </c>
      <c r="M111" s="68">
        <f>((('indice Carburant'!G6/'Indexation Client 2026'!$D$111)-1)*'Indexation Client 2026'!$F$111)</f>
        <v>7.6042252773501809E-2</v>
      </c>
      <c r="N111" s="68">
        <f>((('indice Carburant'!H6/'Indexation Client 2026'!$D$111)-1)*'Indexation Client 2026'!$F$111)</f>
        <v>-0.24</v>
      </c>
      <c r="O111" s="68">
        <f>((('indice Carburant'!I6/'Indexation Client 2026'!$D$111)-1)*'Indexation Client 2026'!$F$111)</f>
        <v>-0.24</v>
      </c>
      <c r="P111" s="68">
        <f>((('indice Carburant'!J6/'Indexation Client 2026'!$D$111)-1)*'Indexation Client 2026'!$F$111)</f>
        <v>-0.24</v>
      </c>
      <c r="Q111" s="68">
        <f>((('indice Carburant'!K6/'Indexation Client 2026'!$D$111)-1)*'Indexation Client 2026'!$F$111)</f>
        <v>-0.24</v>
      </c>
      <c r="R111" s="68">
        <f>((('indice Carburant'!L6/'Indexation Client 2026'!$D$111)-1)*'Indexation Client 2026'!$F$111)</f>
        <v>-0.24</v>
      </c>
      <c r="S111" s="68">
        <f>((('indice Carburant'!M6/'Indexation Client 2026'!$D$111)-1)*'Indexation Client 2026'!$F$111)</f>
        <v>-0.24</v>
      </c>
      <c r="T111" s="68">
        <f>((('indice Carburant'!N6/'Indexation Client 2026'!$D$111)-1)*'Indexation Client 2026'!$F$111)</f>
        <v>-0.24</v>
      </c>
      <c r="U111" s="68">
        <f>((('indice Carburant'!O6/'Indexation Client 2026'!$D$111)-1)*'Indexation Client 2026'!$F$111)</f>
        <v>-0.24</v>
      </c>
    </row>
    <row r="112" spans="1:21" x14ac:dyDescent="0.3">
      <c r="A112" s="33" t="s">
        <v>167</v>
      </c>
      <c r="B112" s="30" t="s">
        <v>169</v>
      </c>
      <c r="C112" s="29" t="s">
        <v>152</v>
      </c>
      <c r="D112" s="30">
        <v>202.73</v>
      </c>
      <c r="E112" s="30" t="s">
        <v>27</v>
      </c>
      <c r="F112" s="34">
        <v>0.26</v>
      </c>
      <c r="G112" s="30" t="s">
        <v>28</v>
      </c>
      <c r="H112" s="30"/>
      <c r="I112" s="32"/>
      <c r="J112" s="105">
        <f>((('indice Carburant'!D6/'Indexation Client 2026'!$D$112)-1)*'Indexation Client 2026'!$F$112)</f>
        <v>-2.7201696838159116E-2</v>
      </c>
      <c r="K112" s="105">
        <f>((('indice Carburant'!E6/'Indexation Client 2026'!$D$112)-1)*'Indexation Client 2026'!$F$112)</f>
        <v>-1.9327183939229515E-2</v>
      </c>
      <c r="L112" s="105">
        <f>((('indice Carburant'!F6/'Indexation Client 2026'!$D$112)-1)*'Indexation Client 2026'!$F$112)</f>
        <v>-1.204261826074087E-2</v>
      </c>
      <c r="M112" s="68">
        <f>((('indice Carburant'!G6/'Indexation Client 2026'!$D$112)-1)*'Indexation Client 2026'!$F$112)</f>
        <v>5.8161100971735852E-2</v>
      </c>
      <c r="N112" s="68">
        <f>((('indice Carburant'!H6/'Indexation Client 2026'!$D$112)-1)*'Indexation Client 2026'!$F$112)</f>
        <v>-0.26</v>
      </c>
      <c r="O112" s="68">
        <f>((('indice Carburant'!I6/'Indexation Client 2026'!$D$112)-1)*'Indexation Client 2026'!$F$112)</f>
        <v>-0.26</v>
      </c>
      <c r="P112" s="68">
        <f>((('indice Carburant'!J6/'Indexation Client 2026'!$D$112)-1)*'Indexation Client 2026'!$F$112)</f>
        <v>-0.26</v>
      </c>
      <c r="Q112" s="68">
        <f>((('indice Carburant'!K6/'Indexation Client 2026'!$D$112)-1)*'Indexation Client 2026'!$F$112)</f>
        <v>-0.26</v>
      </c>
      <c r="R112" s="68">
        <f>((('indice Carburant'!L6/'Indexation Client 2026'!$D$112)-1)*'Indexation Client 2026'!$F$112)</f>
        <v>-0.26</v>
      </c>
      <c r="S112" s="68">
        <f>((('indice Carburant'!M6/'Indexation Client 2026'!$D$112)-1)*'Indexation Client 2026'!$F$112)</f>
        <v>-0.26</v>
      </c>
      <c r="T112" s="68">
        <f>((('indice Carburant'!N6/'Indexation Client 2026'!$D$112)-1)*'Indexation Client 2026'!$F$112)</f>
        <v>-0.26</v>
      </c>
      <c r="U112" s="68">
        <f>((('indice Carburant'!O6/'Indexation Client 2026'!$D$112)-1)*'Indexation Client 2026'!$F$112)</f>
        <v>-0.26</v>
      </c>
    </row>
    <row r="113" spans="1:21" x14ac:dyDescent="0.3">
      <c r="A113" s="33" t="s">
        <v>167</v>
      </c>
      <c r="B113" s="30" t="s">
        <v>170</v>
      </c>
      <c r="C113" s="29" t="s">
        <v>152</v>
      </c>
      <c r="D113" s="30">
        <v>202.73</v>
      </c>
      <c r="E113" s="30" t="s">
        <v>27</v>
      </c>
      <c r="F113" s="34">
        <v>0.26</v>
      </c>
      <c r="G113" s="30" t="s">
        <v>28</v>
      </c>
      <c r="H113" s="30"/>
      <c r="I113" s="32"/>
      <c r="J113" s="105">
        <f>((('indice Carburant'!D6/'Indexation Client 2026'!$D$113)-1)*'Indexation Client 2026'!$F$113)</f>
        <v>-2.7201696838159116E-2</v>
      </c>
      <c r="K113" s="105">
        <f>((('indice Carburant'!E6/'Indexation Client 2026'!$D$113)-1)*'Indexation Client 2026'!$F$113)</f>
        <v>-1.9327183939229515E-2</v>
      </c>
      <c r="L113" s="105">
        <f>((('indice Carburant'!F6/'Indexation Client 2026'!$D$113)-1)*'Indexation Client 2026'!$F$113)</f>
        <v>-1.204261826074087E-2</v>
      </c>
      <c r="M113" s="68">
        <f>((('indice Carburant'!G6/'Indexation Client 2026'!$D$113)-1)*'Indexation Client 2026'!$F$113)</f>
        <v>5.8161100971735852E-2</v>
      </c>
      <c r="N113" s="68">
        <f>((('indice Carburant'!H6/'Indexation Client 2026'!$D$113)-1)*'Indexation Client 2026'!$F$113)</f>
        <v>-0.26</v>
      </c>
      <c r="O113" s="68">
        <f>((('indice Carburant'!I6/'Indexation Client 2026'!$D$113)-1)*'Indexation Client 2026'!$F$113)</f>
        <v>-0.26</v>
      </c>
      <c r="P113" s="68">
        <f>((('indice Carburant'!J6/'Indexation Client 2026'!$D$113)-1)*'Indexation Client 2026'!$F$113)</f>
        <v>-0.26</v>
      </c>
      <c r="Q113" s="68">
        <f>((('indice Carburant'!K6/'Indexation Client 2026'!$D$113)-1)*'Indexation Client 2026'!$F$113)</f>
        <v>-0.26</v>
      </c>
      <c r="R113" s="68">
        <f>((('indice Carburant'!L6/'Indexation Client 2026'!$D$113)-1)*'Indexation Client 2026'!$F$113)</f>
        <v>-0.26</v>
      </c>
      <c r="S113" s="68">
        <f>((('indice Carburant'!M6/'Indexation Client 2026'!$D$113)-1)*'Indexation Client 2026'!$F$113)</f>
        <v>-0.26</v>
      </c>
      <c r="T113" s="68">
        <f>((('indice Carburant'!N6/'Indexation Client 2026'!$D$113)-1)*'Indexation Client 2026'!$F$113)</f>
        <v>-0.26</v>
      </c>
      <c r="U113" s="68">
        <f>((('indice Carburant'!O6/'Indexation Client 2026'!$D$113)-1)*'Indexation Client 2026'!$F$113)</f>
        <v>-0.26</v>
      </c>
    </row>
    <row r="114" spans="1:21" x14ac:dyDescent="0.3">
      <c r="A114" s="33" t="s">
        <v>167</v>
      </c>
      <c r="B114" s="30" t="s">
        <v>171</v>
      </c>
      <c r="C114" s="29" t="s">
        <v>152</v>
      </c>
      <c r="D114" s="30">
        <v>202.73</v>
      </c>
      <c r="E114" s="30" t="s">
        <v>27</v>
      </c>
      <c r="F114" s="34">
        <v>0.26</v>
      </c>
      <c r="G114" s="30" t="s">
        <v>28</v>
      </c>
      <c r="H114" s="30"/>
      <c r="I114" s="32"/>
      <c r="J114" s="105">
        <f>((('indice Carburant'!D6/'Indexation Client 2026'!$D$114)-1)*'Indexation Client 2026'!$F$114)</f>
        <v>-2.7201696838159116E-2</v>
      </c>
      <c r="K114" s="105">
        <f>((('indice Carburant'!E6/'Indexation Client 2026'!$D$114)-1)*'Indexation Client 2026'!$F$114)</f>
        <v>-1.9327183939229515E-2</v>
      </c>
      <c r="L114" s="105">
        <f>((('indice Carburant'!F6/'Indexation Client 2026'!$D$114)-1)*'Indexation Client 2026'!$F$114)</f>
        <v>-1.204261826074087E-2</v>
      </c>
      <c r="M114" s="68">
        <f>((('indice Carburant'!G6/'Indexation Client 2026'!$D$114)-1)*'Indexation Client 2026'!$F$114)</f>
        <v>5.8161100971735852E-2</v>
      </c>
      <c r="N114" s="68">
        <f>((('indice Carburant'!H6/'Indexation Client 2026'!$D$114)-1)*'Indexation Client 2026'!$F$114)</f>
        <v>-0.26</v>
      </c>
      <c r="O114" s="68">
        <f>((('indice Carburant'!I6/'Indexation Client 2026'!$D$114)-1)*'Indexation Client 2026'!$F$114)</f>
        <v>-0.26</v>
      </c>
      <c r="P114" s="68">
        <f>((('indice Carburant'!J6/'Indexation Client 2026'!$D$114)-1)*'Indexation Client 2026'!$F$114)</f>
        <v>-0.26</v>
      </c>
      <c r="Q114" s="68">
        <f>((('indice Carburant'!K6/'Indexation Client 2026'!$D$114)-1)*'Indexation Client 2026'!$F$114)</f>
        <v>-0.26</v>
      </c>
      <c r="R114" s="68">
        <f>((('indice Carburant'!L6/'Indexation Client 2026'!$D$114)-1)*'Indexation Client 2026'!$F$114)</f>
        <v>-0.26</v>
      </c>
      <c r="S114" s="68">
        <f>((('indice Carburant'!M6/'Indexation Client 2026'!$D$114)-1)*'Indexation Client 2026'!$F$114)</f>
        <v>-0.26</v>
      </c>
      <c r="T114" s="68">
        <f>((('indice Carburant'!N6/'Indexation Client 2026'!$D$114)-1)*'Indexation Client 2026'!$F$114)</f>
        <v>-0.26</v>
      </c>
      <c r="U114" s="68">
        <f>((('indice Carburant'!O6/'Indexation Client 2026'!$D$114)-1)*'Indexation Client 2026'!$F$114)</f>
        <v>-0.26</v>
      </c>
    </row>
    <row r="115" spans="1:21" x14ac:dyDescent="0.3">
      <c r="A115" s="33" t="s">
        <v>167</v>
      </c>
      <c r="B115" s="30" t="s">
        <v>172</v>
      </c>
      <c r="C115" s="29" t="s">
        <v>152</v>
      </c>
      <c r="D115" s="30">
        <v>202.73</v>
      </c>
      <c r="E115" s="30" t="s">
        <v>27</v>
      </c>
      <c r="F115" s="34">
        <v>0.26</v>
      </c>
      <c r="G115" s="30" t="s">
        <v>28</v>
      </c>
      <c r="H115" s="30"/>
      <c r="I115" s="32"/>
      <c r="J115" s="105">
        <f>((('indice Carburant'!D6/'Indexation Client 2026'!$D$115)-1)*'Indexation Client 2026'!$F$115)</f>
        <v>-2.7201696838159116E-2</v>
      </c>
      <c r="K115" s="105">
        <f>((('indice Carburant'!E6/'Indexation Client 2026'!$D$115)-1)*'Indexation Client 2026'!$F$115)</f>
        <v>-1.9327183939229515E-2</v>
      </c>
      <c r="L115" s="105">
        <f>((('indice Carburant'!F6/'Indexation Client 2026'!$D$115)-1)*'Indexation Client 2026'!$F$115)</f>
        <v>-1.204261826074087E-2</v>
      </c>
      <c r="M115" s="68">
        <f>((('indice Carburant'!G6/'Indexation Client 2026'!$D$115)-1)*'Indexation Client 2026'!$F$115)</f>
        <v>5.8161100971735852E-2</v>
      </c>
      <c r="N115" s="68">
        <f>((('indice Carburant'!H6/'Indexation Client 2026'!$D$115)-1)*'Indexation Client 2026'!$F$115)</f>
        <v>-0.26</v>
      </c>
      <c r="O115" s="68">
        <f>((('indice Carburant'!I6/'Indexation Client 2026'!$D$115)-1)*'Indexation Client 2026'!$F$115)</f>
        <v>-0.26</v>
      </c>
      <c r="P115" s="68">
        <f>((('indice Carburant'!J6/'Indexation Client 2026'!$D$115)-1)*'Indexation Client 2026'!$F$115)</f>
        <v>-0.26</v>
      </c>
      <c r="Q115" s="68">
        <f>((('indice Carburant'!K6/'Indexation Client 2026'!$D$115)-1)*'Indexation Client 2026'!$F$115)</f>
        <v>-0.26</v>
      </c>
      <c r="R115" s="68">
        <f>((('indice Carburant'!L6/'Indexation Client 2026'!$D$115)-1)*'Indexation Client 2026'!$F$115)</f>
        <v>-0.26</v>
      </c>
      <c r="S115" s="68">
        <f>((('indice Carburant'!M6/'Indexation Client 2026'!$D$115)-1)*'Indexation Client 2026'!$F$115)</f>
        <v>-0.26</v>
      </c>
      <c r="T115" s="68">
        <f>((('indice Carburant'!N6/'Indexation Client 2026'!$D$115)-1)*'Indexation Client 2026'!$F$115)</f>
        <v>-0.26</v>
      </c>
      <c r="U115" s="68">
        <f>((('indice Carburant'!O6/'Indexation Client 2026'!$D$115)-1)*'Indexation Client 2026'!$F$115)</f>
        <v>-0.26</v>
      </c>
    </row>
    <row r="116" spans="1:21" x14ac:dyDescent="0.3">
      <c r="A116" s="33" t="s">
        <v>167</v>
      </c>
      <c r="B116" s="30" t="s">
        <v>173</v>
      </c>
      <c r="C116" s="29" t="s">
        <v>152</v>
      </c>
      <c r="D116" s="30">
        <v>202.73</v>
      </c>
      <c r="E116" s="30" t="s">
        <v>27</v>
      </c>
      <c r="F116" s="34">
        <v>0.26</v>
      </c>
      <c r="G116" s="30" t="s">
        <v>28</v>
      </c>
      <c r="H116" s="30"/>
      <c r="I116" s="32"/>
      <c r="J116" s="105">
        <f>((('indice Carburant'!D6/'Indexation Client 2026'!$D$116)-1)*'Indexation Client 2026'!$F$116)</f>
        <v>-2.7201696838159116E-2</v>
      </c>
      <c r="K116" s="105">
        <f>((('indice Carburant'!E6/'Indexation Client 2026'!$D$116)-1)*'Indexation Client 2026'!$F$116)</f>
        <v>-1.9327183939229515E-2</v>
      </c>
      <c r="L116" s="105">
        <f>((('indice Carburant'!F6/'Indexation Client 2026'!$D$116)-1)*'Indexation Client 2026'!$F$116)</f>
        <v>-1.204261826074087E-2</v>
      </c>
      <c r="M116" s="68">
        <f>((('indice Carburant'!G6/'Indexation Client 2026'!$D$116)-1)*'Indexation Client 2026'!$F$116)</f>
        <v>5.8161100971735852E-2</v>
      </c>
      <c r="N116" s="68">
        <f>((('indice Carburant'!H6/'Indexation Client 2026'!$D$116)-1)*'Indexation Client 2026'!$F$116)</f>
        <v>-0.26</v>
      </c>
      <c r="O116" s="68">
        <f>((('indice Carburant'!I6/'Indexation Client 2026'!$D$116)-1)*'Indexation Client 2026'!$F$116)</f>
        <v>-0.26</v>
      </c>
      <c r="P116" s="68">
        <f>((('indice Carburant'!J6/'Indexation Client 2026'!$D$116)-1)*'Indexation Client 2026'!$F$116)</f>
        <v>-0.26</v>
      </c>
      <c r="Q116" s="68">
        <f>((('indice Carburant'!K6/'Indexation Client 2026'!$D$116)-1)*'Indexation Client 2026'!$F$116)</f>
        <v>-0.26</v>
      </c>
      <c r="R116" s="68">
        <f>((('indice Carburant'!L6/'Indexation Client 2026'!$D$116)-1)*'Indexation Client 2026'!$F$116)</f>
        <v>-0.26</v>
      </c>
      <c r="S116" s="68">
        <f>((('indice Carburant'!M6/'Indexation Client 2026'!$D$116)-1)*'Indexation Client 2026'!$F$116)</f>
        <v>-0.26</v>
      </c>
      <c r="T116" s="68">
        <f>((('indice Carburant'!N6/'Indexation Client 2026'!$D$116)-1)*'Indexation Client 2026'!$F$116)</f>
        <v>-0.26</v>
      </c>
      <c r="U116" s="68">
        <f>((('indice Carburant'!O6/'Indexation Client 2026'!$D$116)-1)*'Indexation Client 2026'!$F$116)</f>
        <v>-0.26</v>
      </c>
    </row>
    <row r="117" spans="1:21" x14ac:dyDescent="0.3">
      <c r="A117" s="33" t="s">
        <v>167</v>
      </c>
      <c r="B117" s="30" t="s">
        <v>174</v>
      </c>
      <c r="C117" s="29" t="s">
        <v>152</v>
      </c>
      <c r="D117" s="30">
        <v>188.39</v>
      </c>
      <c r="E117" s="30" t="s">
        <v>27</v>
      </c>
      <c r="F117" s="34">
        <v>0.19</v>
      </c>
      <c r="G117" s="30" t="s">
        <v>28</v>
      </c>
      <c r="H117" s="30"/>
      <c r="I117" s="32"/>
      <c r="J117" s="105">
        <f>((('indice Carburant'!D6/'Indexation Client 2026'!$D$117)-1)*'Indexation Client 2026'!$F$117)</f>
        <v>-6.9287117150591635E-3</v>
      </c>
      <c r="K117" s="105">
        <f>((('indice Carburant'!E6/'Indexation Client 2026'!$D$117)-1)*'Indexation Client 2026'!$F$117)</f>
        <v>-7.3623865385635031E-4</v>
      </c>
      <c r="L117" s="105">
        <f>((('indice Carburant'!F6/'Indexation Client 2026'!$D$117)-1)*'Indexation Client 2026'!$F$117)</f>
        <v>4.9923032008068356E-3</v>
      </c>
      <c r="M117" s="68">
        <f>((('indice Carburant'!G6/'Indexation Client 2026'!$D$117)-1)*'Indexation Client 2026'!$F$117)</f>
        <v>6.0200116779022268E-2</v>
      </c>
      <c r="N117" s="68">
        <f>((('indice Carburant'!H6/'Indexation Client 2026'!$D$117)-1)*'Indexation Client 2026'!$F$117)</f>
        <v>-0.19</v>
      </c>
      <c r="O117" s="68">
        <f>((('indice Carburant'!I6/'Indexation Client 2026'!$D$117)-1)*'Indexation Client 2026'!$F$117)</f>
        <v>-0.19</v>
      </c>
      <c r="P117" s="68">
        <f>((('indice Carburant'!J6/'Indexation Client 2026'!$D$117)-1)*'Indexation Client 2026'!$F$117)</f>
        <v>-0.19</v>
      </c>
      <c r="Q117" s="68">
        <f>((('indice Carburant'!K6/'Indexation Client 2026'!$D$117)-1)*'Indexation Client 2026'!$F$117)</f>
        <v>-0.19</v>
      </c>
      <c r="R117" s="68">
        <f>((('indice Carburant'!L6/'Indexation Client 2026'!$D$117)-1)*'Indexation Client 2026'!$F$117)</f>
        <v>-0.19</v>
      </c>
      <c r="S117" s="68">
        <f>((('indice Carburant'!M6/'Indexation Client 2026'!$D$117)-1)*'Indexation Client 2026'!$F$117)</f>
        <v>-0.19</v>
      </c>
      <c r="T117" s="68">
        <f>((('indice Carburant'!N6/'Indexation Client 2026'!$D$117)-1)*'Indexation Client 2026'!$F$117)</f>
        <v>-0.19</v>
      </c>
      <c r="U117" s="68">
        <f>((('indice Carburant'!O6/'Indexation Client 2026'!$D$117)-1)*'Indexation Client 2026'!$F$117)</f>
        <v>-0.19</v>
      </c>
    </row>
    <row r="118" spans="1:21" x14ac:dyDescent="0.3">
      <c r="A118" s="33" t="s">
        <v>175</v>
      </c>
      <c r="B118" s="30" t="s">
        <v>176</v>
      </c>
      <c r="C118" s="29" t="s">
        <v>177</v>
      </c>
      <c r="D118" s="30">
        <v>118.42</v>
      </c>
      <c r="E118" s="54" t="s">
        <v>99</v>
      </c>
      <c r="F118" s="42">
        <v>0.20899999999999999</v>
      </c>
      <c r="G118" s="30" t="s">
        <v>28</v>
      </c>
      <c r="H118" s="30"/>
      <c r="I118" s="32"/>
      <c r="J118" s="105">
        <f>((('indice Carburant'!D6/'Indexation Client 2026'!$D$118)-1)*'Indexation Client 2026'!$F$118)</f>
        <v>0.11136547880425603</v>
      </c>
      <c r="K118" s="105">
        <f>((('indice Carburant'!E6/'Indexation Client 2026'!$D$118)-1)*'Indexation Client 2026'!$F$118)</f>
        <v>0.12220199290660358</v>
      </c>
      <c r="L118" s="105">
        <f>((('indice Carburant'!F6/'Indexation Client 2026'!$D$118)-1)*'Indexation Client 2026'!$F$118)</f>
        <v>0.13222665090356356</v>
      </c>
      <c r="M118" s="68">
        <f>((('indice Carburant'!G6/'Indexation Client 2026'!$D$118)-1)*'Indexation Client 2026'!$F$118)</f>
        <v>0.22883752744468838</v>
      </c>
      <c r="N118" s="68">
        <f>((('indice Carburant'!H6/'Indexation Client 2026'!$D$118)-1)*'Indexation Client 2026'!$F$118)</f>
        <v>-0.20899999999999999</v>
      </c>
      <c r="O118" s="68">
        <f>((('indice Carburant'!I6/'Indexation Client 2026'!$D$118)-1)*'Indexation Client 2026'!$F$118)</f>
        <v>-0.20899999999999999</v>
      </c>
      <c r="P118" s="68">
        <f>((('indice Carburant'!J6/'Indexation Client 2026'!$D$118)-1)*'Indexation Client 2026'!$F$118)</f>
        <v>-0.20899999999999999</v>
      </c>
      <c r="Q118" s="68">
        <f>((('indice Carburant'!K6/'Indexation Client 2026'!$D$118)-1)*'Indexation Client 2026'!$F$118)</f>
        <v>-0.20899999999999999</v>
      </c>
      <c r="R118" s="68">
        <f>((('indice Carburant'!L6/'Indexation Client 2026'!$D$118)-1)*'Indexation Client 2026'!$F$118)</f>
        <v>-0.20899999999999999</v>
      </c>
      <c r="S118" s="68">
        <f>((('indice Carburant'!M6/'Indexation Client 2026'!$D$118)-1)*'Indexation Client 2026'!$F$118)</f>
        <v>-0.20899999999999999</v>
      </c>
      <c r="T118" s="68">
        <f>((('indice Carburant'!N6/'Indexation Client 2026'!$D$118)-1)*'Indexation Client 2026'!$F$118)</f>
        <v>-0.20899999999999999</v>
      </c>
      <c r="U118" s="68">
        <f>((('indice Carburant'!O6/'Indexation Client 2026'!$D$118)-1)*'Indexation Client 2026'!$F$118)</f>
        <v>-0.20899999999999999</v>
      </c>
    </row>
    <row r="119" spans="1:21" x14ac:dyDescent="0.3">
      <c r="A119" s="33" t="s">
        <v>175</v>
      </c>
      <c r="B119" s="30" t="s">
        <v>178</v>
      </c>
      <c r="C119" s="29" t="s">
        <v>179</v>
      </c>
      <c r="D119" s="30">
        <v>136.18</v>
      </c>
      <c r="E119" s="54" t="s">
        <v>99</v>
      </c>
      <c r="F119" s="42">
        <v>0.20899999999999999</v>
      </c>
      <c r="G119" s="30" t="s">
        <v>28</v>
      </c>
      <c r="H119" s="30"/>
      <c r="I119" s="32"/>
      <c r="J119" s="105">
        <f>((('indice Carburant'!D6/'Indexation Client 2026'!$D$119)-1)*'Indexation Client 2026'!$F$119)</f>
        <v>6.9584814216478191E-2</v>
      </c>
      <c r="K119" s="105">
        <f>((('indice Carburant'!E6/'Indexation Client 2026'!$D$119)-1)*'Indexation Client 2026'!$F$119)</f>
        <v>7.9008077544426458E-2</v>
      </c>
      <c r="L119" s="105">
        <f>((('indice Carburant'!F6/'Indexation Client 2026'!$D$119)-1)*'Indexation Client 2026'!$F$119)</f>
        <v>8.7725363489499192E-2</v>
      </c>
      <c r="M119" s="68">
        <f>((('indice Carburant'!G6/'Indexation Client 2026'!$D$119)-1)*'Indexation Client 2026'!$F$119)</f>
        <v>0.17173667205169627</v>
      </c>
      <c r="N119" s="68">
        <f>((('indice Carburant'!H6/'Indexation Client 2026'!$D$119)-1)*'Indexation Client 2026'!$F$119)</f>
        <v>-0.20899999999999999</v>
      </c>
      <c r="O119" s="68">
        <f>((('indice Carburant'!I6/'Indexation Client 2026'!$D$119)-1)*'Indexation Client 2026'!$F$119)</f>
        <v>-0.20899999999999999</v>
      </c>
      <c r="P119" s="68">
        <f>((('indice Carburant'!J6/'Indexation Client 2026'!$D$119)-1)*'Indexation Client 2026'!$F$119)</f>
        <v>-0.20899999999999999</v>
      </c>
      <c r="Q119" s="68">
        <f>((('indice Carburant'!K6/'Indexation Client 2026'!$D$119)-1)*'Indexation Client 2026'!$F$119)</f>
        <v>-0.20899999999999999</v>
      </c>
      <c r="R119" s="68">
        <f>((('indice Carburant'!L6/'Indexation Client 2026'!$D$119)-1)*'Indexation Client 2026'!$F$119)</f>
        <v>-0.20899999999999999</v>
      </c>
      <c r="S119" s="68">
        <f>((('indice Carburant'!M6/'Indexation Client 2026'!$D$119)-1)*'Indexation Client 2026'!$F$119)</f>
        <v>-0.20899999999999999</v>
      </c>
      <c r="T119" s="68">
        <f>((('indice Carburant'!N6/'Indexation Client 2026'!$D$119)-1)*'Indexation Client 2026'!$F$119)</f>
        <v>-0.20899999999999999</v>
      </c>
      <c r="U119" s="68">
        <f>((('indice Carburant'!O6/'Indexation Client 2026'!$D$119)-1)*'Indexation Client 2026'!$F$119)</f>
        <v>-0.20899999999999999</v>
      </c>
    </row>
    <row r="120" spans="1:21" x14ac:dyDescent="0.3">
      <c r="A120" s="33" t="s">
        <v>175</v>
      </c>
      <c r="B120" s="30" t="s">
        <v>180</v>
      </c>
      <c r="C120" s="29" t="s">
        <v>179</v>
      </c>
      <c r="D120" s="30">
        <v>206.31</v>
      </c>
      <c r="E120" s="54" t="s">
        <v>99</v>
      </c>
      <c r="F120" s="42">
        <v>0.20899999999999999</v>
      </c>
      <c r="G120" s="30" t="s">
        <v>28</v>
      </c>
      <c r="H120" s="30"/>
      <c r="I120" s="32"/>
      <c r="J120" s="105">
        <f>((('indice Carburant'!D6/'Indexation Client 2026'!$D$120)-1)*'Indexation Client 2026'!$F$120)</f>
        <v>-2.5113227667102885E-2</v>
      </c>
      <c r="K120" s="105">
        <f>((('indice Carburant'!E6/'Indexation Client 2026'!$D$120)-1)*'Indexation Client 2026'!$F$120)</f>
        <v>-1.8893170471620393E-2</v>
      </c>
      <c r="L120" s="105">
        <f>((('indice Carburant'!F6/'Indexation Client 2026'!$D$120)-1)*'Indexation Client 2026'!$F$120)</f>
        <v>-1.3139111046483454E-2</v>
      </c>
      <c r="M120" s="68">
        <f>((('indice Carburant'!G6/'Indexation Client 2026'!$D$120)-1)*'Indexation Client 2026'!$F$120)</f>
        <v>4.2314623624642521E-2</v>
      </c>
      <c r="N120" s="68">
        <f>((('indice Carburant'!H6/'Indexation Client 2026'!$D$120)-1)*'Indexation Client 2026'!$F$120)</f>
        <v>-0.20899999999999999</v>
      </c>
      <c r="O120" s="68">
        <f>((('indice Carburant'!I6/'Indexation Client 2026'!$D$120)-1)*'Indexation Client 2026'!$F$120)</f>
        <v>-0.20899999999999999</v>
      </c>
      <c r="P120" s="68">
        <f>((('indice Carburant'!J6/'Indexation Client 2026'!$D$120)-1)*'Indexation Client 2026'!$F$120)</f>
        <v>-0.20899999999999999</v>
      </c>
      <c r="Q120" s="68">
        <f>((('indice Carburant'!K6/'Indexation Client 2026'!$D$120)-1)*'Indexation Client 2026'!$F$120)</f>
        <v>-0.20899999999999999</v>
      </c>
      <c r="R120" s="68">
        <f>((('indice Carburant'!L6/'Indexation Client 2026'!$D$120)-1)*'Indexation Client 2026'!$F$120)</f>
        <v>-0.20899999999999999</v>
      </c>
      <c r="S120" s="68">
        <f>((('indice Carburant'!M6/'Indexation Client 2026'!$D$120)-1)*'Indexation Client 2026'!$F$120)</f>
        <v>-0.20899999999999999</v>
      </c>
      <c r="T120" s="68">
        <f>((('indice Carburant'!N6/'Indexation Client 2026'!$D$120)-1)*'Indexation Client 2026'!$F$120)</f>
        <v>-0.20899999999999999</v>
      </c>
      <c r="U120" s="68">
        <f>((('indice Carburant'!O6/'Indexation Client 2026'!$D$120)-1)*'Indexation Client 2026'!$F$120)</f>
        <v>-0.20899999999999999</v>
      </c>
    </row>
    <row r="121" spans="1:21" x14ac:dyDescent="0.3">
      <c r="A121" s="33" t="s">
        <v>175</v>
      </c>
      <c r="B121" s="30" t="s">
        <v>181</v>
      </c>
      <c r="C121" s="29" t="s">
        <v>179</v>
      </c>
      <c r="D121" s="30">
        <v>206.31</v>
      </c>
      <c r="E121" s="54" t="s">
        <v>99</v>
      </c>
      <c r="F121" s="42">
        <v>0.20899999999999999</v>
      </c>
      <c r="G121" s="30" t="s">
        <v>28</v>
      </c>
      <c r="H121" s="30"/>
      <c r="I121" s="32"/>
      <c r="J121" s="105">
        <f>((('indice Carburant'!D6/'Indexation Client 2026'!$D$121)-1)*'Indexation Client 2026'!$F$121)</f>
        <v>-2.5113227667102885E-2</v>
      </c>
      <c r="K121" s="105">
        <f>((('indice Carburant'!E6/'Indexation Client 2026'!$D$121)-1)*'Indexation Client 2026'!$F$121)</f>
        <v>-1.8893170471620393E-2</v>
      </c>
      <c r="L121" s="105">
        <f>((('indice Carburant'!F6/'Indexation Client 2026'!$D$121)-1)*'Indexation Client 2026'!$F$121)</f>
        <v>-1.3139111046483454E-2</v>
      </c>
      <c r="M121" s="68">
        <f>((('indice Carburant'!G6/'Indexation Client 2026'!$D$121)-1)*'Indexation Client 2026'!$F$121)</f>
        <v>4.2314623624642521E-2</v>
      </c>
      <c r="N121" s="68">
        <f>((('indice Carburant'!H6/'Indexation Client 2026'!$D$121)-1)*'Indexation Client 2026'!$F$121)</f>
        <v>-0.20899999999999999</v>
      </c>
      <c r="O121" s="68">
        <f>((('indice Carburant'!I6/'Indexation Client 2026'!$D$121)-1)*'Indexation Client 2026'!$F$121)</f>
        <v>-0.20899999999999999</v>
      </c>
      <c r="P121" s="68">
        <f>((('indice Carburant'!J6/'Indexation Client 2026'!$D$121)-1)*'Indexation Client 2026'!$F$121)</f>
        <v>-0.20899999999999999</v>
      </c>
      <c r="Q121" s="68">
        <f>((('indice Carburant'!K6/'Indexation Client 2026'!$D$121)-1)*'Indexation Client 2026'!$F$121)</f>
        <v>-0.20899999999999999</v>
      </c>
      <c r="R121" s="68">
        <f>((('indice Carburant'!L6/'Indexation Client 2026'!$D$121)-1)*'Indexation Client 2026'!$F$121)</f>
        <v>-0.20899999999999999</v>
      </c>
      <c r="S121" s="68">
        <f>((('indice Carburant'!M6/'Indexation Client 2026'!$D$121)-1)*'Indexation Client 2026'!$F$121)</f>
        <v>-0.20899999999999999</v>
      </c>
      <c r="T121" s="68">
        <f>((('indice Carburant'!N6/'Indexation Client 2026'!$D$121)-1)*'Indexation Client 2026'!$F$121)</f>
        <v>-0.20899999999999999</v>
      </c>
      <c r="U121" s="68">
        <f>((('indice Carburant'!O6/'Indexation Client 2026'!$D$121)-1)*'Indexation Client 2026'!$F$121)</f>
        <v>-0.20899999999999999</v>
      </c>
    </row>
    <row r="122" spans="1:21" x14ac:dyDescent="0.3">
      <c r="A122" s="33" t="s">
        <v>175</v>
      </c>
      <c r="B122" s="30" t="s">
        <v>182</v>
      </c>
      <c r="C122" s="29" t="s">
        <v>179</v>
      </c>
      <c r="D122" s="30">
        <v>195.67</v>
      </c>
      <c r="E122" s="54" t="s">
        <v>99</v>
      </c>
      <c r="F122" s="42">
        <v>0.20899999999999999</v>
      </c>
      <c r="G122" s="30" t="s">
        <v>28</v>
      </c>
      <c r="H122" s="30"/>
      <c r="I122" s="32"/>
      <c r="J122" s="105">
        <f>((('indice Carburant'!D6/'Indexation Client 2026'!$D$122)-1)*'Indexation Client 2026'!$F$122)</f>
        <v>-1.5113967394081843E-2</v>
      </c>
      <c r="K122" s="105">
        <f>((('indice Carburant'!E6/'Indexation Client 2026'!$D$122)-1)*'Indexation Client 2026'!$F$122)</f>
        <v>-8.5556804824449134E-3</v>
      </c>
      <c r="L122" s="105">
        <f>((('indice Carburant'!F6/'Indexation Client 2026'!$D$122)-1)*'Indexation Client 2026'!$F$122)</f>
        <v>-2.4887310267286567E-3</v>
      </c>
      <c r="M122" s="68">
        <f>((('indice Carburant'!G6/'Indexation Client 2026'!$D$122)-1)*'Indexation Client 2026'!$F$122)</f>
        <v>5.59804262278326E-2</v>
      </c>
      <c r="N122" s="68">
        <f>((('indice Carburant'!H6/'Indexation Client 2026'!$D$122)-1)*'Indexation Client 2026'!$F$122)</f>
        <v>-0.20899999999999999</v>
      </c>
      <c r="O122" s="68">
        <f>((('indice Carburant'!I6/'Indexation Client 2026'!$D$122)-1)*'Indexation Client 2026'!$F$122)</f>
        <v>-0.20899999999999999</v>
      </c>
      <c r="P122" s="68">
        <f>((('indice Carburant'!J6/'Indexation Client 2026'!$D$122)-1)*'Indexation Client 2026'!$F$122)</f>
        <v>-0.20899999999999999</v>
      </c>
      <c r="Q122" s="68">
        <f>((('indice Carburant'!K6/'Indexation Client 2026'!$D$122)-1)*'Indexation Client 2026'!$F$122)</f>
        <v>-0.20899999999999999</v>
      </c>
      <c r="R122" s="68">
        <f>((('indice Carburant'!L6/'Indexation Client 2026'!$D$122)-1)*'Indexation Client 2026'!$F$122)</f>
        <v>-0.20899999999999999</v>
      </c>
      <c r="S122" s="68">
        <f>((('indice Carburant'!M6/'Indexation Client 2026'!$D$122)-1)*'Indexation Client 2026'!$F$122)</f>
        <v>-0.20899999999999999</v>
      </c>
      <c r="T122" s="68">
        <f>((('indice Carburant'!N6/'Indexation Client 2026'!$D$122)-1)*'Indexation Client 2026'!$F$122)</f>
        <v>-0.20899999999999999</v>
      </c>
      <c r="U122" s="68">
        <f>((('indice Carburant'!O6/'Indexation Client 2026'!$D$122)-1)*'Indexation Client 2026'!$F$122)</f>
        <v>-0.20899999999999999</v>
      </c>
    </row>
    <row r="123" spans="1:21" x14ac:dyDescent="0.3">
      <c r="A123" s="33" t="s">
        <v>175</v>
      </c>
      <c r="B123" s="30" t="s">
        <v>283</v>
      </c>
      <c r="C123" s="29" t="s">
        <v>179</v>
      </c>
      <c r="D123" s="30">
        <v>197.36</v>
      </c>
      <c r="E123" s="54" t="s">
        <v>99</v>
      </c>
      <c r="F123" s="42">
        <v>0.20899999999999999</v>
      </c>
      <c r="G123" s="30" t="s">
        <v>28</v>
      </c>
      <c r="H123" s="30"/>
      <c r="I123" s="32"/>
      <c r="J123" s="105">
        <f>((('indice Carburant'!D6/'Indexation Client 2026'!$D$123)-1)*'Indexation Client 2026'!$F$123)</f>
        <v>-1.6774219700040543E-2</v>
      </c>
      <c r="K123" s="105">
        <f>((('indice Carburant'!E6/'Indexation Client 2026'!$D$123)-1)*'Indexation Client 2026'!$F$123)</f>
        <v>-1.0272091609242001E-2</v>
      </c>
      <c r="L123" s="105">
        <f>((('indice Carburant'!F6/'Indexation Client 2026'!$D$123)-1)*'Indexation Client 2026'!$F$123)</f>
        <v>-4.2570936359951359E-3</v>
      </c>
      <c r="M123" s="68">
        <f>((('indice Carburant'!G6/'Indexation Client 2026'!$D$123)-1)*'Indexation Client 2026'!$F$123)</f>
        <v>5.3711390352655035E-2</v>
      </c>
      <c r="N123" s="68">
        <f>((('indice Carburant'!H6/'Indexation Client 2026'!$D$123)-1)*'Indexation Client 2026'!$F$123)</f>
        <v>-0.20899999999999999</v>
      </c>
      <c r="O123" s="68">
        <f>((('indice Carburant'!I6/'Indexation Client 2026'!$D$123)-1)*'Indexation Client 2026'!$F$123)</f>
        <v>-0.20899999999999999</v>
      </c>
      <c r="P123" s="68">
        <f>((('indice Carburant'!J6/'Indexation Client 2026'!$D$123)-1)*'Indexation Client 2026'!$F$123)</f>
        <v>-0.20899999999999999</v>
      </c>
      <c r="Q123" s="68">
        <f>((('indice Carburant'!K6/'Indexation Client 2026'!$D$123)-1)*'Indexation Client 2026'!$F$123)</f>
        <v>-0.20899999999999999</v>
      </c>
      <c r="R123" s="68">
        <f>((('indice Carburant'!L6/'Indexation Client 2026'!$D$123)-1)*'Indexation Client 2026'!$F$123)</f>
        <v>-0.20899999999999999</v>
      </c>
      <c r="S123" s="68">
        <f>((('indice Carburant'!M6/'Indexation Client 2026'!$D$123)-1)*'Indexation Client 2026'!$F$123)</f>
        <v>-0.20899999999999999</v>
      </c>
      <c r="T123" s="68">
        <f>((('indice Carburant'!N6/'Indexation Client 2026'!$D$123)-1)*'Indexation Client 2026'!$F$123)</f>
        <v>-0.20899999999999999</v>
      </c>
      <c r="U123" s="68">
        <f>((('indice Carburant'!O6/'Indexation Client 2026'!$D$123)-1)*'Indexation Client 2026'!$F$123)</f>
        <v>-0.20899999999999999</v>
      </c>
    </row>
    <row r="124" spans="1:21" x14ac:dyDescent="0.3">
      <c r="A124" s="33" t="s">
        <v>175</v>
      </c>
      <c r="B124" s="30" t="s">
        <v>183</v>
      </c>
      <c r="C124" s="29" t="s">
        <v>179</v>
      </c>
      <c r="D124" s="30">
        <v>206.31</v>
      </c>
      <c r="E124" s="54" t="s">
        <v>99</v>
      </c>
      <c r="F124" s="42">
        <v>0.20899999999999999</v>
      </c>
      <c r="G124" s="30" t="s">
        <v>28</v>
      </c>
      <c r="H124" s="30"/>
      <c r="I124" s="32"/>
      <c r="J124" s="105">
        <f>((('indice Carburant'!D6/'Indexation Client 2026'!$D$124)-1)*'Indexation Client 2026'!$F$124)</f>
        <v>-2.5113227667102885E-2</v>
      </c>
      <c r="K124" s="105">
        <f>((('indice Carburant'!E6/'Indexation Client 2026'!$D$124)-1)*'Indexation Client 2026'!$F$124)</f>
        <v>-1.8893170471620393E-2</v>
      </c>
      <c r="L124" s="105">
        <f>((('indice Carburant'!F6/'Indexation Client 2026'!$D$124)-1)*'Indexation Client 2026'!$F$124)</f>
        <v>-1.3139111046483454E-2</v>
      </c>
      <c r="M124" s="68">
        <f>((('indice Carburant'!G6/'Indexation Client 2026'!$D$124)-1)*'Indexation Client 2026'!$F$124)</f>
        <v>4.2314623624642521E-2</v>
      </c>
      <c r="N124" s="68">
        <f>((('indice Carburant'!H6/'Indexation Client 2026'!$D$124)-1)*'Indexation Client 2026'!$F$124)</f>
        <v>-0.20899999999999999</v>
      </c>
      <c r="O124" s="68">
        <f>((('indice Carburant'!I6/'Indexation Client 2026'!$D$124)-1)*'Indexation Client 2026'!$F$124)</f>
        <v>-0.20899999999999999</v>
      </c>
      <c r="P124" s="68">
        <f>((('indice Carburant'!J6/'Indexation Client 2026'!$D$124)-1)*'Indexation Client 2026'!$F$124)</f>
        <v>-0.20899999999999999</v>
      </c>
      <c r="Q124" s="68">
        <f>((('indice Carburant'!K6/'Indexation Client 2026'!$D$124)-1)*'Indexation Client 2026'!$F$124)</f>
        <v>-0.20899999999999999</v>
      </c>
      <c r="R124" s="68">
        <f>((('indice Carburant'!L6/'Indexation Client 2026'!$D$124)-1)*'Indexation Client 2026'!$F$124)</f>
        <v>-0.20899999999999999</v>
      </c>
      <c r="S124" s="68">
        <f>((('indice Carburant'!M6/'Indexation Client 2026'!$D$124)-1)*'Indexation Client 2026'!$F$124)</f>
        <v>-0.20899999999999999</v>
      </c>
      <c r="T124" s="68">
        <f>((('indice Carburant'!N6/'Indexation Client 2026'!$D$124)-1)*'Indexation Client 2026'!$F$124)</f>
        <v>-0.20899999999999999</v>
      </c>
      <c r="U124" s="68">
        <f>((('indice Carburant'!O6/'Indexation Client 2026'!$D$124)-1)*'Indexation Client 2026'!$F$124)</f>
        <v>-0.20899999999999999</v>
      </c>
    </row>
    <row r="125" spans="1:21" x14ac:dyDescent="0.3">
      <c r="A125" s="33" t="s">
        <v>184</v>
      </c>
      <c r="B125" s="30" t="s">
        <v>185</v>
      </c>
      <c r="C125" s="29" t="s">
        <v>186</v>
      </c>
      <c r="D125" s="30">
        <v>1.06</v>
      </c>
      <c r="E125" s="54" t="s">
        <v>99</v>
      </c>
      <c r="F125" s="34">
        <v>0.25</v>
      </c>
      <c r="G125" s="30" t="s">
        <v>28</v>
      </c>
      <c r="H125" s="30"/>
      <c r="I125" s="32"/>
      <c r="J125" s="105">
        <f>((('indice Carburant'!D8/'Indexation Client 2026'!$D$125)-1)*'Indexation Client 2026'!$F$125)</f>
        <v>4.9221698113207535E-2</v>
      </c>
      <c r="K125" s="105">
        <f>((('indice Carburant'!E8/'Indexation Client 2026'!$D$125)-1)*'Indexation Client 2026'!$F$125)</f>
        <v>6.1745283018867947E-2</v>
      </c>
      <c r="L125" s="105">
        <f>((('indice Carburant'!F8/'Indexation Client 2026'!$D$125)-1)*'Indexation Client 2026'!$F$125)</f>
        <v>6.9504716981132086E-2</v>
      </c>
      <c r="M125" s="68">
        <f>((('indice Carburant'!G8/'Indexation Client 2026'!$D$125)-1)*'Indexation Client 2026'!$F$125)</f>
        <v>0.16450471698113206</v>
      </c>
      <c r="N125" s="68">
        <f>((('indice Carburant'!H8/'Indexation Client 2026'!$D$125)-1)*'Indexation Client 2026'!$F$125)</f>
        <v>-0.25</v>
      </c>
      <c r="O125" s="68">
        <f>((('indice Carburant'!I8/'Indexation Client 2026'!$D$125)-1)*'Indexation Client 2026'!$F$125)</f>
        <v>-0.25</v>
      </c>
      <c r="P125" s="68">
        <f>((('indice Carburant'!J8/'Indexation Client 2026'!$D$125)-1)*'Indexation Client 2026'!$F$125)</f>
        <v>-0.25</v>
      </c>
      <c r="Q125" s="68">
        <f>((('indice Carburant'!K8/'Indexation Client 2026'!$D$125)-1)*'Indexation Client 2026'!$F$125)</f>
        <v>-0.25</v>
      </c>
      <c r="R125" s="68">
        <f>((('indice Carburant'!L8/'Indexation Client 2026'!$D$125)-1)*'Indexation Client 2026'!$F$125)</f>
        <v>-0.25</v>
      </c>
      <c r="S125" s="68">
        <f>((('indice Carburant'!M8/'Indexation Client 2026'!$D$125)-1)*'Indexation Client 2026'!$F$125)</f>
        <v>-0.25</v>
      </c>
      <c r="T125" s="68">
        <f>((('indice Carburant'!N8/'Indexation Client 2026'!$D$125)-1)*'Indexation Client 2026'!$F$125)</f>
        <v>-0.25</v>
      </c>
      <c r="U125" s="68">
        <f>((('indice Carburant'!O8/'Indexation Client 2026'!$D$125)-1)*'Indexation Client 2026'!$F$125)</f>
        <v>-0.25</v>
      </c>
    </row>
    <row r="126" spans="1:21" x14ac:dyDescent="0.3">
      <c r="A126" s="33" t="s">
        <v>184</v>
      </c>
      <c r="B126" s="30" t="s">
        <v>187</v>
      </c>
      <c r="C126" s="29" t="s">
        <v>188</v>
      </c>
      <c r="D126" s="30">
        <v>1.06</v>
      </c>
      <c r="E126" s="54" t="s">
        <v>99</v>
      </c>
      <c r="F126" s="34">
        <v>0.25</v>
      </c>
      <c r="G126" s="30" t="s">
        <v>28</v>
      </c>
      <c r="H126" s="30"/>
      <c r="I126" s="32"/>
      <c r="J126" s="105">
        <f>((('indice Carburant'!D8/'Indexation Client 2026'!$D$126)-1)*'Indexation Client 2026'!$F$126)</f>
        <v>4.9221698113207535E-2</v>
      </c>
      <c r="K126" s="105">
        <f>((('indice Carburant'!E8/'Indexation Client 2026'!$D$126)-1)*'Indexation Client 2026'!$F$126)</f>
        <v>6.1745283018867947E-2</v>
      </c>
      <c r="L126" s="105">
        <f>((('indice Carburant'!F8/'Indexation Client 2026'!$D$126)-1)*'Indexation Client 2026'!$F$126)</f>
        <v>6.9504716981132086E-2</v>
      </c>
      <c r="M126" s="68">
        <f>((('indice Carburant'!G8/'Indexation Client 2026'!$D$126)-1)*'Indexation Client 2026'!$F$126)</f>
        <v>0.16450471698113206</v>
      </c>
      <c r="N126" s="68">
        <f>((('indice Carburant'!H8/'Indexation Client 2026'!$D$126)-1)*'Indexation Client 2026'!$F$126)</f>
        <v>-0.25</v>
      </c>
      <c r="O126" s="68">
        <f>((('indice Carburant'!I8/'Indexation Client 2026'!$D$126)-1)*'Indexation Client 2026'!$F$126)</f>
        <v>-0.25</v>
      </c>
      <c r="P126" s="68">
        <f>((('indice Carburant'!J8/'Indexation Client 2026'!$D$126)-1)*'Indexation Client 2026'!$F$126)</f>
        <v>-0.25</v>
      </c>
      <c r="Q126" s="68">
        <f>((('indice Carburant'!K8/'Indexation Client 2026'!$D$126)-1)*'Indexation Client 2026'!$F$126)</f>
        <v>-0.25</v>
      </c>
      <c r="R126" s="68">
        <f>((('indice Carburant'!L8/'Indexation Client 2026'!$D$126)-1)*'Indexation Client 2026'!$F$126)</f>
        <v>-0.25</v>
      </c>
      <c r="S126" s="68">
        <f>((('indice Carburant'!M8/'Indexation Client 2026'!$D$126)-1)*'Indexation Client 2026'!$F$126)</f>
        <v>-0.25</v>
      </c>
      <c r="T126" s="68">
        <f>((('indice Carburant'!N8/'Indexation Client 2026'!$D$126)-1)*'Indexation Client 2026'!$F$126)</f>
        <v>-0.25</v>
      </c>
      <c r="U126" s="68">
        <f>((('indice Carburant'!O8/'Indexation Client 2026'!$D$126)-1)*'Indexation Client 2026'!$F$126)</f>
        <v>-0.25</v>
      </c>
    </row>
    <row r="127" spans="1:21" x14ac:dyDescent="0.3">
      <c r="A127" s="33" t="s">
        <v>189</v>
      </c>
      <c r="B127" s="30" t="s">
        <v>190</v>
      </c>
      <c r="C127" s="29" t="s">
        <v>258</v>
      </c>
      <c r="D127" s="30">
        <v>1.4597</v>
      </c>
      <c r="E127" s="103" t="s">
        <v>39</v>
      </c>
      <c r="F127" s="42">
        <v>0.23499999999999999</v>
      </c>
      <c r="G127" s="30" t="s">
        <v>28</v>
      </c>
      <c r="H127" s="30"/>
      <c r="I127" s="32"/>
      <c r="J127" s="105">
        <f>((('indice Carburant'!D10/'Indexation Client 2026'!$D$127)-1)*'Indexation Client 2026'!$F$127)</f>
        <v>-1.9528327738576406E-2</v>
      </c>
      <c r="K127" s="105">
        <f>((('indice Carburant'!E10/'Indexation Client 2026'!$D$127)-1)*'Indexation Client 2026'!$F$127)</f>
        <v>-1.5728916900732998E-2</v>
      </c>
      <c r="L127" s="105">
        <f>((('indice Carburant'!F10/'Indexation Client 2026'!$D$127)-1)*'Indexation Client 2026'!$F$127)</f>
        <v>-1.062547098718915E-2</v>
      </c>
      <c r="M127" s="68">
        <f>((('indice Carburant'!G10/'Indexation Client 2026'!$D$127)-1)*'Indexation Client 2026'!$F$127)</f>
        <v>4.2292594368705874E-2</v>
      </c>
      <c r="N127" s="68">
        <f>((('indice Carburant'!H10/'Indexation Client 2026'!$D$127)-1)*'Indexation Client 2026'!$F$127)</f>
        <v>-0.23499999999999999</v>
      </c>
      <c r="O127" s="68">
        <f>((('indice Carburant'!I10/'Indexation Client 2026'!$D$127)-1)*'Indexation Client 2026'!$F$127)</f>
        <v>-0.23499999999999999</v>
      </c>
      <c r="P127" s="68">
        <f>((('indice Carburant'!J10/'Indexation Client 2026'!$D$127)-1)*'Indexation Client 2026'!$F$127)</f>
        <v>-0.23499999999999999</v>
      </c>
      <c r="Q127" s="68">
        <f>((('indice Carburant'!K10/'Indexation Client 2026'!$D$127)-1)*'Indexation Client 2026'!$F$127)</f>
        <v>-0.23499999999999999</v>
      </c>
      <c r="R127" s="68">
        <f>((('indice Carburant'!L10/'Indexation Client 2026'!$D$127)-1)*'Indexation Client 2026'!$F$127)</f>
        <v>-0.23499999999999999</v>
      </c>
      <c r="S127" s="68">
        <f>((('indice Carburant'!M10/'Indexation Client 2026'!$D$127)-1)*'Indexation Client 2026'!$F$127)</f>
        <v>-0.23499999999999999</v>
      </c>
      <c r="T127" s="68">
        <f>((('indice Carburant'!N10/'Indexation Client 2026'!$D$127)-1)*'Indexation Client 2026'!$F$127)</f>
        <v>-0.23499999999999999</v>
      </c>
      <c r="U127" s="68">
        <f>((('indice Carburant'!O10/'Indexation Client 2026'!$D$127)-1)*'Indexation Client 2026'!$F$127)</f>
        <v>-0.23499999999999999</v>
      </c>
    </row>
    <row r="128" spans="1:21" x14ac:dyDescent="0.3">
      <c r="A128" s="33" t="s">
        <v>191</v>
      </c>
      <c r="B128" s="30" t="s">
        <v>192</v>
      </c>
      <c r="C128" s="29" t="s">
        <v>193</v>
      </c>
      <c r="D128" s="30">
        <v>1.0631999999999999</v>
      </c>
      <c r="E128" s="54" t="s">
        <v>99</v>
      </c>
      <c r="F128" s="42">
        <v>0.23499999999999999</v>
      </c>
      <c r="G128" s="30" t="s">
        <v>28</v>
      </c>
      <c r="H128" s="30"/>
      <c r="I128" s="32"/>
      <c r="J128" s="105">
        <f>((('indice Carburant'!D8/'Indexation Client 2026'!$D$128)-1)*'Indexation Client 2026'!$F$128)</f>
        <v>4.5421839729119617E-2</v>
      </c>
      <c r="K128" s="105">
        <f>((('indice Carburant'!E8/'Indexation Client 2026'!$D$128)-1)*'Indexation Client 2026'!$F$128)</f>
        <v>5.7158577878103856E-2</v>
      </c>
      <c r="L128" s="105">
        <f>((('indice Carburant'!F8/'Indexation Client 2026'!$D$128)-1)*'Indexation Client 2026'!$F$128)</f>
        <v>6.4430492851768287E-2</v>
      </c>
      <c r="M128" s="68">
        <f>((('indice Carburant'!G8/'Indexation Client 2026'!$D$128)-1)*'Indexation Client 2026'!$F$128)</f>
        <v>0.15346171933784805</v>
      </c>
      <c r="N128" s="68">
        <f>((('indice Carburant'!H8/'Indexation Client 2026'!$D$128)-1)*'Indexation Client 2026'!$F$128)</f>
        <v>-0.23499999999999999</v>
      </c>
      <c r="O128" s="68">
        <f>((('indice Carburant'!I8/'Indexation Client 2026'!$D$128)-1)*'Indexation Client 2026'!$F$128)</f>
        <v>-0.23499999999999999</v>
      </c>
      <c r="P128" s="68">
        <f>((('indice Carburant'!J8/'Indexation Client 2026'!$D$128)-1)*'Indexation Client 2026'!$F$128)</f>
        <v>-0.23499999999999999</v>
      </c>
      <c r="Q128" s="68">
        <f>((('indice Carburant'!K8/'Indexation Client 2026'!$D$128)-1)*'Indexation Client 2026'!$F$128)</f>
        <v>-0.23499999999999999</v>
      </c>
      <c r="R128" s="68">
        <f>((('indice Carburant'!L8/'Indexation Client 2026'!$D$128)-1)*'Indexation Client 2026'!$F$128)</f>
        <v>-0.23499999999999999</v>
      </c>
      <c r="S128" s="68">
        <f>((('indice Carburant'!M8/'Indexation Client 2026'!$D$128)-1)*'Indexation Client 2026'!$F$128)</f>
        <v>-0.23499999999999999</v>
      </c>
      <c r="T128" s="68">
        <f>((('indice Carburant'!N8/'Indexation Client 2026'!$D$128)-1)*'Indexation Client 2026'!$F$128)</f>
        <v>-0.23499999999999999</v>
      </c>
      <c r="U128" s="68">
        <f>((('indice Carburant'!O8/'Indexation Client 2026'!$D$128)-1)*'Indexation Client 2026'!$F$128)</f>
        <v>-0.23499999999999999</v>
      </c>
    </row>
    <row r="129" spans="1:21" x14ac:dyDescent="0.3">
      <c r="A129" s="33" t="s">
        <v>191</v>
      </c>
      <c r="B129" s="30" t="s">
        <v>194</v>
      </c>
      <c r="C129" s="29" t="s">
        <v>193</v>
      </c>
      <c r="D129" s="30">
        <v>1.0631999999999999</v>
      </c>
      <c r="E129" s="54" t="s">
        <v>99</v>
      </c>
      <c r="F129" s="42">
        <v>0.23499999999999999</v>
      </c>
      <c r="G129" s="30" t="s">
        <v>28</v>
      </c>
      <c r="H129" s="30"/>
      <c r="I129" s="32"/>
      <c r="J129" s="105">
        <f>((('indice Carburant'!D8/'Indexation Client 2026'!$D$129)-1)*'Indexation Client 2026'!$F$129)</f>
        <v>4.5421839729119617E-2</v>
      </c>
      <c r="K129" s="105">
        <f>((('indice Carburant'!E8/'Indexation Client 2026'!$D$129)-1)*'Indexation Client 2026'!$F$129)</f>
        <v>5.7158577878103856E-2</v>
      </c>
      <c r="L129" s="105">
        <f>((('indice Carburant'!F8/'Indexation Client 2026'!$D$129)-1)*'Indexation Client 2026'!$F$129)</f>
        <v>6.4430492851768287E-2</v>
      </c>
      <c r="M129" s="68">
        <f>((('indice Carburant'!G8/'Indexation Client 2026'!$D$129)-1)*'Indexation Client 2026'!$F$129)</f>
        <v>0.15346171933784805</v>
      </c>
      <c r="N129" s="68">
        <f>((('indice Carburant'!H8/'Indexation Client 2026'!$D$129)-1)*'Indexation Client 2026'!$F$129)</f>
        <v>-0.23499999999999999</v>
      </c>
      <c r="O129" s="68">
        <f>((('indice Carburant'!I8/'Indexation Client 2026'!$D$129)-1)*'Indexation Client 2026'!$F$129)</f>
        <v>-0.23499999999999999</v>
      </c>
      <c r="P129" s="68">
        <f>((('indice Carburant'!J8/'Indexation Client 2026'!$D$129)-1)*'Indexation Client 2026'!$F$129)</f>
        <v>-0.23499999999999999</v>
      </c>
      <c r="Q129" s="68">
        <f>((('indice Carburant'!K8/'Indexation Client 2026'!$D$129)-1)*'Indexation Client 2026'!$F$129)</f>
        <v>-0.23499999999999999</v>
      </c>
      <c r="R129" s="68">
        <f>((('indice Carburant'!L8/'Indexation Client 2026'!$D$129)-1)*'Indexation Client 2026'!$F$129)</f>
        <v>-0.23499999999999999</v>
      </c>
      <c r="S129" s="68">
        <f>((('indice Carburant'!M8/'Indexation Client 2026'!$D$129)-1)*'Indexation Client 2026'!$F$129)</f>
        <v>-0.23499999999999999</v>
      </c>
      <c r="T129" s="68">
        <f>((('indice Carburant'!N8/'Indexation Client 2026'!$D$129)-1)*'Indexation Client 2026'!$F$129)</f>
        <v>-0.23499999999999999</v>
      </c>
      <c r="U129" s="68">
        <f>((('indice Carburant'!O8/'Indexation Client 2026'!$D$129)-1)*'Indexation Client 2026'!$F$129)</f>
        <v>-0.23499999999999999</v>
      </c>
    </row>
    <row r="130" spans="1:21" x14ac:dyDescent="0.3">
      <c r="A130" s="33" t="s">
        <v>191</v>
      </c>
      <c r="B130" s="30" t="s">
        <v>195</v>
      </c>
      <c r="C130" s="29" t="s">
        <v>193</v>
      </c>
      <c r="D130" s="30">
        <v>1.0631999999999999</v>
      </c>
      <c r="E130" s="54" t="s">
        <v>99</v>
      </c>
      <c r="F130" s="42">
        <v>0.23499999999999999</v>
      </c>
      <c r="G130" s="30" t="s">
        <v>28</v>
      </c>
      <c r="H130" s="30"/>
      <c r="I130" s="32"/>
      <c r="J130" s="105">
        <f>((('indice Carburant'!D8/'Indexation Client 2026'!$D$130)-1)*'Indexation Client 2026'!$F$130)</f>
        <v>4.5421839729119617E-2</v>
      </c>
      <c r="K130" s="105">
        <f>((('indice Carburant'!E8/'Indexation Client 2026'!$D$130)-1)*'Indexation Client 2026'!$F$130)</f>
        <v>5.7158577878103856E-2</v>
      </c>
      <c r="L130" s="105">
        <f>((('indice Carburant'!F8/'Indexation Client 2026'!$D$130)-1)*'Indexation Client 2026'!$F$130)</f>
        <v>6.4430492851768287E-2</v>
      </c>
      <c r="M130" s="68">
        <f>((('indice Carburant'!G8/'Indexation Client 2026'!$D$130)-1)*'Indexation Client 2026'!$F$130)</f>
        <v>0.15346171933784805</v>
      </c>
      <c r="N130" s="68">
        <f>((('indice Carburant'!H8/'Indexation Client 2026'!$D$130)-1)*'Indexation Client 2026'!$F$130)</f>
        <v>-0.23499999999999999</v>
      </c>
      <c r="O130" s="68">
        <f>((('indice Carburant'!I8/'Indexation Client 2026'!$D$130)-1)*'Indexation Client 2026'!$F$130)</f>
        <v>-0.23499999999999999</v>
      </c>
      <c r="P130" s="68">
        <f>((('indice Carburant'!J8/'Indexation Client 2026'!$D$130)-1)*'Indexation Client 2026'!$F$130)</f>
        <v>-0.23499999999999999</v>
      </c>
      <c r="Q130" s="68">
        <f>((('indice Carburant'!K8/'Indexation Client 2026'!$D$130)-1)*'Indexation Client 2026'!$F$130)</f>
        <v>-0.23499999999999999</v>
      </c>
      <c r="R130" s="68">
        <f>((('indice Carburant'!L8/'Indexation Client 2026'!$D$130)-1)*'Indexation Client 2026'!$F$130)</f>
        <v>-0.23499999999999999</v>
      </c>
      <c r="S130" s="68">
        <f>((('indice Carburant'!M8/'Indexation Client 2026'!$D$130)-1)*'Indexation Client 2026'!$F$130)</f>
        <v>-0.23499999999999999</v>
      </c>
      <c r="T130" s="68">
        <f>((('indice Carburant'!N8/'Indexation Client 2026'!$D$130)-1)*'Indexation Client 2026'!$F$130)</f>
        <v>-0.23499999999999999</v>
      </c>
      <c r="U130" s="68">
        <f>((('indice Carburant'!O8/'Indexation Client 2026'!$D$130)-1)*'Indexation Client 2026'!$F$130)</f>
        <v>-0.23499999999999999</v>
      </c>
    </row>
    <row r="131" spans="1:21" x14ac:dyDescent="0.3">
      <c r="A131" s="33" t="s">
        <v>196</v>
      </c>
      <c r="B131" s="30" t="s">
        <v>197</v>
      </c>
      <c r="C131" s="29" t="s">
        <v>196</v>
      </c>
      <c r="D131" s="30">
        <v>243.19</v>
      </c>
      <c r="E131" s="54" t="s">
        <v>269</v>
      </c>
      <c r="F131" s="69">
        <v>0.23499999999999999</v>
      </c>
      <c r="G131" s="30" t="s">
        <v>28</v>
      </c>
      <c r="H131" s="30"/>
      <c r="I131" s="32"/>
      <c r="J131" s="115">
        <f>((('indice Carburant'!E6/'Indexation Client 2026'!$D$131)-1)*'Indexation Client 2026'!$F$131)</f>
        <v>-5.3659895554915897E-2</v>
      </c>
      <c r="K131" s="115">
        <f>((('indice Carburant'!F6/'Indexation Client 2026'!$D$131)-1)*'Indexation Client 2026'!$F$131)</f>
        <v>-4.8171183025617827E-2</v>
      </c>
      <c r="L131" s="115">
        <f>((('indice Carburant'!G6/'Indexation Client 2026'!$D$131)-1)*'Indexation Client 2026'!$F$131)</f>
        <v>4.7253176528640481E-3</v>
      </c>
      <c r="M131" s="93">
        <f>((('indice Carburant'!H6/'Indexation Client 2026'!$D$131)-1)*'Indexation Client 2026'!$F$131)</f>
        <v>-0.23499999999999999</v>
      </c>
      <c r="N131" s="93">
        <f>((('indice Carburant'!I6/'Indexation Client 2026'!$D$131)-1)*'Indexation Client 2026'!$F$131)</f>
        <v>-0.23499999999999999</v>
      </c>
      <c r="O131" s="93">
        <f>((('indice Carburant'!J6/'Indexation Client 2026'!$D$131)-1)*'Indexation Client 2026'!$F$131)</f>
        <v>-0.23499999999999999</v>
      </c>
      <c r="P131" s="93">
        <f>((('indice Carburant'!K6/'Indexation Client 2026'!$D$131)-1)*'Indexation Client 2026'!$F$131)</f>
        <v>-0.23499999999999999</v>
      </c>
      <c r="Q131" s="93">
        <f>((('indice Carburant'!L6/'Indexation Client 2026'!$D$131)-1)*'Indexation Client 2026'!$F$131)</f>
        <v>-0.23499999999999999</v>
      </c>
      <c r="R131" s="93">
        <f>((('indice Carburant'!M6/'Indexation Client 2026'!$D$131)-1)*'Indexation Client 2026'!$F$131)</f>
        <v>-0.23499999999999999</v>
      </c>
      <c r="S131" s="93">
        <f>((('indice Carburant'!N6/'Indexation Client 2026'!$D$131)-1)*'Indexation Client 2026'!$F$131)</f>
        <v>-0.23499999999999999</v>
      </c>
      <c r="T131" s="93">
        <f>((('indice Carburant'!O6/'Indexation Client 2026'!$D$131)-1)*'Indexation Client 2026'!$F$131)</f>
        <v>-0.23499999999999999</v>
      </c>
      <c r="U131" s="93">
        <f>((('indice Carburant'!P6/'Indexation Client 2026'!$D$131)-1)*'Indexation Client 2026'!$F$131)</f>
        <v>-0.23499999999999999</v>
      </c>
    </row>
    <row r="132" spans="1:21" x14ac:dyDescent="0.3">
      <c r="A132" s="33" t="s">
        <v>196</v>
      </c>
      <c r="B132" s="30" t="s">
        <v>198</v>
      </c>
      <c r="C132" s="29" t="s">
        <v>196</v>
      </c>
      <c r="D132" s="30">
        <v>218.8</v>
      </c>
      <c r="E132" s="54" t="s">
        <v>269</v>
      </c>
      <c r="F132" s="42">
        <v>0.25</v>
      </c>
      <c r="G132" s="30" t="s">
        <v>28</v>
      </c>
      <c r="H132" s="30"/>
      <c r="I132" s="32"/>
      <c r="J132" s="115">
        <f>((('indice Carburant'!E6/'Indexation Client 2026'!$D$132)-1)*'Indexation Client 2026'!$F$132)</f>
        <v>-3.5580438756855598E-2</v>
      </c>
      <c r="K132" s="115">
        <f>((('indice Carburant'!F6/'Indexation Client 2026'!$D$132)-1)*'Indexation Client 2026'!$F$132)</f>
        <v>-2.9090493601462541E-2</v>
      </c>
      <c r="L132" s="115">
        <f>((('indice Carburant'!G6/'Indexation Client 2026'!$D$132)-1)*'Indexation Client 2026'!$F$132)</f>
        <v>3.345521023765996E-2</v>
      </c>
      <c r="M132" s="93">
        <f>((('indice Carburant'!H6/'Indexation Client 2026'!$D$132)-1)*'Indexation Client 2026'!$F$132)</f>
        <v>-0.25</v>
      </c>
      <c r="N132" s="93">
        <f>((('indice Carburant'!I6/'Indexation Client 2026'!$D$132)-1)*'Indexation Client 2026'!$F$132)</f>
        <v>-0.25</v>
      </c>
      <c r="O132" s="93">
        <f>((('indice Carburant'!J6/'Indexation Client 2026'!$D$132)-1)*'Indexation Client 2026'!$F$132)</f>
        <v>-0.25</v>
      </c>
      <c r="P132" s="93">
        <f>((('indice Carburant'!K6/'Indexation Client 2026'!$D$132)-1)*'Indexation Client 2026'!$F$132)</f>
        <v>-0.25</v>
      </c>
      <c r="Q132" s="93">
        <f>((('indice Carburant'!L6/'Indexation Client 2026'!$D$132)-1)*'Indexation Client 2026'!$F$132)</f>
        <v>-0.25</v>
      </c>
      <c r="R132" s="93">
        <f>((('indice Carburant'!M6/'Indexation Client 2026'!$D$132)-1)*'Indexation Client 2026'!$F$132)</f>
        <v>-0.25</v>
      </c>
      <c r="S132" s="93">
        <f>((('indice Carburant'!N6/'Indexation Client 2026'!$D$132)-1)*'Indexation Client 2026'!$F$132)</f>
        <v>-0.25</v>
      </c>
      <c r="T132" s="93">
        <f>((('indice Carburant'!O6/'Indexation Client 2026'!$D$132)-1)*'Indexation Client 2026'!$F$132)</f>
        <v>-0.25</v>
      </c>
      <c r="U132" s="93">
        <f>((('indice Carburant'!P6/'Indexation Client 2026'!$D$132)-1)*'Indexation Client 2026'!$F$132)</f>
        <v>-0.25</v>
      </c>
    </row>
    <row r="133" spans="1:21" x14ac:dyDescent="0.3">
      <c r="A133" s="33" t="s">
        <v>199</v>
      </c>
      <c r="B133" s="54" t="s">
        <v>200</v>
      </c>
      <c r="C133" s="29" t="s">
        <v>199</v>
      </c>
      <c r="D133" s="53">
        <v>163.09</v>
      </c>
      <c r="E133" s="30" t="s">
        <v>284</v>
      </c>
      <c r="F133" s="42">
        <v>0.192</v>
      </c>
      <c r="G133" s="30" t="s">
        <v>28</v>
      </c>
      <c r="H133" s="30"/>
      <c r="I133" s="32"/>
      <c r="J133" s="105">
        <f>((('indice Carburant'!E7/'Indexation Client 2026'!$D$133)-1)*'Indexation Client 2026'!$F$133)</f>
        <v>3.8932123367465793E-2</v>
      </c>
      <c r="K133" s="105">
        <f>((('indice Carburant'!F7/'Indexation Client 2026'!$D$133)-1)*'Indexation Client 2026'!$F$133)</f>
        <v>4.5112759825862998E-2</v>
      </c>
      <c r="L133" s="105">
        <f>((('indice Carburant'!G7/'Indexation Client 2026'!$D$133)-1)*'Indexation Client 2026'!$F$133)</f>
        <v>0.10459991415782698</v>
      </c>
      <c r="M133" s="68">
        <f>((('indice Carburant'!H7/'Indexation Client 2026'!$D$133)-1)*'Indexation Client 2026'!$F$133)</f>
        <v>-0.192</v>
      </c>
      <c r="N133" s="68">
        <f>((('indice Carburant'!I7/'Indexation Client 2026'!$D$133)-1)*'Indexation Client 2026'!$F$133)</f>
        <v>-0.192</v>
      </c>
      <c r="O133" s="68">
        <f>((('indice Carburant'!J7/'Indexation Client 2026'!$D$133)-1)*'Indexation Client 2026'!$F$133)</f>
        <v>-0.192</v>
      </c>
      <c r="P133" s="68">
        <f>((('indice Carburant'!K7/'Indexation Client 2026'!$D$133)-1)*'Indexation Client 2026'!$F$133)</f>
        <v>-0.192</v>
      </c>
      <c r="Q133" s="68">
        <f>((('indice Carburant'!L7/'Indexation Client 2026'!$D$133)-1)*'Indexation Client 2026'!$F$133)</f>
        <v>-0.192</v>
      </c>
      <c r="R133" s="68">
        <f>((('indice Carburant'!M7/'Indexation Client 2026'!$D$133)-1)*'Indexation Client 2026'!$F$133)</f>
        <v>-0.192</v>
      </c>
      <c r="S133" s="68">
        <f>((('indice Carburant'!N7/'Indexation Client 2026'!$D$133)-1)*'Indexation Client 2026'!$F$133)</f>
        <v>-0.192</v>
      </c>
      <c r="T133" s="68">
        <f>((('indice Carburant'!O7/'Indexation Client 2026'!$D$133)-1)*'Indexation Client 2026'!$F$133)</f>
        <v>-0.192</v>
      </c>
      <c r="U133" s="68">
        <f>((('indice Carburant'!P7/'Indexation Client 2026'!$D$133)-1)*'Indexation Client 2026'!$F$133)</f>
        <v>-0.192</v>
      </c>
    </row>
    <row r="134" spans="1:21" x14ac:dyDescent="0.3">
      <c r="A134" s="33" t="s">
        <v>199</v>
      </c>
      <c r="B134" s="54" t="s">
        <v>201</v>
      </c>
      <c r="C134" s="29" t="s">
        <v>199</v>
      </c>
      <c r="D134" s="53">
        <v>220.2</v>
      </c>
      <c r="E134" s="30" t="s">
        <v>284</v>
      </c>
      <c r="F134" s="42">
        <v>0.192</v>
      </c>
      <c r="G134" s="30" t="s">
        <v>28</v>
      </c>
      <c r="H134" s="30"/>
      <c r="I134" s="32"/>
      <c r="J134" s="105">
        <f>((('indice Carburant'!E7/'Indexation Client 2026'!$D$134)-1)*'Indexation Client 2026'!$F$134)</f>
        <v>-2.0961307901907346E-2</v>
      </c>
      <c r="K134" s="105">
        <f>((('indice Carburant'!F7/'Indexation Client 2026'!$D$134)-1)*'Indexation Client 2026'!$F$134)</f>
        <v>-1.6383651226158029E-2</v>
      </c>
      <c r="L134" s="105">
        <f>((('indice Carburant'!G7/'Indexation Client 2026'!$D$134)-1)*'Indexation Client 2026'!$F$134)</f>
        <v>2.7675204359673019E-2</v>
      </c>
      <c r="M134" s="68">
        <f>((('indice Carburant'!H7/'Indexation Client 2026'!$D$134)-1)*'Indexation Client 2026'!$F$134)</f>
        <v>-0.192</v>
      </c>
      <c r="N134" s="68">
        <f>((('indice Carburant'!I7/'Indexation Client 2026'!$D$134)-1)*'Indexation Client 2026'!$F$134)</f>
        <v>-0.192</v>
      </c>
      <c r="O134" s="68">
        <f>((('indice Carburant'!J7/'Indexation Client 2026'!$D$134)-1)*'Indexation Client 2026'!$F$134)</f>
        <v>-0.192</v>
      </c>
      <c r="P134" s="68">
        <f>((('indice Carburant'!K7/'Indexation Client 2026'!$D$134)-1)*'Indexation Client 2026'!$F$134)</f>
        <v>-0.192</v>
      </c>
      <c r="Q134" s="68">
        <f>((('indice Carburant'!L7/'Indexation Client 2026'!$D$134)-1)*'Indexation Client 2026'!$F$134)</f>
        <v>-0.192</v>
      </c>
      <c r="R134" s="68">
        <f>((('indice Carburant'!M7/'Indexation Client 2026'!$D$134)-1)*'Indexation Client 2026'!$F$134)</f>
        <v>-0.192</v>
      </c>
      <c r="S134" s="68">
        <f>((('indice Carburant'!N7/'Indexation Client 2026'!$D$134)-1)*'Indexation Client 2026'!$F$134)</f>
        <v>-0.192</v>
      </c>
      <c r="T134" s="68">
        <f>((('indice Carburant'!O7/'Indexation Client 2026'!$D$134)-1)*'Indexation Client 2026'!$F$134)</f>
        <v>-0.192</v>
      </c>
      <c r="U134" s="68">
        <f>((('indice Carburant'!P7/'Indexation Client 2026'!$D$134)-1)*'Indexation Client 2026'!$F$134)</f>
        <v>-0.192</v>
      </c>
    </row>
    <row r="135" spans="1:21" x14ac:dyDescent="0.3">
      <c r="A135" s="33" t="s">
        <v>199</v>
      </c>
      <c r="B135" s="54" t="s">
        <v>202</v>
      </c>
      <c r="C135" s="29" t="s">
        <v>199</v>
      </c>
      <c r="D135" s="53">
        <v>220.2</v>
      </c>
      <c r="E135" s="30" t="s">
        <v>284</v>
      </c>
      <c r="F135" s="42">
        <v>0.192</v>
      </c>
      <c r="G135" s="30" t="s">
        <v>28</v>
      </c>
      <c r="H135" s="30"/>
      <c r="I135" s="32"/>
      <c r="J135" s="105">
        <f>((('indice Carburant'!E7/'Indexation Client 2026'!$D$135)-1)*'Indexation Client 2026'!$F$135)</f>
        <v>-2.0961307901907346E-2</v>
      </c>
      <c r="K135" s="105">
        <f>((('indice Carburant'!F7/'Indexation Client 2026'!$D$135)-1)*'Indexation Client 2026'!$F$135)</f>
        <v>-1.6383651226158029E-2</v>
      </c>
      <c r="L135" s="105">
        <f>((('indice Carburant'!G7/'Indexation Client 2026'!$D$135)-1)*'Indexation Client 2026'!$F$135)</f>
        <v>2.7675204359673019E-2</v>
      </c>
      <c r="M135" s="68">
        <f>((('indice Carburant'!H7/'Indexation Client 2026'!$D$135)-1)*'Indexation Client 2026'!$F$135)</f>
        <v>-0.192</v>
      </c>
      <c r="N135" s="68">
        <f>((('indice Carburant'!I7/'Indexation Client 2026'!$D$135)-1)*'Indexation Client 2026'!$F$135)</f>
        <v>-0.192</v>
      </c>
      <c r="O135" s="68">
        <f>((('indice Carburant'!J7/'Indexation Client 2026'!$D$135)-1)*'Indexation Client 2026'!$F$135)</f>
        <v>-0.192</v>
      </c>
      <c r="P135" s="68">
        <f>((('indice Carburant'!K7/'Indexation Client 2026'!$D$135)-1)*'Indexation Client 2026'!$F$135)</f>
        <v>-0.192</v>
      </c>
      <c r="Q135" s="68">
        <f>((('indice Carburant'!L7/'Indexation Client 2026'!$D$135)-1)*'Indexation Client 2026'!$F$135)</f>
        <v>-0.192</v>
      </c>
      <c r="R135" s="68">
        <f>((('indice Carburant'!M7/'Indexation Client 2026'!$D$135)-1)*'Indexation Client 2026'!$F$135)</f>
        <v>-0.192</v>
      </c>
      <c r="S135" s="68">
        <f>((('indice Carburant'!N7/'Indexation Client 2026'!$D$135)-1)*'Indexation Client 2026'!$F$135)</f>
        <v>-0.192</v>
      </c>
      <c r="T135" s="68">
        <f>((('indice Carburant'!O7/'Indexation Client 2026'!$D$135)-1)*'Indexation Client 2026'!$F$135)</f>
        <v>-0.192</v>
      </c>
      <c r="U135" s="68">
        <f>((('indice Carburant'!P7/'Indexation Client 2026'!$D$135)-1)*'Indexation Client 2026'!$F$135)</f>
        <v>-0.192</v>
      </c>
    </row>
    <row r="136" spans="1:21" x14ac:dyDescent="0.3">
      <c r="A136" s="33" t="s">
        <v>199</v>
      </c>
      <c r="B136" s="54" t="s">
        <v>249</v>
      </c>
      <c r="C136" s="29" t="s">
        <v>199</v>
      </c>
      <c r="D136" s="53">
        <v>203.84</v>
      </c>
      <c r="E136" s="30" t="s">
        <v>284</v>
      </c>
      <c r="F136" s="42">
        <v>0.192</v>
      </c>
      <c r="G136" s="30" t="s">
        <v>28</v>
      </c>
      <c r="H136" s="30"/>
      <c r="I136" s="32"/>
      <c r="J136" s="105">
        <f>((('indice Carburant'!E7/'Indexation Client 2026'!$D$136)-1)*'Indexation Client 2026'!$F$136)</f>
        <v>-7.2339089481946676E-3</v>
      </c>
      <c r="K136" s="105">
        <f>((('indice Carburant'!F7/'Indexation Client 2026'!$D$136)-1)*'Indexation Client 2026'!$F$136)</f>
        <v>-2.2888540031397184E-3</v>
      </c>
      <c r="L136" s="105">
        <f>((('indice Carburant'!G7/'Indexation Client 2026'!$D$136)-1)*'Indexation Client 2026'!$F$136)</f>
        <v>4.5306122448979566E-2</v>
      </c>
      <c r="M136" s="68">
        <f>((('indice Carburant'!H7/'Indexation Client 2026'!$D$136)-1)*'Indexation Client 2026'!$F$136)</f>
        <v>-0.192</v>
      </c>
      <c r="N136" s="68">
        <f>((('indice Carburant'!I7/'Indexation Client 2026'!$D$136)-1)*'Indexation Client 2026'!$F$136)</f>
        <v>-0.192</v>
      </c>
      <c r="O136" s="68">
        <f>((('indice Carburant'!J7/'Indexation Client 2026'!$D$136)-1)*'Indexation Client 2026'!$F$136)</f>
        <v>-0.192</v>
      </c>
      <c r="P136" s="68">
        <f>((('indice Carburant'!K7/'Indexation Client 2026'!$D$136)-1)*'Indexation Client 2026'!$F$136)</f>
        <v>-0.192</v>
      </c>
      <c r="Q136" s="68">
        <f>((('indice Carburant'!L7/'Indexation Client 2026'!$D$136)-1)*'Indexation Client 2026'!$F$136)</f>
        <v>-0.192</v>
      </c>
      <c r="R136" s="68">
        <f>((('indice Carburant'!M7/'Indexation Client 2026'!$D$136)-1)*'Indexation Client 2026'!$F$136)</f>
        <v>-0.192</v>
      </c>
      <c r="S136" s="68">
        <f>((('indice Carburant'!N7/'Indexation Client 2026'!$D$136)-1)*'Indexation Client 2026'!$F$136)</f>
        <v>-0.192</v>
      </c>
      <c r="T136" s="68">
        <f>((('indice Carburant'!O7/'Indexation Client 2026'!$D$136)-1)*'Indexation Client 2026'!$F$136)</f>
        <v>-0.192</v>
      </c>
      <c r="U136" s="68">
        <f>((('indice Carburant'!P7/'Indexation Client 2026'!$D$136)-1)*'Indexation Client 2026'!$F$136)</f>
        <v>-0.192</v>
      </c>
    </row>
    <row r="137" spans="1:21" x14ac:dyDescent="0.3">
      <c r="A137" s="33" t="s">
        <v>199</v>
      </c>
      <c r="B137" s="54" t="s">
        <v>203</v>
      </c>
      <c r="C137" s="29" t="s">
        <v>199</v>
      </c>
      <c r="D137" s="53">
        <v>220.2</v>
      </c>
      <c r="E137" s="30" t="s">
        <v>284</v>
      </c>
      <c r="F137" s="42">
        <v>0.192</v>
      </c>
      <c r="G137" s="30" t="s">
        <v>28</v>
      </c>
      <c r="H137" s="30"/>
      <c r="I137" s="32"/>
      <c r="J137" s="105">
        <f>((('indice Carburant'!E7/'Indexation Client 2026'!$D$137)-1)*'Indexation Client 2026'!$F$137)</f>
        <v>-2.0961307901907346E-2</v>
      </c>
      <c r="K137" s="105">
        <f>((('indice Carburant'!F7/'Indexation Client 2026'!$D$137)-1)*'Indexation Client 2026'!$F$137)</f>
        <v>-1.6383651226158029E-2</v>
      </c>
      <c r="L137" s="105">
        <f>((('indice Carburant'!G7/'Indexation Client 2026'!$D$137)-1)*'Indexation Client 2026'!$F$137)</f>
        <v>2.7675204359673019E-2</v>
      </c>
      <c r="M137" s="68">
        <f>((('indice Carburant'!H7/'Indexation Client 2026'!$D$137)-1)*'Indexation Client 2026'!$F$137)</f>
        <v>-0.192</v>
      </c>
      <c r="N137" s="68">
        <f>((('indice Carburant'!I7/'Indexation Client 2026'!$D$137)-1)*'Indexation Client 2026'!$F$137)</f>
        <v>-0.192</v>
      </c>
      <c r="O137" s="68">
        <f>((('indice Carburant'!J7/'Indexation Client 2026'!$D$137)-1)*'Indexation Client 2026'!$F$137)</f>
        <v>-0.192</v>
      </c>
      <c r="P137" s="68">
        <f>((('indice Carburant'!K7/'Indexation Client 2026'!$D$137)-1)*'Indexation Client 2026'!$F$137)</f>
        <v>-0.192</v>
      </c>
      <c r="Q137" s="68">
        <f>((('indice Carburant'!L7/'Indexation Client 2026'!$D$137)-1)*'Indexation Client 2026'!$F$137)</f>
        <v>-0.192</v>
      </c>
      <c r="R137" s="68">
        <f>((('indice Carburant'!M7/'Indexation Client 2026'!$D$137)-1)*'Indexation Client 2026'!$F$137)</f>
        <v>-0.192</v>
      </c>
      <c r="S137" s="68">
        <f>((('indice Carburant'!N7/'Indexation Client 2026'!$D$137)-1)*'Indexation Client 2026'!$F$137)</f>
        <v>-0.192</v>
      </c>
      <c r="T137" s="68">
        <f>((('indice Carburant'!O7/'Indexation Client 2026'!$D$137)-1)*'Indexation Client 2026'!$F$137)</f>
        <v>-0.192</v>
      </c>
      <c r="U137" s="68">
        <f>((('indice Carburant'!P7/'Indexation Client 2026'!$D$137)-1)*'Indexation Client 2026'!$F$137)</f>
        <v>-0.192</v>
      </c>
    </row>
    <row r="138" spans="1:21" x14ac:dyDescent="0.3">
      <c r="A138" s="33" t="s">
        <v>199</v>
      </c>
      <c r="B138" s="54" t="s">
        <v>204</v>
      </c>
      <c r="C138" s="29" t="s">
        <v>199</v>
      </c>
      <c r="D138" s="53">
        <v>220.2</v>
      </c>
      <c r="E138" s="30" t="s">
        <v>284</v>
      </c>
      <c r="F138" s="42">
        <v>0.192</v>
      </c>
      <c r="G138" s="30" t="s">
        <v>28</v>
      </c>
      <c r="H138" s="30"/>
      <c r="I138" s="32"/>
      <c r="J138" s="105">
        <f>((('indice Carburant'!E7/'Indexation Client 2026'!$D$138)-1)*'Indexation Client 2026'!$F$138)</f>
        <v>-2.0961307901907346E-2</v>
      </c>
      <c r="K138" s="105">
        <f>((('indice Carburant'!F7/'Indexation Client 2026'!$D$138)-1)*'Indexation Client 2026'!$F$138)</f>
        <v>-1.6383651226158029E-2</v>
      </c>
      <c r="L138" s="105">
        <f>((('indice Carburant'!G7/'Indexation Client 2026'!$D$138)-1)*'Indexation Client 2026'!$F$138)</f>
        <v>2.7675204359673019E-2</v>
      </c>
      <c r="M138" s="68">
        <f>((('indice Carburant'!H7/'Indexation Client 2026'!$D$138)-1)*'Indexation Client 2026'!$F$138)</f>
        <v>-0.192</v>
      </c>
      <c r="N138" s="68">
        <f>((('indice Carburant'!I7/'Indexation Client 2026'!$D$138)-1)*'Indexation Client 2026'!$F$138)</f>
        <v>-0.192</v>
      </c>
      <c r="O138" s="68">
        <f>((('indice Carburant'!J7/'Indexation Client 2026'!$D$138)-1)*'Indexation Client 2026'!$F$138)</f>
        <v>-0.192</v>
      </c>
      <c r="P138" s="68">
        <f>((('indice Carburant'!K7/'Indexation Client 2026'!$D$138)-1)*'Indexation Client 2026'!$F$138)</f>
        <v>-0.192</v>
      </c>
      <c r="Q138" s="68">
        <f>((('indice Carburant'!L7/'Indexation Client 2026'!$D$138)-1)*'Indexation Client 2026'!$F$138)</f>
        <v>-0.192</v>
      </c>
      <c r="R138" s="68">
        <f>((('indice Carburant'!M7/'Indexation Client 2026'!$D$138)-1)*'Indexation Client 2026'!$F$138)</f>
        <v>-0.192</v>
      </c>
      <c r="S138" s="68">
        <f>((('indice Carburant'!N7/'Indexation Client 2026'!$D$138)-1)*'Indexation Client 2026'!$F$138)</f>
        <v>-0.192</v>
      </c>
      <c r="T138" s="68">
        <f>((('indice Carburant'!O7/'Indexation Client 2026'!$D$138)-1)*'Indexation Client 2026'!$F$138)</f>
        <v>-0.192</v>
      </c>
      <c r="U138" s="68">
        <f>((('indice Carburant'!P7/'Indexation Client 2026'!$D$138)-1)*'Indexation Client 2026'!$F$138)</f>
        <v>-0.192</v>
      </c>
    </row>
    <row r="139" spans="1:21" x14ac:dyDescent="0.3">
      <c r="A139" s="33" t="s">
        <v>199</v>
      </c>
      <c r="B139" s="54" t="s">
        <v>205</v>
      </c>
      <c r="C139" s="29" t="s">
        <v>199</v>
      </c>
      <c r="D139" s="53">
        <v>203.84</v>
      </c>
      <c r="E139" s="30" t="s">
        <v>284</v>
      </c>
      <c r="F139" s="42">
        <v>0.192</v>
      </c>
      <c r="G139" s="30" t="s">
        <v>28</v>
      </c>
      <c r="H139" s="30"/>
      <c r="I139" s="32"/>
      <c r="J139" s="105">
        <f>((('indice Carburant'!E7/'Indexation Client 2026'!$D$139)-1)*'Indexation Client 2026'!$F$139)</f>
        <v>-7.2339089481946676E-3</v>
      </c>
      <c r="K139" s="105">
        <f>((('indice Carburant'!F7/'Indexation Client 2026'!$D$139)-1)*'Indexation Client 2026'!$F$139)</f>
        <v>-2.2888540031397184E-3</v>
      </c>
      <c r="L139" s="105">
        <f>((('indice Carburant'!G7/'Indexation Client 2026'!$D$139)-1)*'Indexation Client 2026'!$F$139)</f>
        <v>4.5306122448979566E-2</v>
      </c>
      <c r="M139" s="68">
        <f>((('indice Carburant'!H7/'Indexation Client 2026'!$D$139)-1)*'Indexation Client 2026'!$F$139)</f>
        <v>-0.192</v>
      </c>
      <c r="N139" s="68">
        <f>((('indice Carburant'!I7/'Indexation Client 2026'!$D$139)-1)*'Indexation Client 2026'!$F$139)</f>
        <v>-0.192</v>
      </c>
      <c r="O139" s="68">
        <f>((('indice Carburant'!J7/'Indexation Client 2026'!$D$139)-1)*'Indexation Client 2026'!$F$139)</f>
        <v>-0.192</v>
      </c>
      <c r="P139" s="68">
        <f>((('indice Carburant'!K7/'Indexation Client 2026'!$D$139)-1)*'Indexation Client 2026'!$F$139)</f>
        <v>-0.192</v>
      </c>
      <c r="Q139" s="68">
        <f>((('indice Carburant'!L7/'Indexation Client 2026'!$D$139)-1)*'Indexation Client 2026'!$F$139)</f>
        <v>-0.192</v>
      </c>
      <c r="R139" s="68">
        <f>((('indice Carburant'!M7/'Indexation Client 2026'!$D$139)-1)*'Indexation Client 2026'!$F$139)</f>
        <v>-0.192</v>
      </c>
      <c r="S139" s="68">
        <f>((('indice Carburant'!N7/'Indexation Client 2026'!$D$139)-1)*'Indexation Client 2026'!$F$139)</f>
        <v>-0.192</v>
      </c>
      <c r="T139" s="68">
        <f>((('indice Carburant'!O7/'Indexation Client 2026'!$D$139)-1)*'Indexation Client 2026'!$F$139)</f>
        <v>-0.192</v>
      </c>
      <c r="U139" s="68">
        <f>((('indice Carburant'!P7/'Indexation Client 2026'!$D$139)-1)*'Indexation Client 2026'!$F$139)</f>
        <v>-0.192</v>
      </c>
    </row>
    <row r="140" spans="1:21" x14ac:dyDescent="0.3">
      <c r="A140" s="33" t="s">
        <v>199</v>
      </c>
      <c r="B140" s="54" t="s">
        <v>206</v>
      </c>
      <c r="C140" s="29" t="s">
        <v>199</v>
      </c>
      <c r="D140" s="53">
        <v>220.2</v>
      </c>
      <c r="E140" s="30" t="s">
        <v>284</v>
      </c>
      <c r="F140" s="42">
        <v>0.192</v>
      </c>
      <c r="G140" s="30" t="s">
        <v>28</v>
      </c>
      <c r="H140" s="30"/>
      <c r="I140" s="32"/>
      <c r="J140" s="105">
        <f>((('indice Carburant'!E7/'Indexation Client 2026'!$D$140)-1)*'Indexation Client 2026'!$F$140)</f>
        <v>-2.0961307901907346E-2</v>
      </c>
      <c r="K140" s="105">
        <f>((('indice Carburant'!F7/'Indexation Client 2026'!$D$140)-1)*'Indexation Client 2026'!$F$140)</f>
        <v>-1.6383651226158029E-2</v>
      </c>
      <c r="L140" s="105">
        <f>((('indice Carburant'!G7/'Indexation Client 2026'!$D$140)-1)*'Indexation Client 2026'!$F$140)</f>
        <v>2.7675204359673019E-2</v>
      </c>
      <c r="M140" s="68">
        <f>((('indice Carburant'!H7/'Indexation Client 2026'!$D$140)-1)*'Indexation Client 2026'!$F$140)</f>
        <v>-0.192</v>
      </c>
      <c r="N140" s="68">
        <f>((('indice Carburant'!I7/'Indexation Client 2026'!$D$140)-1)*'Indexation Client 2026'!$F$140)</f>
        <v>-0.192</v>
      </c>
      <c r="O140" s="68">
        <f>((('indice Carburant'!J7/'Indexation Client 2026'!$D$140)-1)*'Indexation Client 2026'!$F$140)</f>
        <v>-0.192</v>
      </c>
      <c r="P140" s="68">
        <f>((('indice Carburant'!K7/'Indexation Client 2026'!$D$140)-1)*'Indexation Client 2026'!$F$140)</f>
        <v>-0.192</v>
      </c>
      <c r="Q140" s="68">
        <f>((('indice Carburant'!L7/'Indexation Client 2026'!$D$140)-1)*'Indexation Client 2026'!$F$140)</f>
        <v>-0.192</v>
      </c>
      <c r="R140" s="68">
        <f>((('indice Carburant'!M7/'Indexation Client 2026'!$D$140)-1)*'Indexation Client 2026'!$F$140)</f>
        <v>-0.192</v>
      </c>
      <c r="S140" s="68">
        <f>((('indice Carburant'!N7/'Indexation Client 2026'!$D$140)-1)*'Indexation Client 2026'!$F$140)</f>
        <v>-0.192</v>
      </c>
      <c r="T140" s="68">
        <f>((('indice Carburant'!O7/'Indexation Client 2026'!$D$140)-1)*'Indexation Client 2026'!$F$140)</f>
        <v>-0.192</v>
      </c>
      <c r="U140" s="68">
        <f>((('indice Carburant'!P7/'Indexation Client 2026'!$D$140)-1)*'Indexation Client 2026'!$F$140)</f>
        <v>-0.192</v>
      </c>
    </row>
    <row r="141" spans="1:21" x14ac:dyDescent="0.3">
      <c r="A141" s="33" t="s">
        <v>199</v>
      </c>
      <c r="B141" s="54" t="s">
        <v>207</v>
      </c>
      <c r="C141" s="29" t="s">
        <v>199</v>
      </c>
      <c r="D141" s="53">
        <v>220.2</v>
      </c>
      <c r="E141" s="30" t="s">
        <v>284</v>
      </c>
      <c r="F141" s="42">
        <v>0.192</v>
      </c>
      <c r="G141" s="30" t="s">
        <v>28</v>
      </c>
      <c r="H141" s="30"/>
      <c r="I141" s="32"/>
      <c r="J141" s="105">
        <f>((('indice Carburant'!E7/'Indexation Client 2026'!$D$141)-1)*'Indexation Client 2026'!$F$141)</f>
        <v>-2.0961307901907346E-2</v>
      </c>
      <c r="K141" s="105">
        <f>((('indice Carburant'!F7/'Indexation Client 2026'!$D$141)-1)*'Indexation Client 2026'!$F$141)</f>
        <v>-1.6383651226158029E-2</v>
      </c>
      <c r="L141" s="105">
        <f>((('indice Carburant'!G7/'Indexation Client 2026'!$D$141)-1)*'Indexation Client 2026'!$F$141)</f>
        <v>2.7675204359673019E-2</v>
      </c>
      <c r="M141" s="68">
        <f>((('indice Carburant'!H7/'Indexation Client 2026'!$D$141)-1)*'Indexation Client 2026'!$F$141)</f>
        <v>-0.192</v>
      </c>
      <c r="N141" s="68">
        <f>((('indice Carburant'!I7/'Indexation Client 2026'!$D$141)-1)*'Indexation Client 2026'!$F$141)</f>
        <v>-0.192</v>
      </c>
      <c r="O141" s="68">
        <f>((('indice Carburant'!J7/'Indexation Client 2026'!$D$141)-1)*'Indexation Client 2026'!$F$141)</f>
        <v>-0.192</v>
      </c>
      <c r="P141" s="68">
        <f>((('indice Carburant'!K7/'Indexation Client 2026'!$D$141)-1)*'Indexation Client 2026'!$F$141)</f>
        <v>-0.192</v>
      </c>
      <c r="Q141" s="68">
        <f>((('indice Carburant'!L7/'Indexation Client 2026'!$D$141)-1)*'Indexation Client 2026'!$F$141)</f>
        <v>-0.192</v>
      </c>
      <c r="R141" s="68">
        <f>((('indice Carburant'!M7/'Indexation Client 2026'!$D$141)-1)*'Indexation Client 2026'!$F$141)</f>
        <v>-0.192</v>
      </c>
      <c r="S141" s="68">
        <f>((('indice Carburant'!N7/'Indexation Client 2026'!$D$141)-1)*'Indexation Client 2026'!$F$141)</f>
        <v>-0.192</v>
      </c>
      <c r="T141" s="68">
        <f>((('indice Carburant'!O7/'Indexation Client 2026'!$D$141)-1)*'Indexation Client 2026'!$F$141)</f>
        <v>-0.192</v>
      </c>
      <c r="U141" s="68">
        <f>((('indice Carburant'!P7/'Indexation Client 2026'!$D$141)-1)*'Indexation Client 2026'!$F$141)</f>
        <v>-0.192</v>
      </c>
    </row>
    <row r="142" spans="1:21" x14ac:dyDescent="0.3">
      <c r="A142" s="33" t="s">
        <v>199</v>
      </c>
      <c r="B142" s="54" t="s">
        <v>208</v>
      </c>
      <c r="C142" s="29" t="s">
        <v>199</v>
      </c>
      <c r="D142" s="53">
        <v>164.61</v>
      </c>
      <c r="E142" s="30" t="s">
        <v>284</v>
      </c>
      <c r="F142" s="42">
        <v>0.20899999999999999</v>
      </c>
      <c r="G142" s="30" t="s">
        <v>28</v>
      </c>
      <c r="H142" s="30"/>
      <c r="I142" s="32"/>
      <c r="J142" s="105">
        <f>((('indice Carburant'!E7/'Indexation Client 2026'!$D$142)-1)*'Indexation Client 2026'!$F$142)</f>
        <v>4.0058015916408438E-2</v>
      </c>
      <c r="K142" s="105">
        <f>((('indice Carburant'!F7/'Indexation Client 2026'!$D$142)-1)*'Indexation Client 2026'!$F$142)</f>
        <v>4.6723771338314755E-2</v>
      </c>
      <c r="L142" s="105">
        <f>((('indice Carburant'!G7/'Indexation Client 2026'!$D$142)-1)*'Indexation Client 2026'!$F$142)</f>
        <v>0.11088008018953888</v>
      </c>
      <c r="M142" s="68">
        <f>((('indice Carburant'!H7/'Indexation Client 2026'!$D$142)-1)*'Indexation Client 2026'!$F$142)</f>
        <v>-0.20899999999999999</v>
      </c>
      <c r="N142" s="68">
        <f>((('indice Carburant'!I7/'Indexation Client 2026'!$D$142)-1)*'Indexation Client 2026'!$F$142)</f>
        <v>-0.20899999999999999</v>
      </c>
      <c r="O142" s="68">
        <f>((('indice Carburant'!J7/'Indexation Client 2026'!$D$142)-1)*'Indexation Client 2026'!$F$142)</f>
        <v>-0.20899999999999999</v>
      </c>
      <c r="P142" s="68">
        <f>((('indice Carburant'!K7/'Indexation Client 2026'!$D$142)-1)*'Indexation Client 2026'!$F$142)</f>
        <v>-0.20899999999999999</v>
      </c>
      <c r="Q142" s="68">
        <f>((('indice Carburant'!L7/'Indexation Client 2026'!$D$142)-1)*'Indexation Client 2026'!$F$142)</f>
        <v>-0.20899999999999999</v>
      </c>
      <c r="R142" s="68">
        <f>((('indice Carburant'!M7/'Indexation Client 2026'!$D$142)-1)*'Indexation Client 2026'!$F$142)</f>
        <v>-0.20899999999999999</v>
      </c>
      <c r="S142" s="68">
        <f>((('indice Carburant'!N7/'Indexation Client 2026'!$D$142)-1)*'Indexation Client 2026'!$F$142)</f>
        <v>-0.20899999999999999</v>
      </c>
      <c r="T142" s="68">
        <f>((('indice Carburant'!O7/'Indexation Client 2026'!$D$142)-1)*'Indexation Client 2026'!$F$142)</f>
        <v>-0.20899999999999999</v>
      </c>
      <c r="U142" s="68">
        <f>((('indice Carburant'!P7/'Indexation Client 2026'!$D$142)-1)*'Indexation Client 2026'!$F$142)</f>
        <v>-0.20899999999999999</v>
      </c>
    </row>
    <row r="143" spans="1:21" x14ac:dyDescent="0.3">
      <c r="A143" s="33" t="s">
        <v>199</v>
      </c>
      <c r="B143" s="54" t="s">
        <v>209</v>
      </c>
      <c r="C143" s="29" t="s">
        <v>199</v>
      </c>
      <c r="D143" s="53">
        <v>164.61</v>
      </c>
      <c r="E143" s="30" t="s">
        <v>284</v>
      </c>
      <c r="F143" s="42">
        <v>0.20899999999999999</v>
      </c>
      <c r="G143" s="30" t="s">
        <v>28</v>
      </c>
      <c r="H143" s="30"/>
      <c r="I143" s="32"/>
      <c r="J143" s="105">
        <f>((('indice Carburant'!E7/'Indexation Client 2026'!$D$143)-1)*'Indexation Client 2026'!$F$143)</f>
        <v>4.0058015916408438E-2</v>
      </c>
      <c r="K143" s="105">
        <f>((('indice Carburant'!F7/'Indexation Client 2026'!$D$143)-1)*'Indexation Client 2026'!$F$143)</f>
        <v>4.6723771338314755E-2</v>
      </c>
      <c r="L143" s="105">
        <f>((('indice Carburant'!G7/'Indexation Client 2026'!$D$143)-1)*'Indexation Client 2026'!$F$143)</f>
        <v>0.11088008018953888</v>
      </c>
      <c r="M143" s="68">
        <f>((('indice Carburant'!H7/'Indexation Client 2026'!$D$143)-1)*'Indexation Client 2026'!$F$143)</f>
        <v>-0.20899999999999999</v>
      </c>
      <c r="N143" s="68">
        <f>((('indice Carburant'!I7/'Indexation Client 2026'!$D$143)-1)*'Indexation Client 2026'!$F$143)</f>
        <v>-0.20899999999999999</v>
      </c>
      <c r="O143" s="68">
        <f>((('indice Carburant'!J7/'Indexation Client 2026'!$D$143)-1)*'Indexation Client 2026'!$F$143)</f>
        <v>-0.20899999999999999</v>
      </c>
      <c r="P143" s="68">
        <f>((('indice Carburant'!K7/'Indexation Client 2026'!$D$143)-1)*'Indexation Client 2026'!$F$143)</f>
        <v>-0.20899999999999999</v>
      </c>
      <c r="Q143" s="68">
        <f>((('indice Carburant'!L7/'Indexation Client 2026'!$D$143)-1)*'Indexation Client 2026'!$F$143)</f>
        <v>-0.20899999999999999</v>
      </c>
      <c r="R143" s="68">
        <f>((('indice Carburant'!M7/'Indexation Client 2026'!$D$143)-1)*'Indexation Client 2026'!$F$143)</f>
        <v>-0.20899999999999999</v>
      </c>
      <c r="S143" s="68">
        <f>((('indice Carburant'!N7/'Indexation Client 2026'!$D$143)-1)*'Indexation Client 2026'!$F$143)</f>
        <v>-0.20899999999999999</v>
      </c>
      <c r="T143" s="68">
        <f>((('indice Carburant'!O7/'Indexation Client 2026'!$D$143)-1)*'Indexation Client 2026'!$F$143)</f>
        <v>-0.20899999999999999</v>
      </c>
      <c r="U143" s="68">
        <f>((('indice Carburant'!P7/'Indexation Client 2026'!$D$143)-1)*'Indexation Client 2026'!$F$143)</f>
        <v>-0.20899999999999999</v>
      </c>
    </row>
    <row r="144" spans="1:21" x14ac:dyDescent="0.3">
      <c r="A144" s="33" t="s">
        <v>199</v>
      </c>
      <c r="B144" s="54" t="s">
        <v>210</v>
      </c>
      <c r="C144" s="29" t="s">
        <v>199</v>
      </c>
      <c r="D144" s="53">
        <v>220.2</v>
      </c>
      <c r="E144" s="30" t="s">
        <v>284</v>
      </c>
      <c r="F144" s="42">
        <v>0.192</v>
      </c>
      <c r="G144" s="30" t="s">
        <v>28</v>
      </c>
      <c r="H144" s="30"/>
      <c r="I144" s="32"/>
      <c r="J144" s="105">
        <f>((('indice Carburant'!E7/'Indexation Client 2026'!$D$144)-1)*'Indexation Client 2026'!$F$144)</f>
        <v>-2.0961307901907346E-2</v>
      </c>
      <c r="K144" s="105">
        <f>((('indice Carburant'!F7/'Indexation Client 2026'!$D$144)-1)*'Indexation Client 2026'!$F$144)</f>
        <v>-1.6383651226158029E-2</v>
      </c>
      <c r="L144" s="105">
        <f>((('indice Carburant'!G7/'Indexation Client 2026'!$D$144)-1)*'Indexation Client 2026'!$F$144)</f>
        <v>2.7675204359673019E-2</v>
      </c>
      <c r="M144" s="68">
        <f>((('indice Carburant'!H7/'Indexation Client 2026'!$D$144)-1)*'Indexation Client 2026'!$F$144)</f>
        <v>-0.192</v>
      </c>
      <c r="N144" s="68">
        <f>((('indice Carburant'!I7/'Indexation Client 2026'!$D$144)-1)*'Indexation Client 2026'!$F$144)</f>
        <v>-0.192</v>
      </c>
      <c r="O144" s="68">
        <f>((('indice Carburant'!J7/'Indexation Client 2026'!$D$144)-1)*'Indexation Client 2026'!$F$144)</f>
        <v>-0.192</v>
      </c>
      <c r="P144" s="68">
        <f>((('indice Carburant'!K7/'Indexation Client 2026'!$D$144)-1)*'Indexation Client 2026'!$F$144)</f>
        <v>-0.192</v>
      </c>
      <c r="Q144" s="68">
        <f>((('indice Carburant'!L7/'Indexation Client 2026'!$D$144)-1)*'Indexation Client 2026'!$F$144)</f>
        <v>-0.192</v>
      </c>
      <c r="R144" s="68">
        <f>((('indice Carburant'!M7/'Indexation Client 2026'!$D$144)-1)*'Indexation Client 2026'!$F$144)</f>
        <v>-0.192</v>
      </c>
      <c r="S144" s="68">
        <f>((('indice Carburant'!N7/'Indexation Client 2026'!$D$144)-1)*'Indexation Client 2026'!$F$144)</f>
        <v>-0.192</v>
      </c>
      <c r="T144" s="68">
        <f>((('indice Carburant'!O7/'Indexation Client 2026'!$D$144)-1)*'Indexation Client 2026'!$F$144)</f>
        <v>-0.192</v>
      </c>
      <c r="U144" s="68">
        <f>((('indice Carburant'!P7/'Indexation Client 2026'!$D$144)-1)*'Indexation Client 2026'!$F$144)</f>
        <v>-0.192</v>
      </c>
    </row>
    <row r="145" spans="1:21" x14ac:dyDescent="0.3">
      <c r="A145" s="33" t="s">
        <v>199</v>
      </c>
      <c r="B145" s="54" t="s">
        <v>211</v>
      </c>
      <c r="C145" s="29" t="s">
        <v>199</v>
      </c>
      <c r="D145" s="53">
        <v>220.2</v>
      </c>
      <c r="E145" s="30" t="s">
        <v>284</v>
      </c>
      <c r="F145" s="42">
        <v>0.192</v>
      </c>
      <c r="G145" s="30" t="s">
        <v>28</v>
      </c>
      <c r="H145" s="30"/>
      <c r="I145" s="32"/>
      <c r="J145" s="105">
        <f>((('indice Carburant'!E7/'Indexation Client 2026'!$D$145)-1)*'Indexation Client 2026'!$F$145)</f>
        <v>-2.0961307901907346E-2</v>
      </c>
      <c r="K145" s="105">
        <f>((('indice Carburant'!F7/'Indexation Client 2026'!$D$145)-1)*'Indexation Client 2026'!$F$145)</f>
        <v>-1.6383651226158029E-2</v>
      </c>
      <c r="L145" s="105">
        <f>((('indice Carburant'!G7/'Indexation Client 2026'!$D$145)-1)*'Indexation Client 2026'!$F$145)</f>
        <v>2.7675204359673019E-2</v>
      </c>
      <c r="M145" s="68">
        <f>((('indice Carburant'!H7/'Indexation Client 2026'!$D$145)-1)*'Indexation Client 2026'!$F$145)</f>
        <v>-0.192</v>
      </c>
      <c r="N145" s="68">
        <f>((('indice Carburant'!I7/'Indexation Client 2026'!$D$145)-1)*'Indexation Client 2026'!$F$145)</f>
        <v>-0.192</v>
      </c>
      <c r="O145" s="68">
        <f>((('indice Carburant'!J7/'Indexation Client 2026'!$D$145)-1)*'Indexation Client 2026'!$F$145)</f>
        <v>-0.192</v>
      </c>
      <c r="P145" s="68">
        <f>((('indice Carburant'!K7/'Indexation Client 2026'!$D$145)-1)*'Indexation Client 2026'!$F$145)</f>
        <v>-0.192</v>
      </c>
      <c r="Q145" s="68">
        <f>((('indice Carburant'!L7/'Indexation Client 2026'!$D$145)-1)*'Indexation Client 2026'!$F$145)</f>
        <v>-0.192</v>
      </c>
      <c r="R145" s="68">
        <f>((('indice Carburant'!M7/'Indexation Client 2026'!$D$145)-1)*'Indexation Client 2026'!$F$145)</f>
        <v>-0.192</v>
      </c>
      <c r="S145" s="68">
        <f>((('indice Carburant'!N7/'Indexation Client 2026'!$D$145)-1)*'Indexation Client 2026'!$F$145)</f>
        <v>-0.192</v>
      </c>
      <c r="T145" s="68">
        <f>((('indice Carburant'!O7/'Indexation Client 2026'!$D$145)-1)*'Indexation Client 2026'!$F$145)</f>
        <v>-0.192</v>
      </c>
      <c r="U145" s="68">
        <f>((('indice Carburant'!P7/'Indexation Client 2026'!$D$145)-1)*'Indexation Client 2026'!$F$145)</f>
        <v>-0.192</v>
      </c>
    </row>
    <row r="146" spans="1:21" x14ac:dyDescent="0.3">
      <c r="A146" s="33" t="s">
        <v>199</v>
      </c>
      <c r="B146" s="54" t="s">
        <v>212</v>
      </c>
      <c r="C146" s="29" t="s">
        <v>199</v>
      </c>
      <c r="D146" s="53">
        <v>220.2</v>
      </c>
      <c r="E146" s="30" t="s">
        <v>284</v>
      </c>
      <c r="F146" s="42">
        <v>0.192</v>
      </c>
      <c r="G146" s="30" t="s">
        <v>28</v>
      </c>
      <c r="H146" s="30"/>
      <c r="I146" s="32"/>
      <c r="J146" s="105">
        <f>((('indice Carburant'!E7/'Indexation Client 2026'!$D$146)-1)*'Indexation Client 2026'!$F$146)</f>
        <v>-2.0961307901907346E-2</v>
      </c>
      <c r="K146" s="105">
        <f>((('indice Carburant'!F7/'Indexation Client 2026'!$D$146)-1)*'Indexation Client 2026'!$F$146)</f>
        <v>-1.6383651226158029E-2</v>
      </c>
      <c r="L146" s="105">
        <f>((('indice Carburant'!G7/'Indexation Client 2026'!$D$146)-1)*'Indexation Client 2026'!$F$146)</f>
        <v>2.7675204359673019E-2</v>
      </c>
      <c r="M146" s="68">
        <f>((('indice Carburant'!H7/'Indexation Client 2026'!$D$146)-1)*'Indexation Client 2026'!$F$146)</f>
        <v>-0.192</v>
      </c>
      <c r="N146" s="68">
        <f>((('indice Carburant'!I7/'Indexation Client 2026'!$D$146)-1)*'Indexation Client 2026'!$F$146)</f>
        <v>-0.192</v>
      </c>
      <c r="O146" s="68">
        <f>((('indice Carburant'!J7/'Indexation Client 2026'!$D$146)-1)*'Indexation Client 2026'!$F$146)</f>
        <v>-0.192</v>
      </c>
      <c r="P146" s="68">
        <f>((('indice Carburant'!K7/'Indexation Client 2026'!$D$146)-1)*'Indexation Client 2026'!$F$146)</f>
        <v>-0.192</v>
      </c>
      <c r="Q146" s="68">
        <f>((('indice Carburant'!L7/'Indexation Client 2026'!$D$146)-1)*'Indexation Client 2026'!$F$146)</f>
        <v>-0.192</v>
      </c>
      <c r="R146" s="68">
        <f>((('indice Carburant'!M7/'Indexation Client 2026'!$D$146)-1)*'Indexation Client 2026'!$F$146)</f>
        <v>-0.192</v>
      </c>
      <c r="S146" s="68">
        <f>((('indice Carburant'!N7/'Indexation Client 2026'!$D$146)-1)*'Indexation Client 2026'!$F$146)</f>
        <v>-0.192</v>
      </c>
      <c r="T146" s="68">
        <f>((('indice Carburant'!O7/'Indexation Client 2026'!$D$146)-1)*'Indexation Client 2026'!$F$146)</f>
        <v>-0.192</v>
      </c>
      <c r="U146" s="68">
        <f>((('indice Carburant'!P7/'Indexation Client 2026'!$D$146)-1)*'Indexation Client 2026'!$F$146)</f>
        <v>-0.192</v>
      </c>
    </row>
    <row r="147" spans="1:21" x14ac:dyDescent="0.3">
      <c r="A147" s="33" t="s">
        <v>199</v>
      </c>
      <c r="B147" s="54" t="s">
        <v>213</v>
      </c>
      <c r="C147" s="29" t="s">
        <v>199</v>
      </c>
      <c r="D147" s="53">
        <v>208.38</v>
      </c>
      <c r="E147" s="30" t="s">
        <v>284</v>
      </c>
      <c r="F147" s="42">
        <v>0.192</v>
      </c>
      <c r="G147" s="30" t="s">
        <v>28</v>
      </c>
      <c r="H147" s="30"/>
      <c r="I147" s="32"/>
      <c r="J147" s="105">
        <f>((('indice Carburant'!E7/'Indexation Client 2026'!$D$147)-1)*'Indexation Client 2026'!$F$147)</f>
        <v>-1.1259429887705145E-2</v>
      </c>
      <c r="K147" s="105">
        <f>((('indice Carburant'!F7/'Indexation Client 2026'!$D$147)-1)*'Indexation Client 2026'!$F$147)</f>
        <v>-6.4221134465879577E-3</v>
      </c>
      <c r="L147" s="105">
        <f>((('indice Carburant'!G7/'Indexation Client 2026'!$D$147)-1)*'Indexation Client 2026'!$F$147)</f>
        <v>4.0135905557155183E-2</v>
      </c>
      <c r="M147" s="68">
        <f>((('indice Carburant'!H7/'Indexation Client 2026'!$D$147)-1)*'Indexation Client 2026'!$F$147)</f>
        <v>-0.192</v>
      </c>
      <c r="N147" s="68">
        <f>((('indice Carburant'!I7/'Indexation Client 2026'!$D$147)-1)*'Indexation Client 2026'!$F$147)</f>
        <v>-0.192</v>
      </c>
      <c r="O147" s="68">
        <f>((('indice Carburant'!J7/'Indexation Client 2026'!$D$147)-1)*'Indexation Client 2026'!$F$147)</f>
        <v>-0.192</v>
      </c>
      <c r="P147" s="68">
        <f>((('indice Carburant'!K7/'Indexation Client 2026'!$D$147)-1)*'Indexation Client 2026'!$F$147)</f>
        <v>-0.192</v>
      </c>
      <c r="Q147" s="68">
        <f>((('indice Carburant'!L7/'Indexation Client 2026'!$D$147)-1)*'Indexation Client 2026'!$F$147)</f>
        <v>-0.192</v>
      </c>
      <c r="R147" s="68">
        <f>((('indice Carburant'!M7/'Indexation Client 2026'!$D$147)-1)*'Indexation Client 2026'!$F$147)</f>
        <v>-0.192</v>
      </c>
      <c r="S147" s="68">
        <f>((('indice Carburant'!N7/'Indexation Client 2026'!$D$147)-1)*'Indexation Client 2026'!$F$147)</f>
        <v>-0.192</v>
      </c>
      <c r="T147" s="68">
        <f>((('indice Carburant'!O7/'Indexation Client 2026'!$D$147)-1)*'Indexation Client 2026'!$F$147)</f>
        <v>-0.192</v>
      </c>
      <c r="U147" s="68">
        <f>((('indice Carburant'!P7/'Indexation Client 2026'!$D$147)-1)*'Indexation Client 2026'!$F$147)</f>
        <v>-0.192</v>
      </c>
    </row>
    <row r="148" spans="1:21" x14ac:dyDescent="0.3">
      <c r="A148" s="33" t="s">
        <v>199</v>
      </c>
      <c r="B148" s="54" t="s">
        <v>250</v>
      </c>
      <c r="C148" s="29" t="s">
        <v>199</v>
      </c>
      <c r="D148" s="53">
        <v>203.84</v>
      </c>
      <c r="E148" s="30" t="s">
        <v>284</v>
      </c>
      <c r="F148" s="42">
        <v>0.192</v>
      </c>
      <c r="G148" s="30" t="s">
        <v>28</v>
      </c>
      <c r="H148" s="30"/>
      <c r="I148" s="32"/>
      <c r="J148" s="105">
        <f>((('indice Carburant'!E7/'Indexation Client 2026'!$D$148)-1)*'Indexation Client 2026'!$F$148)</f>
        <v>-7.2339089481946676E-3</v>
      </c>
      <c r="K148" s="105">
        <f>((('indice Carburant'!F7/'Indexation Client 2026'!$D$148)-1)*'Indexation Client 2026'!$F$148)</f>
        <v>-2.2888540031397184E-3</v>
      </c>
      <c r="L148" s="105">
        <f>((('indice Carburant'!G7/'Indexation Client 2026'!$D$148)-1)*'Indexation Client 2026'!$F$148)</f>
        <v>4.5306122448979566E-2</v>
      </c>
      <c r="M148" s="68">
        <f>((('indice Carburant'!H7/'Indexation Client 2026'!$D$148)-1)*'Indexation Client 2026'!$F$148)</f>
        <v>-0.192</v>
      </c>
      <c r="N148" s="68">
        <f>((('indice Carburant'!I7/'Indexation Client 2026'!$D$148)-1)*'Indexation Client 2026'!$F$148)</f>
        <v>-0.192</v>
      </c>
      <c r="O148" s="68">
        <f>((('indice Carburant'!J7/'Indexation Client 2026'!$D$148)-1)*'Indexation Client 2026'!$F$148)</f>
        <v>-0.192</v>
      </c>
      <c r="P148" s="68">
        <f>((('indice Carburant'!K7/'Indexation Client 2026'!$D$148)-1)*'Indexation Client 2026'!$F$148)</f>
        <v>-0.192</v>
      </c>
      <c r="Q148" s="68">
        <f>((('indice Carburant'!L7/'Indexation Client 2026'!$D$148)-1)*'Indexation Client 2026'!$F$148)</f>
        <v>-0.192</v>
      </c>
      <c r="R148" s="68">
        <f>((('indice Carburant'!M7/'Indexation Client 2026'!$D$148)-1)*'Indexation Client 2026'!$F$148)</f>
        <v>-0.192</v>
      </c>
      <c r="S148" s="68">
        <f>((('indice Carburant'!N7/'Indexation Client 2026'!$D$148)-1)*'Indexation Client 2026'!$F$148)</f>
        <v>-0.192</v>
      </c>
      <c r="T148" s="68">
        <f>((('indice Carburant'!O7/'Indexation Client 2026'!$D$148)-1)*'Indexation Client 2026'!$F$148)</f>
        <v>-0.192</v>
      </c>
      <c r="U148" s="68">
        <f>((('indice Carburant'!P7/'Indexation Client 2026'!$D$148)-1)*'Indexation Client 2026'!$F$148)</f>
        <v>-0.192</v>
      </c>
    </row>
    <row r="149" spans="1:21" x14ac:dyDescent="0.3">
      <c r="A149" s="33" t="s">
        <v>199</v>
      </c>
      <c r="B149" s="54" t="s">
        <v>236</v>
      </c>
      <c r="C149" s="29" t="s">
        <v>199</v>
      </c>
      <c r="D149" s="53">
        <v>203.84</v>
      </c>
      <c r="E149" s="30" t="s">
        <v>284</v>
      </c>
      <c r="F149" s="42">
        <v>0.192</v>
      </c>
      <c r="G149" s="30" t="s">
        <v>28</v>
      </c>
      <c r="H149" s="30"/>
      <c r="I149" s="32"/>
      <c r="J149" s="105">
        <f>((('indice Carburant'!E7/'Indexation Client 2026'!$D$149)-1)*'Indexation Client 2026'!$F$149)</f>
        <v>-7.2339089481946676E-3</v>
      </c>
      <c r="K149" s="105">
        <f>((('indice Carburant'!F7/'Indexation Client 2026'!$D$149)-1)*'Indexation Client 2026'!$F$149)</f>
        <v>-2.2888540031397184E-3</v>
      </c>
      <c r="L149" s="105">
        <f>((('indice Carburant'!G7/'Indexation Client 2026'!$D$149)-1)*'Indexation Client 2026'!$F$149)</f>
        <v>4.5306122448979566E-2</v>
      </c>
      <c r="M149" s="68">
        <f>((('indice Carburant'!H7/'Indexation Client 2026'!$D$149)-1)*'Indexation Client 2026'!$F$149)</f>
        <v>-0.192</v>
      </c>
      <c r="N149" s="68">
        <f>((('indice Carburant'!I7/'Indexation Client 2026'!$D$149)-1)*'Indexation Client 2026'!$F$149)</f>
        <v>-0.192</v>
      </c>
      <c r="O149" s="68">
        <f>((('indice Carburant'!J7/'Indexation Client 2026'!$D$149)-1)*'Indexation Client 2026'!$F$149)</f>
        <v>-0.192</v>
      </c>
      <c r="P149" s="68">
        <f>((('indice Carburant'!K7/'Indexation Client 2026'!$D$149)-1)*'Indexation Client 2026'!$F$149)</f>
        <v>-0.192</v>
      </c>
      <c r="Q149" s="68">
        <f>((('indice Carburant'!L7/'Indexation Client 2026'!$D$149)-1)*'Indexation Client 2026'!$F$149)</f>
        <v>-0.192</v>
      </c>
      <c r="R149" s="68">
        <f>((('indice Carburant'!M7/'Indexation Client 2026'!$D$149)-1)*'Indexation Client 2026'!$F$149)</f>
        <v>-0.192</v>
      </c>
      <c r="S149" s="68">
        <f>((('indice Carburant'!N7/'Indexation Client 2026'!$D$149)-1)*'Indexation Client 2026'!$F$149)</f>
        <v>-0.192</v>
      </c>
      <c r="T149" s="68">
        <f>((('indice Carburant'!O7/'Indexation Client 2026'!$D$149)-1)*'Indexation Client 2026'!$F$149)</f>
        <v>-0.192</v>
      </c>
      <c r="U149" s="68">
        <f>((('indice Carburant'!P7/'Indexation Client 2026'!$D$149)-1)*'Indexation Client 2026'!$F$149)</f>
        <v>-0.192</v>
      </c>
    </row>
    <row r="150" spans="1:21" x14ac:dyDescent="0.3">
      <c r="A150" s="33" t="s">
        <v>199</v>
      </c>
      <c r="B150" s="54" t="s">
        <v>237</v>
      </c>
      <c r="C150" s="29" t="s">
        <v>199</v>
      </c>
      <c r="D150" s="53">
        <v>203.84</v>
      </c>
      <c r="E150" s="30" t="s">
        <v>284</v>
      </c>
      <c r="F150" s="42">
        <v>0.20899999999999999</v>
      </c>
      <c r="G150" s="30" t="s">
        <v>28</v>
      </c>
      <c r="H150" s="30"/>
      <c r="I150" s="32"/>
      <c r="J150" s="105">
        <f>((('indice Carburant'!E7/'Indexation Client 2026'!$D$150)-1)*'Indexation Client 2026'!$F$150)</f>
        <v>-7.8744113029827357E-3</v>
      </c>
      <c r="K150" s="105">
        <f>((('indice Carburant'!F7/'Indexation Client 2026'!$D$150)-1)*'Indexation Client 2026'!$F$150)</f>
        <v>-2.491512951334381E-3</v>
      </c>
      <c r="L150" s="105">
        <f>((('indice Carburant'!G7/'Indexation Client 2026'!$D$150)-1)*'Indexation Client 2026'!$F$150)</f>
        <v>4.9317602040816297E-2</v>
      </c>
      <c r="M150" s="68">
        <f>((('indice Carburant'!H7/'Indexation Client 2026'!$D$150)-1)*'Indexation Client 2026'!$F$150)</f>
        <v>-0.20899999999999999</v>
      </c>
      <c r="N150" s="68">
        <f>((('indice Carburant'!I7/'Indexation Client 2026'!$D$150)-1)*'Indexation Client 2026'!$F$150)</f>
        <v>-0.20899999999999999</v>
      </c>
      <c r="O150" s="68">
        <f>((('indice Carburant'!J7/'Indexation Client 2026'!$D$150)-1)*'Indexation Client 2026'!$F$150)</f>
        <v>-0.20899999999999999</v>
      </c>
      <c r="P150" s="68">
        <f>((('indice Carburant'!K7/'Indexation Client 2026'!$D$150)-1)*'Indexation Client 2026'!$F$150)</f>
        <v>-0.20899999999999999</v>
      </c>
      <c r="Q150" s="68">
        <f>((('indice Carburant'!L7/'Indexation Client 2026'!$D$150)-1)*'Indexation Client 2026'!$F$150)</f>
        <v>-0.20899999999999999</v>
      </c>
      <c r="R150" s="68">
        <f>((('indice Carburant'!M7/'Indexation Client 2026'!$D$150)-1)*'Indexation Client 2026'!$F$150)</f>
        <v>-0.20899999999999999</v>
      </c>
      <c r="S150" s="68">
        <f>((('indice Carburant'!N7/'Indexation Client 2026'!$D$150)-1)*'Indexation Client 2026'!$F$150)</f>
        <v>-0.20899999999999999</v>
      </c>
      <c r="T150" s="68">
        <f>((('indice Carburant'!O7/'Indexation Client 2026'!$D$150)-1)*'Indexation Client 2026'!$F$150)</f>
        <v>-0.20899999999999999</v>
      </c>
      <c r="U150" s="68">
        <f>((('indice Carburant'!P7/'Indexation Client 2026'!$D$150)-1)*'Indexation Client 2026'!$F$150)</f>
        <v>-0.20899999999999999</v>
      </c>
    </row>
    <row r="151" spans="1:21" x14ac:dyDescent="0.3">
      <c r="A151" s="33" t="s">
        <v>199</v>
      </c>
      <c r="B151" s="54" t="s">
        <v>214</v>
      </c>
      <c r="C151" s="29" t="s">
        <v>199</v>
      </c>
      <c r="D151" s="53">
        <v>220.2</v>
      </c>
      <c r="E151" s="30" t="s">
        <v>284</v>
      </c>
      <c r="F151" s="42">
        <v>0.192</v>
      </c>
      <c r="G151" s="30" t="s">
        <v>28</v>
      </c>
      <c r="H151" s="30"/>
      <c r="I151" s="32"/>
      <c r="J151" s="105">
        <f>((('indice Carburant'!E7/'Indexation Client 2026'!$D$151)-1)*'Indexation Client 2026'!$F$151)</f>
        <v>-2.0961307901907346E-2</v>
      </c>
      <c r="K151" s="105">
        <f>((('indice Carburant'!F7/'Indexation Client 2026'!$D$151)-1)*'Indexation Client 2026'!$F$151)</f>
        <v>-1.6383651226158029E-2</v>
      </c>
      <c r="L151" s="105">
        <f>((('indice Carburant'!G7/'Indexation Client 2026'!$D$151)-1)*'Indexation Client 2026'!$F$151)</f>
        <v>2.7675204359673019E-2</v>
      </c>
      <c r="M151" s="68">
        <f>((('indice Carburant'!H7/'Indexation Client 2026'!$D$151)-1)*'Indexation Client 2026'!$F$151)</f>
        <v>-0.192</v>
      </c>
      <c r="N151" s="68">
        <f>((('indice Carburant'!I7/'Indexation Client 2026'!$D$151)-1)*'Indexation Client 2026'!$F$151)</f>
        <v>-0.192</v>
      </c>
      <c r="O151" s="68">
        <f>((('indice Carburant'!J7/'Indexation Client 2026'!$D$151)-1)*'Indexation Client 2026'!$F$151)</f>
        <v>-0.192</v>
      </c>
      <c r="P151" s="68">
        <f>((('indice Carburant'!K7/'Indexation Client 2026'!$D$151)-1)*'Indexation Client 2026'!$F$151)</f>
        <v>-0.192</v>
      </c>
      <c r="Q151" s="68">
        <f>((('indice Carburant'!L7/'Indexation Client 2026'!$D$151)-1)*'Indexation Client 2026'!$F$151)</f>
        <v>-0.192</v>
      </c>
      <c r="R151" s="68">
        <f>((('indice Carburant'!M7/'Indexation Client 2026'!$D$151)-1)*'Indexation Client 2026'!$F$151)</f>
        <v>-0.192</v>
      </c>
      <c r="S151" s="68">
        <f>((('indice Carburant'!N7/'Indexation Client 2026'!$D$151)-1)*'Indexation Client 2026'!$F$151)</f>
        <v>-0.192</v>
      </c>
      <c r="T151" s="68">
        <f>((('indice Carburant'!O7/'Indexation Client 2026'!$D$151)-1)*'Indexation Client 2026'!$F$151)</f>
        <v>-0.192</v>
      </c>
      <c r="U151" s="68">
        <f>((('indice Carburant'!P7/'Indexation Client 2026'!$D$151)-1)*'Indexation Client 2026'!$F$151)</f>
        <v>-0.192</v>
      </c>
    </row>
    <row r="152" spans="1:21" x14ac:dyDescent="0.3">
      <c r="A152" s="33" t="s">
        <v>215</v>
      </c>
      <c r="B152" s="30" t="s">
        <v>216</v>
      </c>
      <c r="C152" s="29" t="s">
        <v>13</v>
      </c>
      <c r="D152" s="30">
        <v>209.36</v>
      </c>
      <c r="E152" s="30" t="s">
        <v>27</v>
      </c>
      <c r="F152" s="42">
        <v>0.30520000000000003</v>
      </c>
      <c r="G152" s="30" t="s">
        <v>67</v>
      </c>
      <c r="H152" s="30">
        <v>1.6316999999999999</v>
      </c>
      <c r="I152" s="32"/>
      <c r="J152" s="110">
        <f>((('indice Carburant'!D6/'Indexation Client 2026'!$D$152)-1)*'Indexation Client 2026'!$F$152)*'Indexation Client 2026'!$H$152+$H$152</f>
        <v>1.565478294107757</v>
      </c>
      <c r="K152" s="110">
        <f>((('indice Carburant'!E6/'Indexation Client 2026'!$D$152)-1)*'Indexation Client 2026'!$F$152)*'Indexation Client 2026'!$H$152+$H$152</f>
        <v>1.5800832249331294</v>
      </c>
      <c r="L152" s="110">
        <f>((('indice Carburant'!F6/'Indexation Client 2026'!$D$152)-1)*'Indexation Client 2026'!$F$152)*'Indexation Client 2026'!$H$152+$H$152</f>
        <v>1.5935939752732136</v>
      </c>
      <c r="M152" s="90">
        <f>((('indice Carburant'!G6/'Indexation Client 2026'!$D$152)-1)*'Indexation Client 2026'!$F$152)*'Indexation Client 2026'!$H$152+$H$152</f>
        <v>1.7238014530225447</v>
      </c>
      <c r="N152" s="43">
        <f>((('indice Carburant'!H6/'Indexation Client 2026'!$D$152)-1)*'Indexation Client 2026'!$F$152)*'Indexation Client 2026'!$H$152+$H$152</f>
        <v>1.1337051599999999</v>
      </c>
      <c r="O152" s="43">
        <f>((('indice Carburant'!I6/'Indexation Client 2026'!$D$152)-1)*'Indexation Client 2026'!$F$152)*'Indexation Client 2026'!$H$152+$H$152</f>
        <v>1.1337051599999999</v>
      </c>
      <c r="P152" s="43">
        <f>((('indice Carburant'!J6/'Indexation Client 2026'!$D$152)-1)*'Indexation Client 2026'!$F$152)*'Indexation Client 2026'!$H$152+$H$152</f>
        <v>1.1337051599999999</v>
      </c>
      <c r="Q152" s="43">
        <f>((('indice Carburant'!K6/'Indexation Client 2026'!$D$152)-1)*'Indexation Client 2026'!$F$152)*'Indexation Client 2026'!$H$152+$H$152</f>
        <v>1.1337051599999999</v>
      </c>
      <c r="R152" s="43">
        <f>((('indice Carburant'!L6/'Indexation Client 2026'!$D$152)-1)*'Indexation Client 2026'!$F$152)*'Indexation Client 2026'!$H$152+$H$152</f>
        <v>1.1337051599999999</v>
      </c>
      <c r="S152" s="43">
        <f>((('indice Carburant'!M6/'Indexation Client 2026'!$D$152)-1)*'Indexation Client 2026'!$F$152)*'Indexation Client 2026'!$H$152+$H$152</f>
        <v>1.1337051599999999</v>
      </c>
      <c r="T152" s="43">
        <f>((('indice Carburant'!N6/'Indexation Client 2026'!$D$152)-1)*'Indexation Client 2026'!$F$152)*'Indexation Client 2026'!$H$152+$H$152</f>
        <v>1.1337051599999999</v>
      </c>
      <c r="U152" s="43">
        <f>((('indice Carburant'!O6/'Indexation Client 2026'!$D$152)-1)*'Indexation Client 2026'!$F$152)*'Indexation Client 2026'!$H$152+$H$152</f>
        <v>1.1337051599999999</v>
      </c>
    </row>
    <row r="153" spans="1:21" x14ac:dyDescent="0.3">
      <c r="A153" s="33" t="s">
        <v>215</v>
      </c>
      <c r="B153" s="30" t="s">
        <v>217</v>
      </c>
      <c r="C153" s="29" t="s">
        <v>13</v>
      </c>
      <c r="D153" s="30">
        <v>176.61</v>
      </c>
      <c r="E153" s="30" t="s">
        <v>27</v>
      </c>
      <c r="F153" s="42">
        <v>0.2306</v>
      </c>
      <c r="G153" s="30" t="s">
        <v>67</v>
      </c>
      <c r="H153" s="30">
        <v>2.0185</v>
      </c>
      <c r="I153" s="32"/>
      <c r="J153" s="110">
        <f>((('indice Carburant'!D6/'Indexation Client 2026'!$D$153)-1)*'Indexation Client 2026'!$F$153)*'Indexation Client 2026'!$H$153+$H$153</f>
        <v>2.0314405953853121</v>
      </c>
      <c r="K153" s="110">
        <f>((('indice Carburant'!E6/'Indexation Client 2026'!$D$153)-1)*'Indexation Client 2026'!$F$153)*'Indexation Client 2026'!$H$153+$H$153</f>
        <v>2.0476229285148064</v>
      </c>
      <c r="L153" s="110">
        <f>((('indice Carburant'!F6/'Indexation Client 2026'!$D$153)-1)*'Indexation Client 2026'!$F$153)*'Indexation Client 2026'!$H$153+$H$153</f>
        <v>2.0625929044391595</v>
      </c>
      <c r="M153" s="90">
        <f>((('indice Carburant'!G6/'Indexation Client 2026'!$D$153)-1)*'Indexation Client 2026'!$F$153)*'Indexation Client 2026'!$H$153+$H$153</f>
        <v>2.2068634118509709</v>
      </c>
      <c r="N153" s="43">
        <f>((('indice Carburant'!H6/'Indexation Client 2026'!$D$153)-1)*'Indexation Client 2026'!$F$153)*'Indexation Client 2026'!$H$153+$H$153</f>
        <v>1.5530339</v>
      </c>
      <c r="O153" s="43">
        <f>((('indice Carburant'!I6/'Indexation Client 2026'!$D$153)-1)*'Indexation Client 2026'!$F$153)*'Indexation Client 2026'!$H$153+$H$153</f>
        <v>1.5530339</v>
      </c>
      <c r="P153" s="43">
        <f>((('indice Carburant'!J6/'Indexation Client 2026'!$D$153)-1)*'Indexation Client 2026'!$F$153)*'Indexation Client 2026'!$H$153+$H$153</f>
        <v>1.5530339</v>
      </c>
      <c r="Q153" s="43">
        <f>((('indice Carburant'!K6/'Indexation Client 2026'!$D$153)-1)*'Indexation Client 2026'!$F$153)*'Indexation Client 2026'!$H$153+$H$153</f>
        <v>1.5530339</v>
      </c>
      <c r="R153" s="43">
        <f>((('indice Carburant'!L6/'Indexation Client 2026'!$D$153)-1)*'Indexation Client 2026'!$F$153)*'Indexation Client 2026'!$H$153+$H$153</f>
        <v>1.5530339</v>
      </c>
      <c r="S153" s="43">
        <f>((('indice Carburant'!M6/'Indexation Client 2026'!$D$153)-1)*'Indexation Client 2026'!$F$153)*'Indexation Client 2026'!$H$153+$H$153</f>
        <v>1.5530339</v>
      </c>
      <c r="T153" s="43">
        <f>((('indice Carburant'!N6/'Indexation Client 2026'!$D$153)-1)*'Indexation Client 2026'!$F$153)*'Indexation Client 2026'!$H$153+$H$153</f>
        <v>1.5530339</v>
      </c>
      <c r="U153" s="43">
        <f>((('indice Carburant'!O6/'Indexation Client 2026'!$D$153)-1)*'Indexation Client 2026'!$F$153)*'Indexation Client 2026'!$H$153+$H$153</f>
        <v>1.5530339</v>
      </c>
    </row>
    <row r="154" spans="1:21" x14ac:dyDescent="0.3">
      <c r="A154" s="33" t="s">
        <v>215</v>
      </c>
      <c r="B154" s="35" t="s">
        <v>218</v>
      </c>
      <c r="C154" s="29" t="s">
        <v>13</v>
      </c>
      <c r="D154" s="30">
        <v>101.15</v>
      </c>
      <c r="E154" s="30" t="s">
        <v>70</v>
      </c>
      <c r="F154" s="42">
        <v>0.22539999999999999</v>
      </c>
      <c r="G154" s="30" t="s">
        <v>67</v>
      </c>
      <c r="H154" s="30">
        <v>1.2749999999999999</v>
      </c>
      <c r="I154" s="32"/>
      <c r="J154" s="110">
        <f>((('indice Carburant'!D13/'Indexation Client 2026'!$D$154)-1)*'Indexation Client 2026'!$F$154)*'Indexation Client 2026'!$H$154+$H$154</f>
        <v>1.4462661176470586</v>
      </c>
      <c r="K154" s="110">
        <f>((('indice Carburant'!E13/'Indexation Client 2026'!$D$154)-1)*'Indexation Client 2026'!$F$154)*'Indexation Client 2026'!$H$154+$H$154</f>
        <v>1.4410951764705882</v>
      </c>
      <c r="L154" s="110">
        <f>((('indice Carburant'!F13/'Indexation Client 2026'!$D$154)-1)*'Indexation Client 2026'!$F$154)*'Indexation Client 2026'!$H$154+$H$154</f>
        <v>1.4924352352941175</v>
      </c>
      <c r="M154" s="90">
        <f>((('indice Carburant'!G13/'Indexation Client 2026'!$D$154)-1)*'Indexation Client 2026'!$F$154)*'Indexation Client 2026'!$H$154+$H$154</f>
        <v>0.98761499999999991</v>
      </c>
      <c r="N154" s="43">
        <f>((('indice Carburant'!H13/'Indexation Client 2026'!$D$154)-1)*'Indexation Client 2026'!$F$154)*'Indexation Client 2026'!$H$154+$H$154</f>
        <v>0.98761499999999991</v>
      </c>
      <c r="O154" s="43">
        <f>((('indice Carburant'!I13/'Indexation Client 2026'!$D$154)-1)*'Indexation Client 2026'!$F$154)*'Indexation Client 2026'!$H$154+$H$154</f>
        <v>0.98761499999999991</v>
      </c>
      <c r="P154" s="43">
        <f>((('indice Carburant'!J13/'Indexation Client 2026'!$D$154)-1)*'Indexation Client 2026'!$F$154)*'Indexation Client 2026'!$H$154+$H$154</f>
        <v>0.98761499999999991</v>
      </c>
      <c r="Q154" s="43">
        <f>((('indice Carburant'!K13/'Indexation Client 2026'!$D$154)-1)*'Indexation Client 2026'!$F$154)*'Indexation Client 2026'!$H$154+$H$154</f>
        <v>0.98761499999999991</v>
      </c>
      <c r="R154" s="43">
        <f>((('indice Carburant'!L13/'Indexation Client 2026'!$D$154)-1)*'Indexation Client 2026'!$F$154)*'Indexation Client 2026'!$H$154+$H$154</f>
        <v>0.98761499999999991</v>
      </c>
      <c r="S154" s="43">
        <f>((('indice Carburant'!M13/'Indexation Client 2026'!$D$154)-1)*'Indexation Client 2026'!$F$154)*'Indexation Client 2026'!$H$154+$H$154</f>
        <v>0.98761499999999991</v>
      </c>
      <c r="T154" s="43">
        <f>((('indice Carburant'!N13/'Indexation Client 2026'!$D$154)-1)*'Indexation Client 2026'!$F$154)*'Indexation Client 2026'!$H$154+$H$154</f>
        <v>0.98761499999999991</v>
      </c>
      <c r="U154" s="43">
        <f>((('indice Carburant'!O13/'Indexation Client 2026'!$D$154)-1)*'Indexation Client 2026'!$F$154)*'Indexation Client 2026'!$H$154+$H$154</f>
        <v>0.98761499999999991</v>
      </c>
    </row>
    <row r="155" spans="1:21" x14ac:dyDescent="0.3">
      <c r="A155" s="33" t="s">
        <v>215</v>
      </c>
      <c r="B155" s="54" t="s">
        <v>238</v>
      </c>
      <c r="C155" s="29" t="s">
        <v>13</v>
      </c>
      <c r="D155" s="30">
        <v>195.67</v>
      </c>
      <c r="E155" s="30" t="s">
        <v>27</v>
      </c>
      <c r="F155" s="42">
        <v>0.28149999999999997</v>
      </c>
      <c r="G155" s="30" t="s">
        <v>67</v>
      </c>
      <c r="H155" s="43">
        <v>2.8117999999999999</v>
      </c>
      <c r="I155" s="32"/>
      <c r="J155" s="110">
        <f>((('indice Carburant'!D6/'Indexation Client 2026'!$D$155)-1)*'Indexation Client 2026'!$F$155)*'Indexation Client 2026'!$H$155+$H$155</f>
        <v>2.7545606068635968</v>
      </c>
      <c r="K155" s="110">
        <f>((('indice Carburant'!E6/'Indexation Client 2026'!$D$155)-1)*'Indexation Client 2026'!$F$155)*'Indexation Client 2026'!$H$155+$H$155</f>
        <v>2.7793980537793224</v>
      </c>
      <c r="L155" s="110">
        <f>((('indice Carburant'!F6/'Indexation Client 2026'!$D$155)-1)*'Indexation Client 2026'!$F$155)*'Indexation Client 2026'!$H$155+$H$155</f>
        <v>2.8023747147697655</v>
      </c>
      <c r="M155" s="43">
        <f>((('indice Carburant'!G6/'Indexation Client 2026'!$D$155)-1)*'Indexation Client 2026'!$F$155)*'Indexation Client 2026'!$H$155+$H$155</f>
        <v>3.0238082398783668</v>
      </c>
      <c r="N155" s="43">
        <f>((('indice Carburant'!H6/'Indexation Client 2026'!$D$155)-1)*'Indexation Client 2026'!$F$155)*'Indexation Client 2026'!$H$155+$H$155</f>
        <v>2.0202783000000002</v>
      </c>
      <c r="O155" s="43">
        <f>((('indice Carburant'!I6/'Indexation Client 2026'!$D$155)-1)*'Indexation Client 2026'!$F$155)*'Indexation Client 2026'!$H$155+$H$155</f>
        <v>2.0202783000000002</v>
      </c>
      <c r="P155" s="43">
        <f>((('indice Carburant'!J6/'Indexation Client 2026'!$D$155)-1)*'Indexation Client 2026'!$F$155)*'Indexation Client 2026'!$H$155+$H$155</f>
        <v>2.0202783000000002</v>
      </c>
      <c r="Q155" s="43">
        <f>((('indice Carburant'!K6/'Indexation Client 2026'!$D$155)-1)*'Indexation Client 2026'!$F$155)*'Indexation Client 2026'!$H$155+$H$155</f>
        <v>2.0202783000000002</v>
      </c>
      <c r="R155" s="43">
        <f>((('indice Carburant'!L6/'Indexation Client 2026'!$D$155)-1)*'Indexation Client 2026'!$F$155)*'Indexation Client 2026'!$H$155+$H$155</f>
        <v>2.0202783000000002</v>
      </c>
      <c r="S155" s="43">
        <f>((('indice Carburant'!M6/'Indexation Client 2026'!$D$155)-1)*'Indexation Client 2026'!$F$155)*'Indexation Client 2026'!$H$155+$H$155</f>
        <v>2.0202783000000002</v>
      </c>
      <c r="T155" s="43">
        <f>((('indice Carburant'!N6/'Indexation Client 2026'!$D$155)-1)*'Indexation Client 2026'!$F$155)*'Indexation Client 2026'!$H$155+$H$155</f>
        <v>2.0202783000000002</v>
      </c>
      <c r="U155" s="43">
        <f>((('indice Carburant'!O6/'Indexation Client 2026'!$D$155)-1)*'Indexation Client 2026'!$F$155)*'Indexation Client 2026'!$H$155+$H$155</f>
        <v>2.0202783000000002</v>
      </c>
    </row>
    <row r="156" spans="1:21" x14ac:dyDescent="0.3">
      <c r="A156" s="33" t="s">
        <v>219</v>
      </c>
      <c r="B156" s="35" t="s">
        <v>220</v>
      </c>
      <c r="C156" s="29" t="s">
        <v>13</v>
      </c>
      <c r="D156" s="30">
        <v>153.94</v>
      </c>
      <c r="E156" s="30" t="s">
        <v>70</v>
      </c>
      <c r="F156" s="42">
        <v>0.15</v>
      </c>
      <c r="G156" s="30" t="s">
        <v>28</v>
      </c>
      <c r="H156" s="30"/>
      <c r="I156" s="32"/>
      <c r="J156" s="105">
        <f>((('indice Carburant'!D13/'Indexation Client 2026'!$D$156)-1)*'Indexation Client 2026'!$F$156)</f>
        <v>7.2982980381967044E-3</v>
      </c>
      <c r="K156" s="105">
        <f>((('indice Carburant'!E13/'Indexation Client 2026'!$D$156)-1)*'Indexation Client 2026'!$F$156)</f>
        <v>5.5248798233077934E-3</v>
      </c>
      <c r="L156" s="117">
        <f>((('indice Carburant'!F13/'Indexation Client 2026'!$D$156)-1)*'Indexation Client 2026'!$F$156)</f>
        <v>2.3132389242562047E-2</v>
      </c>
      <c r="M156" s="92">
        <f>((('indice Carburant'!G13/'Indexation Client 2026'!$D$156)-1)*'Indexation Client 2026'!$F$156)</f>
        <v>-0.15</v>
      </c>
      <c r="N156" s="92">
        <f>((('indice Carburant'!H13/'Indexation Client 2026'!$D$156)-1)*'Indexation Client 2026'!$F$156)</f>
        <v>-0.15</v>
      </c>
      <c r="O156" s="92">
        <f>((('indice Carburant'!I13/'Indexation Client 2026'!$D$156)-1)*'Indexation Client 2026'!$F$156)</f>
        <v>-0.15</v>
      </c>
      <c r="P156" s="92">
        <f>((('indice Carburant'!J13/'Indexation Client 2026'!$D$156)-1)*'Indexation Client 2026'!$F$156)</f>
        <v>-0.15</v>
      </c>
      <c r="Q156" s="92">
        <f>((('indice Carburant'!K13/'Indexation Client 2026'!$D$156)-1)*'Indexation Client 2026'!$F$156)</f>
        <v>-0.15</v>
      </c>
      <c r="R156" s="92">
        <f>((('indice Carburant'!L13/'Indexation Client 2026'!$D$156)-1)*'Indexation Client 2026'!$F$156)</f>
        <v>-0.15</v>
      </c>
      <c r="S156" s="92">
        <f>((('indice Carburant'!M13/'Indexation Client 2026'!$D$156)-1)*'Indexation Client 2026'!$F$156)</f>
        <v>-0.15</v>
      </c>
      <c r="T156" s="92">
        <f>((('indice Carburant'!N13/'Indexation Client 2026'!$D$156)-1)*'Indexation Client 2026'!$F$156)</f>
        <v>-0.15</v>
      </c>
      <c r="U156" s="92">
        <f>((('indice Carburant'!O13/'Indexation Client 2026'!$D$156)-1)*'Indexation Client 2026'!$F$156)</f>
        <v>-0.15</v>
      </c>
    </row>
    <row r="157" spans="1:21" x14ac:dyDescent="0.3">
      <c r="A157" s="33" t="s">
        <v>219</v>
      </c>
      <c r="B157" s="35" t="s">
        <v>221</v>
      </c>
      <c r="C157" s="29" t="s">
        <v>13</v>
      </c>
      <c r="D157" s="30">
        <v>153.94</v>
      </c>
      <c r="E157" s="30" t="s">
        <v>70</v>
      </c>
      <c r="F157" s="42">
        <v>0.15</v>
      </c>
      <c r="G157" s="30" t="s">
        <v>28</v>
      </c>
      <c r="H157" s="30"/>
      <c r="I157" s="32"/>
      <c r="J157" s="105">
        <f>((('indice Carburant'!D13/'Indexation Client 2026'!$D$157)-1)*'Indexation Client 2026'!$F$157)</f>
        <v>7.2982980381967044E-3</v>
      </c>
      <c r="K157" s="105">
        <f>((('indice Carburant'!E13/'Indexation Client 2026'!$D$157)-1)*'Indexation Client 2026'!$F$157)</f>
        <v>5.5248798233077934E-3</v>
      </c>
      <c r="L157" s="117">
        <f>((('indice Carburant'!F13/'Indexation Client 2026'!$D$157)-1)*'Indexation Client 2026'!$F$157)</f>
        <v>2.3132389242562047E-2</v>
      </c>
      <c r="M157" s="92">
        <f>((('indice Carburant'!G13/'Indexation Client 2026'!$D$157)-1)*'Indexation Client 2026'!$F$157)</f>
        <v>-0.15</v>
      </c>
      <c r="N157" s="92">
        <f>((('indice Carburant'!H13/'Indexation Client 2026'!$D$157)-1)*'Indexation Client 2026'!$F$157)</f>
        <v>-0.15</v>
      </c>
      <c r="O157" s="92">
        <f>((('indice Carburant'!I13/'Indexation Client 2026'!$D$157)-1)*'Indexation Client 2026'!$F$157)</f>
        <v>-0.15</v>
      </c>
      <c r="P157" s="92">
        <f>((('indice Carburant'!J13/'Indexation Client 2026'!$D$157)-1)*'Indexation Client 2026'!$F$157)</f>
        <v>-0.15</v>
      </c>
      <c r="Q157" s="92">
        <f>((('indice Carburant'!K13/'Indexation Client 2026'!$D$157)-1)*'Indexation Client 2026'!$F$157)</f>
        <v>-0.15</v>
      </c>
      <c r="R157" s="92">
        <f>((('indice Carburant'!L13/'Indexation Client 2026'!$D$157)-1)*'Indexation Client 2026'!$F$157)</f>
        <v>-0.15</v>
      </c>
      <c r="S157" s="92">
        <f>((('indice Carburant'!M13/'Indexation Client 2026'!$D$157)-1)*'Indexation Client 2026'!$F$157)</f>
        <v>-0.15</v>
      </c>
      <c r="T157" s="92">
        <f>((('indice Carburant'!N13/'Indexation Client 2026'!$D$157)-1)*'Indexation Client 2026'!$F$157)</f>
        <v>-0.15</v>
      </c>
      <c r="U157" s="92">
        <f>((('indice Carburant'!O13/'Indexation Client 2026'!$D$157)-1)*'Indexation Client 2026'!$F$157)</f>
        <v>-0.15</v>
      </c>
    </row>
    <row r="158" spans="1:21" x14ac:dyDescent="0.3">
      <c r="A158" s="33" t="s">
        <v>219</v>
      </c>
      <c r="B158" s="35" t="s">
        <v>222</v>
      </c>
      <c r="C158" s="29" t="s">
        <v>13</v>
      </c>
      <c r="D158" s="30">
        <v>153.94</v>
      </c>
      <c r="E158" s="30" t="s">
        <v>70</v>
      </c>
      <c r="F158" s="42">
        <v>0.18</v>
      </c>
      <c r="G158" s="30" t="s">
        <v>28</v>
      </c>
      <c r="H158" s="30"/>
      <c r="I158" s="32"/>
      <c r="J158" s="105">
        <f>((('indice Carburant'!D13/'Indexation Client 2026'!$D$158)-1)*'Indexation Client 2026'!$F$158)</f>
        <v>8.7579576458360446E-3</v>
      </c>
      <c r="K158" s="105">
        <f>((('indice Carburant'!E13/'Indexation Client 2026'!$D$158)-1)*'Indexation Client 2026'!$F$158)</f>
        <v>6.6298557879693517E-3</v>
      </c>
      <c r="L158" s="117">
        <f>((('indice Carburant'!F13/'Indexation Client 2026'!$D$158)-1)*'Indexation Client 2026'!$F$158)</f>
        <v>2.7758867091074453E-2</v>
      </c>
      <c r="M158" s="92">
        <f>((('indice Carburant'!G13/'Indexation Client 2026'!$D$158)-1)*'Indexation Client 2026'!$F$158)</f>
        <v>-0.18</v>
      </c>
      <c r="N158" s="92">
        <f>((('indice Carburant'!H13/'Indexation Client 2026'!$D$158)-1)*'Indexation Client 2026'!$F$158)</f>
        <v>-0.18</v>
      </c>
      <c r="O158" s="92">
        <f>((('indice Carburant'!I13/'Indexation Client 2026'!$D$158)-1)*'Indexation Client 2026'!$F$158)</f>
        <v>-0.18</v>
      </c>
      <c r="P158" s="92">
        <f>((('indice Carburant'!J13/'Indexation Client 2026'!$D$158)-1)*'Indexation Client 2026'!$F$158)</f>
        <v>-0.18</v>
      </c>
      <c r="Q158" s="92">
        <f>((('indice Carburant'!K13/'Indexation Client 2026'!$D$158)-1)*'Indexation Client 2026'!$F$158)</f>
        <v>-0.18</v>
      </c>
      <c r="R158" s="92">
        <f>((('indice Carburant'!L13/'Indexation Client 2026'!$D$158)-1)*'Indexation Client 2026'!$F$158)</f>
        <v>-0.18</v>
      </c>
      <c r="S158" s="92">
        <f>((('indice Carburant'!M13/'Indexation Client 2026'!$D$158)-1)*'Indexation Client 2026'!$F$158)</f>
        <v>-0.18</v>
      </c>
      <c r="T158" s="92">
        <f>((('indice Carburant'!N13/'Indexation Client 2026'!$D$158)-1)*'Indexation Client 2026'!$F$158)</f>
        <v>-0.18</v>
      </c>
      <c r="U158" s="92">
        <f>((('indice Carburant'!O13/'Indexation Client 2026'!$D$158)-1)*'Indexation Client 2026'!$F$158)</f>
        <v>-0.18</v>
      </c>
    </row>
    <row r="159" spans="1:21" x14ac:dyDescent="0.3">
      <c r="A159" s="33" t="s">
        <v>219</v>
      </c>
      <c r="B159" s="35" t="s">
        <v>223</v>
      </c>
      <c r="C159" s="29" t="s">
        <v>13</v>
      </c>
      <c r="D159" s="30">
        <v>0.92049999999999998</v>
      </c>
      <c r="E159" s="30" t="s">
        <v>224</v>
      </c>
      <c r="F159" s="42">
        <v>0.12470000000000001</v>
      </c>
      <c r="G159" s="30" t="s">
        <v>28</v>
      </c>
      <c r="H159" s="30"/>
      <c r="I159" s="32"/>
      <c r="J159" s="105">
        <f>((('indice Carburant'!D14/'Indexation Client 2026'!$D$159)-1)*'Indexation Client 2026'!$F$159)</f>
        <v>8.521053775122224E-3</v>
      </c>
      <c r="K159" s="105">
        <f>((('indice Carburant'!E14/'Indexation Client 2026'!$D$159)-1)*'Indexation Client 2026'!$F$159)</f>
        <v>2.0455947854426909E-3</v>
      </c>
      <c r="L159" s="117">
        <f>((('indice Carburant'!F14/'Indexation Client 2026'!$D$159)-1)*'Indexation Client 2026'!$F$159)</f>
        <v>1.4833948940793045E-2</v>
      </c>
      <c r="M159" s="93">
        <f>((('indice Carburant'!G14/'Indexation Client 2026'!$D$159)-1)*'Indexation Client 2026'!$F$159)</f>
        <v>-0.12470000000000001</v>
      </c>
      <c r="N159" s="93">
        <f>((('indice Carburant'!H14/'Indexation Client 2026'!$D$159)-1)*'Indexation Client 2026'!$F$159)</f>
        <v>-0.12470000000000001</v>
      </c>
      <c r="O159" s="93">
        <f>((('indice Carburant'!I14/'Indexation Client 2026'!$D$159)-1)*'Indexation Client 2026'!$F$159)</f>
        <v>-0.12470000000000001</v>
      </c>
      <c r="P159" s="93">
        <f>((('indice Carburant'!J14/'Indexation Client 2026'!$D$159)-1)*'Indexation Client 2026'!$F$159)</f>
        <v>-0.12470000000000001</v>
      </c>
      <c r="Q159" s="93">
        <f>((('indice Carburant'!K14/'Indexation Client 2026'!$D$159)-1)*'Indexation Client 2026'!$F$159)</f>
        <v>-0.12470000000000001</v>
      </c>
      <c r="R159" s="93">
        <f>((('indice Carburant'!L14/'Indexation Client 2026'!$D$159)-1)*'Indexation Client 2026'!$F$159)</f>
        <v>-0.12470000000000001</v>
      </c>
      <c r="S159" s="93">
        <f>((('indice Carburant'!M14/'Indexation Client 2026'!$D$159)-1)*'Indexation Client 2026'!$F$159)</f>
        <v>-0.12470000000000001</v>
      </c>
      <c r="T159" s="93">
        <f>((('indice Carburant'!N14/'Indexation Client 2026'!$D$159)-1)*'Indexation Client 2026'!$F$159)</f>
        <v>-0.12470000000000001</v>
      </c>
      <c r="U159" s="93">
        <f>((('indice Carburant'!O14/'Indexation Client 2026'!$D$159)-1)*'Indexation Client 2026'!$F$159)</f>
        <v>-0.12470000000000001</v>
      </c>
    </row>
    <row r="160" spans="1:21" x14ac:dyDescent="0.3">
      <c r="A160" s="33" t="s">
        <v>225</v>
      </c>
      <c r="B160" s="30" t="s">
        <v>226</v>
      </c>
      <c r="C160" s="30" t="s">
        <v>256</v>
      </c>
      <c r="D160" s="62" t="s">
        <v>227</v>
      </c>
      <c r="E160" s="31"/>
      <c r="F160" s="31"/>
      <c r="G160" s="31"/>
      <c r="H160" s="31"/>
      <c r="I160" s="32"/>
      <c r="J160" s="107"/>
      <c r="K160" s="107"/>
      <c r="L160" s="107"/>
      <c r="M160" s="31"/>
      <c r="N160" s="31"/>
      <c r="O160" s="31"/>
      <c r="P160" s="31"/>
      <c r="Q160" s="31"/>
      <c r="R160" s="31"/>
      <c r="S160" s="31"/>
      <c r="T160" s="31"/>
      <c r="U160" s="31"/>
    </row>
    <row r="161" spans="1:21" x14ac:dyDescent="0.3">
      <c r="A161" s="38" t="s">
        <v>228</v>
      </c>
      <c r="B161" s="67" t="s">
        <v>229</v>
      </c>
      <c r="C161" s="29" t="s">
        <v>255</v>
      </c>
      <c r="D161" s="29">
        <v>161.81</v>
      </c>
      <c r="E161" s="30" t="s">
        <v>159</v>
      </c>
      <c r="F161" s="42">
        <v>0.221</v>
      </c>
      <c r="G161" s="30" t="s">
        <v>28</v>
      </c>
      <c r="H161" s="31"/>
      <c r="I161" s="32"/>
      <c r="J161" s="105">
        <v>1.5800000000000002E-2</v>
      </c>
      <c r="K161" s="105">
        <v>-3.8E-3</v>
      </c>
      <c r="L161" s="105">
        <f>((('indice Carburant'!E6/'Indexation Client 2026'!$D$161)-1)*'Indexation Client 2026'!$F$161)</f>
        <v>3.5305914343983655E-2</v>
      </c>
      <c r="M161" s="68">
        <f>((('indice Carburant'!F6/'Indexation Client 2026'!$D$161)-1)*'Indexation Client 2026'!$F$161)</f>
        <v>4.3063654903899649E-2</v>
      </c>
      <c r="N161" s="68">
        <f>((('indice Carburant'!G6/'Indexation Client 2026'!$D$161)-1)*'Indexation Client 2026'!$F$161)</f>
        <v>0.11782751375069525</v>
      </c>
      <c r="O161" s="68">
        <f>((('indice Carburant'!H6/'Indexation Client 2026'!$D$161)-1)*'Indexation Client 2026'!$F$161)</f>
        <v>-0.221</v>
      </c>
      <c r="P161" s="68">
        <f>((('indice Carburant'!I6/'Indexation Client 2026'!$D$161)-1)*'Indexation Client 2026'!$F$161)</f>
        <v>-0.221</v>
      </c>
      <c r="Q161" s="68">
        <f>((('indice Carburant'!J6/'Indexation Client 2026'!$D$161)-1)*'Indexation Client 2026'!$F$161)</f>
        <v>-0.221</v>
      </c>
      <c r="R161" s="68">
        <f>((('indice Carburant'!K6/'Indexation Client 2026'!$D$161)-1)*'Indexation Client 2026'!$F$161)</f>
        <v>-0.221</v>
      </c>
      <c r="S161" s="68">
        <f>((('indice Carburant'!L6/'Indexation Client 2026'!$D$161)-1)*'Indexation Client 2026'!$F$161)</f>
        <v>-0.221</v>
      </c>
      <c r="T161" s="68">
        <f>((('indice Carburant'!M6/'Indexation Client 2026'!$D$161)-1)*'Indexation Client 2026'!$F$161)</f>
        <v>-0.221</v>
      </c>
      <c r="U161" s="68">
        <f>((('indice Carburant'!N6/'Indexation Client 2026'!$D$161)-1)*'Indexation Client 2026'!$F$161)</f>
        <v>-0.221</v>
      </c>
    </row>
    <row r="162" spans="1:21" x14ac:dyDescent="0.3">
      <c r="A162" s="38" t="s">
        <v>239</v>
      </c>
      <c r="B162" s="67" t="s">
        <v>240</v>
      </c>
      <c r="C162" s="29" t="s">
        <v>239</v>
      </c>
      <c r="D162" s="62" t="s">
        <v>227</v>
      </c>
      <c r="E162" s="31"/>
      <c r="F162" s="31"/>
      <c r="G162" s="31"/>
      <c r="H162" s="31"/>
      <c r="I162" s="75"/>
      <c r="J162" s="105"/>
      <c r="K162" s="105"/>
      <c r="L162" s="105"/>
      <c r="M162" s="68"/>
      <c r="N162" s="68"/>
      <c r="O162" s="68"/>
      <c r="P162" s="68"/>
      <c r="Q162" s="68"/>
      <c r="R162" s="68"/>
      <c r="S162" s="68"/>
      <c r="T162" s="68"/>
      <c r="U162" s="68"/>
    </row>
    <row r="163" spans="1:21" x14ac:dyDescent="0.3">
      <c r="A163" s="38" t="s">
        <v>241</v>
      </c>
      <c r="B163" s="67" t="s">
        <v>242</v>
      </c>
      <c r="C163" s="29" t="s">
        <v>257</v>
      </c>
      <c r="D163" s="39" t="s">
        <v>33</v>
      </c>
      <c r="E163" s="31"/>
      <c r="F163" s="31" t="s">
        <v>243</v>
      </c>
      <c r="G163" s="30" t="s">
        <v>28</v>
      </c>
      <c r="H163" s="31"/>
      <c r="I163" s="75"/>
      <c r="J163" s="105"/>
      <c r="K163" s="105"/>
      <c r="L163" s="105"/>
      <c r="M163" s="68"/>
      <c r="N163" s="68"/>
      <c r="O163" s="68"/>
      <c r="P163" s="68"/>
      <c r="Q163" s="68"/>
      <c r="R163" s="68"/>
      <c r="S163" s="68"/>
      <c r="T163" s="68"/>
      <c r="U163" s="68"/>
    </row>
    <row r="164" spans="1:21" x14ac:dyDescent="0.3">
      <c r="A164" s="38" t="s">
        <v>260</v>
      </c>
      <c r="B164" s="67" t="s">
        <v>274</v>
      </c>
      <c r="C164" s="29" t="s">
        <v>273</v>
      </c>
      <c r="D164" s="30">
        <v>1.3196000000000001</v>
      </c>
      <c r="E164" s="97" t="s">
        <v>99</v>
      </c>
      <c r="F164" s="42">
        <v>0.25</v>
      </c>
      <c r="G164" s="30" t="s">
        <v>28</v>
      </c>
      <c r="H164" s="30"/>
      <c r="I164" s="32"/>
      <c r="J164" s="105">
        <f>((('indice Carburant'!D8/'Indexation Client 2026'!$D$164)-1)*'Indexation Client 2026'!$F$164)</f>
        <v>-9.6430736586844701E-3</v>
      </c>
      <c r="K164" s="105">
        <f>((('indice Carburant'!E8/'Indexation Client 2026'!$D$164)-1)*'Indexation Client 2026'!$F$164)</f>
        <v>4.1679296756591544E-4</v>
      </c>
      <c r="L164" s="105">
        <f>((('indice Carburant'!F8/'Indexation Client 2026'!$D$164)-1)*'Indexation Client 2026'!$F$164)</f>
        <v>6.6497423461654992E-3</v>
      </c>
      <c r="M164" s="68">
        <f>((('indice Carburant'!G8/'Indexation Client 2026'!$D$164)-1)*'Indexation Client 2026'!$F$164)</f>
        <v>8.2960745680509207E-2</v>
      </c>
      <c r="N164" s="68">
        <f>((('indice Carburant'!H8/'Indexation Client 2026'!$D$164)-1)*'Indexation Client 2026'!$F$164)</f>
        <v>-0.25</v>
      </c>
      <c r="O164" s="68">
        <f>((('indice Carburant'!I8/'Indexation Client 2026'!$D$164)-1)*'Indexation Client 2026'!$F$164)</f>
        <v>-0.25</v>
      </c>
      <c r="P164" s="68">
        <f>((('indice Carburant'!J8/'Indexation Client 2026'!$D$164)-1)*'Indexation Client 2026'!$F$164)</f>
        <v>-0.25</v>
      </c>
      <c r="Q164" s="68">
        <f>((('indice Carburant'!K8/'Indexation Client 2026'!$D$164)-1)*'Indexation Client 2026'!$F$164)</f>
        <v>-0.25</v>
      </c>
      <c r="R164" s="68">
        <f>((('indice Carburant'!L8/'Indexation Client 2026'!$D$164)-1)*'Indexation Client 2026'!$F$164)</f>
        <v>-0.25</v>
      </c>
      <c r="S164" s="68">
        <f>((('indice Carburant'!M8/'Indexation Client 2026'!$D$164)-1)*'Indexation Client 2026'!$F$164)</f>
        <v>-0.25</v>
      </c>
      <c r="T164" s="68">
        <f>((('indice Carburant'!N8/'Indexation Client 2026'!$D$164)-1)*'Indexation Client 2026'!$F$164)</f>
        <v>-0.25</v>
      </c>
      <c r="U164" s="68">
        <f>((('indice Carburant'!O8/'Indexation Client 2026'!$D$164)-1)*'Indexation Client 2026'!$F$164)</f>
        <v>-0.25</v>
      </c>
    </row>
    <row r="165" spans="1:21" x14ac:dyDescent="0.3">
      <c r="A165" s="94" t="s">
        <v>261</v>
      </c>
      <c r="B165" s="95" t="s">
        <v>271</v>
      </c>
      <c r="C165" s="96" t="s">
        <v>272</v>
      </c>
      <c r="D165" s="97">
        <v>181.52</v>
      </c>
      <c r="E165" s="97" t="s">
        <v>27</v>
      </c>
      <c r="F165" s="98">
        <v>0.12</v>
      </c>
      <c r="G165" s="97" t="s">
        <v>28</v>
      </c>
      <c r="H165" s="97"/>
      <c r="I165" s="75"/>
      <c r="J165" s="116">
        <f>((('indice Carburant'!D6/'Indexation Client 2026'!$D$165)-1)*'Indexation Client 2026'!$F$165)</f>
        <v>0</v>
      </c>
      <c r="K165" s="116">
        <f>((('indice Carburant'!E6/'Indexation Client 2026'!$D$165)-1)*'Indexation Client 2026'!$F$165)</f>
        <v>4.0590568532393153E-3</v>
      </c>
      <c r="L165" s="116">
        <f>((('indice Carburant'!F6/'Indexation Client 2026'!$D$165)-1)*'Indexation Client 2026'!$F$165)</f>
        <v>7.8140149845747058E-3</v>
      </c>
      <c r="M165" s="99">
        <f>((('indice Carburant'!G6/'Indexation Client 2026'!$D$165)-1)*'Indexation Client 2026'!$F$165)</f>
        <v>4.4001762891141466E-2</v>
      </c>
      <c r="N165" s="99">
        <f>((('indice Carburant'!H6/'Indexation Client 2026'!$D$165)-1)*'Indexation Client 2026'!$F$165)</f>
        <v>-0.12</v>
      </c>
      <c r="O165" s="99">
        <f>((('indice Carburant'!I6/'Indexation Client 2026'!$D$165)-1)*'Indexation Client 2026'!$F$165)</f>
        <v>-0.12</v>
      </c>
      <c r="P165" s="99">
        <f>((('indice Carburant'!J6/'Indexation Client 2026'!$D$165)-1)*'Indexation Client 2026'!$F$165)</f>
        <v>-0.12</v>
      </c>
      <c r="Q165" s="99">
        <f>((('indice Carburant'!K6/'Indexation Client 2026'!$D$165)-1)*'Indexation Client 2026'!$F$165)</f>
        <v>-0.12</v>
      </c>
      <c r="R165" s="99">
        <f>((('indice Carburant'!L6/'Indexation Client 2026'!$D$165)-1)*'Indexation Client 2026'!$F$165)</f>
        <v>-0.12</v>
      </c>
      <c r="S165" s="99">
        <f>((('indice Carburant'!M6/'Indexation Client 2026'!$D$165)-1)*'Indexation Client 2026'!$F$165)</f>
        <v>-0.12</v>
      </c>
      <c r="T165" s="99">
        <f>((('indice Carburant'!N6/'Indexation Client 2026'!$D$165)-1)*'Indexation Client 2026'!$F$165)</f>
        <v>-0.12</v>
      </c>
      <c r="U165" s="99">
        <f>((('indice Carburant'!O6/'Indexation Client 2026'!$D$165)-1)*'Indexation Client 2026'!$F$165)</f>
        <v>-0.12</v>
      </c>
    </row>
    <row r="166" spans="1:21" x14ac:dyDescent="0.3">
      <c r="A166" s="38" t="s">
        <v>270</v>
      </c>
      <c r="B166" s="67" t="s">
        <v>285</v>
      </c>
      <c r="C166" s="29"/>
      <c r="D166" s="30">
        <v>204.89</v>
      </c>
      <c r="E166" s="30" t="s">
        <v>27</v>
      </c>
      <c r="F166" s="42">
        <v>0.22</v>
      </c>
      <c r="G166" s="30" t="s">
        <v>28</v>
      </c>
      <c r="H166" s="30"/>
      <c r="I166" s="32"/>
      <c r="J166" s="105">
        <f>((('indice Carburant'!D6/'Indexation Client 2026'!$D$166)-1)*'Indexation Client 2026'!$F$166)</f>
        <v>-2.5093464785982691E-2</v>
      </c>
      <c r="K166" s="105">
        <f>((('indice Carburant'!E6/'Indexation Client 2026'!$D$166)-1)*'Indexation Client 2026'!$F$166)</f>
        <v>-1.8500658890136152E-2</v>
      </c>
      <c r="L166" s="105">
        <f>((('indice Carburant'!F6/'Indexation Client 2026'!$D$166)-1)*'Indexation Client 2026'!$F$166)</f>
        <v>-1.2401776563033802E-2</v>
      </c>
      <c r="M166" s="68">
        <f>((('indice Carburant'!G6/'Indexation Client 2026'!$D$166)-1)*'Indexation Client 2026'!$F$166)</f>
        <v>4.6375128117526532E-2</v>
      </c>
      <c r="N166" s="68">
        <f>((('indice Carburant'!H6/'Indexation Client 2026'!$D$166)-1)*'Indexation Client 2026'!$F$166)</f>
        <v>-0.22</v>
      </c>
      <c r="O166" s="68">
        <f>((('indice Carburant'!I6/'Indexation Client 2026'!$D$166)-1)*'Indexation Client 2026'!$F$166)</f>
        <v>-0.22</v>
      </c>
      <c r="P166" s="68">
        <f>((('indice Carburant'!J6/'Indexation Client 2026'!$D$166)-1)*'Indexation Client 2026'!$F$166)</f>
        <v>-0.22</v>
      </c>
      <c r="Q166" s="68">
        <f>((('indice Carburant'!K6/'Indexation Client 2026'!$D$166)-1)*'Indexation Client 2026'!$F$166)</f>
        <v>-0.22</v>
      </c>
      <c r="R166" s="68">
        <f>((('indice Carburant'!L6/'Indexation Client 2026'!$D$166)-1)*'Indexation Client 2026'!$F$166)</f>
        <v>-0.22</v>
      </c>
      <c r="S166" s="68">
        <f>((('indice Carburant'!M6/'Indexation Client 2026'!$D$166)-1)*'Indexation Client 2026'!$F$166)</f>
        <v>-0.22</v>
      </c>
      <c r="T166" s="68">
        <f>((('indice Carburant'!N6/'Indexation Client 2026'!$D$166)-1)*'Indexation Client 2026'!$F$166)</f>
        <v>-0.22</v>
      </c>
      <c r="U166" s="68">
        <f>((('indice Carburant'!O6/'Indexation Client 2026'!$D$166)-1)*'Indexation Client 2026'!$F$166)</f>
        <v>-0.22</v>
      </c>
    </row>
    <row r="167" spans="1:21" x14ac:dyDescent="0.3">
      <c r="A167" s="38" t="s">
        <v>275</v>
      </c>
      <c r="B167" s="67" t="s">
        <v>276</v>
      </c>
      <c r="C167" s="29" t="s">
        <v>275</v>
      </c>
      <c r="D167" s="30">
        <v>1.2099</v>
      </c>
      <c r="E167" s="30" t="s">
        <v>279</v>
      </c>
      <c r="F167" s="30">
        <v>0.31</v>
      </c>
      <c r="G167" s="30" t="s">
        <v>67</v>
      </c>
      <c r="H167" s="30"/>
      <c r="I167" s="32"/>
      <c r="J167" s="105"/>
      <c r="K167" s="114">
        <f>('indice Carburant'!E8-'indice Carburant'!E26)*$F$167</f>
        <v>0.36152200000000001</v>
      </c>
      <c r="L167" s="114">
        <f>('indice Carburant'!F8-'indice Carburant'!F26)*$F$167</f>
        <v>0.37172100000000002</v>
      </c>
      <c r="M167" s="78">
        <f>('indice Carburant'!G8-'indice Carburant'!G26)*$F$167</f>
        <v>0.496589</v>
      </c>
      <c r="N167" s="78">
        <f>('indice Carburant'!H8-'indice Carburant'!H26)*$F$167</f>
        <v>-4.8235999999999994E-2</v>
      </c>
      <c r="O167" s="78">
        <f>('indice Carburant'!I8-'indice Carburant'!I26)*$F$167</f>
        <v>-4.8235999999999994E-2</v>
      </c>
      <c r="P167" s="78">
        <f>('indice Carburant'!J8-'indice Carburant'!J26)*$F$167</f>
        <v>-4.8235999999999994E-2</v>
      </c>
      <c r="Q167" s="78">
        <f>('indice Carburant'!K8-'indice Carburant'!K26)*$F$167</f>
        <v>-4.8235999999999994E-2</v>
      </c>
      <c r="R167" s="78">
        <f>('indice Carburant'!L8-'indice Carburant'!L26)*$F$167</f>
        <v>-4.8235999999999994E-2</v>
      </c>
      <c r="S167" s="78">
        <f>('indice Carburant'!M8-'indice Carburant'!M26)*$F$167</f>
        <v>-4.8235999999999994E-2</v>
      </c>
      <c r="T167" s="78">
        <f>('indice Carburant'!N8-'indice Carburant'!N26)*$F$167</f>
        <v>-4.8235999999999994E-2</v>
      </c>
      <c r="U167" s="78">
        <f>('indice Carburant'!O8-'indice Carburant'!O26)*$F$167</f>
        <v>-4.8235999999999994E-2</v>
      </c>
    </row>
    <row r="168" spans="1:21" x14ac:dyDescent="0.3">
      <c r="A168" s="71"/>
      <c r="B168" s="72"/>
      <c r="C168" s="55"/>
      <c r="E168" s="73"/>
      <c r="F168" s="74"/>
      <c r="G168" s="73"/>
      <c r="I168" s="75"/>
      <c r="J168" s="76"/>
      <c r="K168" s="76"/>
      <c r="L168" s="76"/>
      <c r="M168" s="76"/>
      <c r="N168" s="77"/>
      <c r="O168" s="77"/>
      <c r="P168" s="77"/>
      <c r="Q168" s="77"/>
      <c r="R168" s="77"/>
      <c r="S168" s="77"/>
      <c r="T168" s="77"/>
      <c r="U168" s="77"/>
    </row>
    <row r="170" spans="1:21" x14ac:dyDescent="0.3">
      <c r="A170" t="s">
        <v>230</v>
      </c>
      <c r="B170" s="63" t="s">
        <v>231</v>
      </c>
      <c r="C170" t="s">
        <v>232</v>
      </c>
      <c r="D170" t="s">
        <v>233</v>
      </c>
    </row>
    <row r="171" spans="1:21" x14ac:dyDescent="0.3">
      <c r="A171" t="s">
        <v>234</v>
      </c>
      <c r="B171">
        <v>190.09</v>
      </c>
      <c r="C171" s="64">
        <v>2.82</v>
      </c>
      <c r="D171" s="65">
        <v>0.12470000000000001</v>
      </c>
    </row>
    <row r="172" spans="1:21" x14ac:dyDescent="0.3">
      <c r="B172">
        <f>(C171/B171)/D171</f>
        <v>0.1189661437120297</v>
      </c>
    </row>
    <row r="173" spans="1:21" x14ac:dyDescent="0.3">
      <c r="B173" s="66">
        <f>(B172*D159)+D159</f>
        <v>1.0300083352869234</v>
      </c>
    </row>
  </sheetData>
  <autoFilter ref="A5:U167" xr:uid="{2E1D736D-A8D1-4992-A3F5-DA5D7FD917DF}"/>
  <mergeCells count="2">
    <mergeCell ref="A1:F4"/>
    <mergeCell ref="G2:G3"/>
  </mergeCells>
  <phoneticPr fontId="20" type="noConversion"/>
  <printOptions horizontalCentered="1"/>
  <pageMargins left="0" right="0" top="0" bottom="0" header="0" footer="0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168B998D8DC4BB8569C7989CFC48A" ma:contentTypeVersion="19" ma:contentTypeDescription="Crée un document." ma:contentTypeScope="" ma:versionID="5f8c802aaa5d458ab790aaa7b8aa7b3a">
  <xsd:schema xmlns:xsd="http://www.w3.org/2001/XMLSchema" xmlns:xs="http://www.w3.org/2001/XMLSchema" xmlns:p="http://schemas.microsoft.com/office/2006/metadata/properties" xmlns:ns2="7e1279f2-f548-4bd3-b1c3-dd63eb32eba7" xmlns:ns3="e5076fa8-34d5-458e-9810-0fa82f14e6dd" targetNamespace="http://schemas.microsoft.com/office/2006/metadata/properties" ma:root="true" ma:fieldsID="0fe6eac722999b88b8bdaab1ba028d21" ns2:_="" ns3:_="">
    <xsd:import namespace="7e1279f2-f548-4bd3-b1c3-dd63eb32eba7"/>
    <xsd:import namespace="e5076fa8-34d5-458e-9810-0fa82f14e6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279f2-f548-4bd3-b1c3-dd63eb32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4676710-ed98-4ebb-9bc9-bac3fed1c517}" ma:internalName="TaxCatchAll" ma:showField="CatchAllData" ma:web="7e1279f2-f548-4bd3-b1c3-dd63eb32e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76fa8-34d5-458e-9810-0fa82f14e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c91b482d-9a43-4f29-b8b0-61d0563f9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076fa8-34d5-458e-9810-0fa82f14e6dd">
      <Terms xmlns="http://schemas.microsoft.com/office/infopath/2007/PartnerControls"/>
    </lcf76f155ced4ddcb4097134ff3c332f>
    <TaxCatchAll xmlns="7e1279f2-f548-4bd3-b1c3-dd63eb32eba7" xsi:nil="true"/>
  </documentManagement>
</p:properties>
</file>

<file path=customXml/itemProps1.xml><?xml version="1.0" encoding="utf-8"?>
<ds:datastoreItem xmlns:ds="http://schemas.openxmlformats.org/officeDocument/2006/customXml" ds:itemID="{5F60BDE6-3ED8-4F39-A434-691375849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1279f2-f548-4bd3-b1c3-dd63eb32eba7"/>
    <ds:schemaRef ds:uri="e5076fa8-34d5-458e-9810-0fa82f14e6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2CE91-609A-4FC3-A5E2-C93D590CEE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32E578-1107-4180-875B-1FF1131B2E23}">
  <ds:schemaRefs>
    <ds:schemaRef ds:uri="http://schemas.microsoft.com/office/2006/metadata/properties"/>
    <ds:schemaRef ds:uri="http://schemas.microsoft.com/office/infopath/2007/PartnerControls"/>
    <ds:schemaRef ds:uri="e5076fa8-34d5-458e-9810-0fa82f14e6dd"/>
    <ds:schemaRef ds:uri="7e1279f2-f548-4bd3-b1c3-dd63eb32eb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indice Carburant</vt:lpstr>
      <vt:lpstr>Indexation Client 2026</vt:lpstr>
      <vt:lpstr>'Indexation Client 2026'!Zone_d_impression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LEFRANCOIS</dc:creator>
  <cp:keywords/>
  <dc:description/>
  <cp:lastModifiedBy>Laurent LEFRANCOIS</cp:lastModifiedBy>
  <cp:revision/>
  <dcterms:created xsi:type="dcterms:W3CDTF">2025-03-10T10:21:57Z</dcterms:created>
  <dcterms:modified xsi:type="dcterms:W3CDTF">2026-04-14T13:23:59Z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0x010100665168B998D8DC4BB8569C7989CFC48A</vt:lpwstr>
  </property>
  <property fmtid="{D5CDD505-2E9C-101B-9397-08002B2CF9AE}" pid="3" name="MediaServiceImageTags">
    <vt:lpwstr/>
  </property>
</Properties>
</file>
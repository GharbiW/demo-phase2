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https://transportparnassservices.sharepoint.com/sites/DATA/Documents partages/CONTRÔLE DE GESTION/6- Etudes Rentabilité/2025/2- Avril 2025/"/>
    </mc:Choice>
  </mc:AlternateContent>
  <xr:revisionPtr revIDLastSave="5620" documentId="13_ncr:1_{F3B67608-F94E-4102-A2D6-DA19309617DC}" xr6:coauthVersionLast="47" xr6:coauthVersionMax="47" xr10:uidLastSave="{BBF7D50A-5D4C-4DE7-93BD-3DD899315532}"/>
  <bookViews>
    <workbookView xWindow="-108" yWindow="-108" windowWidth="23256" windowHeight="12456" activeTab="1" xr2:uid="{00000000-000D-0000-FFFF-FFFF00000000}"/>
  </bookViews>
  <sheets>
    <sheet name="Liste" sheetId="16" state="hidden" r:id="rId1"/>
    <sheet name="Sommaire" sheetId="17" r:id="rId2"/>
    <sheet name="CM4" sheetId="15" r:id="rId3"/>
    <sheet name="CM6" sheetId="18" r:id="rId4"/>
    <sheet name="CM8" sheetId="19" r:id="rId5"/>
    <sheet name="CM9" sheetId="20" r:id="rId6"/>
    <sheet name="CM10" sheetId="21" r:id="rId7"/>
    <sheet name="CM5" sheetId="22" r:id="rId8"/>
    <sheet name="CM44" sheetId="23" r:id="rId9"/>
    <sheet name="CM53" sheetId="24" r:id="rId10"/>
    <sheet name="CM7" sheetId="30" r:id="rId11"/>
    <sheet name="CM14" sheetId="31" r:id="rId12"/>
    <sheet name="CM15" sheetId="32" r:id="rId13"/>
    <sheet name="CM19" sheetId="33" r:id="rId14"/>
    <sheet name="CM23" sheetId="34" r:id="rId15"/>
    <sheet name="CM25" sheetId="35" r:id="rId16"/>
    <sheet name="CM26" sheetId="36" r:id="rId17"/>
    <sheet name="CM59" sheetId="40" r:id="rId18"/>
    <sheet name="CM60" sheetId="85" r:id="rId19"/>
    <sheet name="CM48" sheetId="41" r:id="rId20"/>
    <sheet name="CM42" sheetId="42" r:id="rId21"/>
    <sheet name="CM41" sheetId="43" r:id="rId22"/>
    <sheet name="CM39" sheetId="44" r:id="rId23"/>
    <sheet name="CM37" sheetId="45" r:id="rId24"/>
    <sheet name="CM34" sheetId="46" r:id="rId25"/>
    <sheet name="CM29" sheetId="47" r:id="rId26"/>
    <sheet name="CM27" sheetId="48" r:id="rId27"/>
    <sheet name="CM24" sheetId="49" r:id="rId28"/>
    <sheet name="CM21" sheetId="50" r:id="rId29"/>
    <sheet name="CM61" sheetId="86" r:id="rId30"/>
    <sheet name="Cumul CM" sheetId="83" r:id="rId31"/>
    <sheet name="SPL72" sheetId="25" r:id="rId32"/>
    <sheet name="SPL7" sheetId="26" r:id="rId33"/>
    <sheet name="SPL22" sheetId="27" r:id="rId34"/>
    <sheet name="SPL33" sheetId="28" r:id="rId35"/>
    <sheet name="SPL73" sheetId="29" r:id="rId36"/>
    <sheet name="SPL8" sheetId="37" r:id="rId37"/>
    <sheet name="SPL9" sheetId="39" r:id="rId38"/>
    <sheet name="SPL75" sheetId="51" r:id="rId39"/>
    <sheet name="SPL76" sheetId="52" r:id="rId40"/>
    <sheet name="SPL77" sheetId="53" r:id="rId41"/>
    <sheet name="SPL74" sheetId="54" r:id="rId42"/>
    <sheet name="SPL70" sheetId="55" r:id="rId43"/>
    <sheet name="SPL69" sheetId="56" r:id="rId44"/>
    <sheet name="SPL68" sheetId="57" r:id="rId45"/>
    <sheet name="SPL67" sheetId="58" r:id="rId46"/>
    <sheet name="SPL62" sheetId="59" r:id="rId47"/>
    <sheet name="SPL59" sheetId="60" r:id="rId48"/>
    <sheet name="SPL56" sheetId="61" r:id="rId49"/>
    <sheet name="SPL54" sheetId="62" r:id="rId50"/>
    <sheet name="SPL53" sheetId="63" r:id="rId51"/>
    <sheet name="SPL51" sheetId="64" r:id="rId52"/>
    <sheet name="SPL47" sheetId="65" r:id="rId53"/>
    <sheet name="SPL13" sheetId="66" r:id="rId54"/>
    <sheet name="SPL14" sheetId="67" r:id="rId55"/>
    <sheet name="SPL16" sheetId="68" r:id="rId56"/>
    <sheet name="SPL17" sheetId="69" r:id="rId57"/>
    <sheet name="SPL18" sheetId="70" r:id="rId58"/>
    <sheet name="SPL20" sheetId="71" r:id="rId59"/>
    <sheet name="SPL23" sheetId="72" r:id="rId60"/>
    <sheet name="SPL25" sheetId="73" r:id="rId61"/>
    <sheet name="SPL26" sheetId="74" r:id="rId62"/>
    <sheet name="SPL27" sheetId="75" r:id="rId63"/>
    <sheet name="SPL30" sheetId="76" r:id="rId64"/>
    <sheet name="SPL34" sheetId="77" r:id="rId65"/>
    <sheet name="SPL36" sheetId="78" r:id="rId66"/>
    <sheet name="SPL37" sheetId="79" r:id="rId67"/>
    <sheet name="SPL44" sheetId="80" r:id="rId68"/>
    <sheet name="SPL45" sheetId="81" r:id="rId69"/>
    <sheet name="CUMUL SPL" sheetId="84" r:id="rId70"/>
  </sheets>
  <definedNames>
    <definedName name="_xlnm._FilterDatabase" localSheetId="1" hidden="1">Sommaire!$A$6:$H$72</definedName>
    <definedName name="Moteurs">'CM4'!#REF!</definedName>
    <definedName name="_xlnm.Print_Area" localSheetId="2">'CM4'!$A$1:$H$48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7" l="1"/>
  <c r="C29" i="17"/>
  <c r="D40" i="83"/>
  <c r="D38" i="83"/>
  <c r="D36" i="83"/>
  <c r="D34" i="83"/>
  <c r="D29" i="83"/>
  <c r="F24" i="83"/>
  <c r="C42" i="86" l="1"/>
  <c r="D42" i="86" s="1"/>
  <c r="D41" i="86"/>
  <c r="B39" i="86"/>
  <c r="D39" i="86" s="1"/>
  <c r="D38" i="86"/>
  <c r="D36" i="86"/>
  <c r="D35" i="86"/>
  <c r="D34" i="86"/>
  <c r="C33" i="86"/>
  <c r="D33" i="86" s="1"/>
  <c r="C32" i="86"/>
  <c r="D32" i="86" s="1"/>
  <c r="C31" i="86"/>
  <c r="D31" i="86" s="1"/>
  <c r="C30" i="86"/>
  <c r="D30" i="86" s="1"/>
  <c r="C29" i="86"/>
  <c r="D29" i="86" s="1"/>
  <c r="G22" i="86"/>
  <c r="E22" i="86"/>
  <c r="E21" i="86"/>
  <c r="G21" i="86" s="1"/>
  <c r="E20" i="86"/>
  <c r="G20" i="86" s="1"/>
  <c r="G19" i="86"/>
  <c r="E19" i="86"/>
  <c r="G18" i="86"/>
  <c r="E18" i="86"/>
  <c r="E17" i="86"/>
  <c r="G17" i="86" s="1"/>
  <c r="E16" i="86"/>
  <c r="G16" i="86" s="1"/>
  <c r="D30" i="84"/>
  <c r="D31" i="84"/>
  <c r="D32" i="84"/>
  <c r="D33" i="84"/>
  <c r="D34" i="84"/>
  <c r="D35" i="84"/>
  <c r="D36" i="84"/>
  <c r="D37" i="84"/>
  <c r="D38" i="84"/>
  <c r="D39" i="84"/>
  <c r="D40" i="84"/>
  <c r="D41" i="84"/>
  <c r="D42" i="84"/>
  <c r="D43" i="84"/>
  <c r="D29" i="84"/>
  <c r="D30" i="83"/>
  <c r="F24" i="86" l="1"/>
  <c r="D45" i="86"/>
  <c r="D39" i="83"/>
  <c r="D35" i="83"/>
  <c r="D46" i="86" l="1"/>
  <c r="D48" i="86" s="1"/>
  <c r="E22" i="79"/>
  <c r="G22" i="79" s="1"/>
  <c r="E21" i="79"/>
  <c r="G21" i="79" s="1"/>
  <c r="B11" i="78"/>
  <c r="G21" i="78"/>
  <c r="E20" i="78"/>
  <c r="G20" i="78" s="1"/>
  <c r="E17" i="78"/>
  <c r="G17" i="78" s="1"/>
  <c r="D40" i="77"/>
  <c r="B11" i="77"/>
  <c r="B11" i="75"/>
  <c r="E21" i="75" l="1"/>
  <c r="B11" i="74"/>
  <c r="D40" i="74" l="1"/>
  <c r="F17" i="73"/>
  <c r="D40" i="72"/>
  <c r="G23" i="72"/>
  <c r="F23" i="72"/>
  <c r="B11" i="72"/>
  <c r="F20" i="72" l="1"/>
  <c r="F18" i="72"/>
  <c r="B11" i="71" l="1"/>
  <c r="B11" i="70" l="1"/>
  <c r="G21" i="70"/>
  <c r="E21" i="70"/>
  <c r="D40" i="69"/>
  <c r="B11" i="69"/>
  <c r="B11" i="68" l="1"/>
  <c r="E18" i="68" l="1"/>
  <c r="G18" i="68" s="1"/>
  <c r="B11" i="67" l="1"/>
  <c r="F18" i="67"/>
  <c r="E17" i="67"/>
  <c r="G17" i="67" s="1"/>
  <c r="E18" i="67"/>
  <c r="D40" i="66"/>
  <c r="B12" i="66"/>
  <c r="B11" i="66"/>
  <c r="B11" i="65"/>
  <c r="B9" i="65"/>
  <c r="B8" i="65"/>
  <c r="F16" i="65"/>
  <c r="B11" i="64"/>
  <c r="B9" i="64"/>
  <c r="B8" i="64"/>
  <c r="D30" i="64"/>
  <c r="G18" i="67" l="1"/>
  <c r="F17" i="62" l="1"/>
  <c r="B11" i="61"/>
  <c r="E22" i="61"/>
  <c r="G22" i="61"/>
  <c r="B11" i="60"/>
  <c r="G19" i="60"/>
  <c r="D20" i="60"/>
  <c r="E20" i="60" s="1"/>
  <c r="G20" i="60" s="1"/>
  <c r="D41" i="57"/>
  <c r="G22" i="57"/>
  <c r="F25" i="57" s="1"/>
  <c r="E22" i="57"/>
  <c r="B11" i="57"/>
  <c r="D23" i="57"/>
  <c r="C19" i="56" l="1"/>
  <c r="D40" i="56" l="1"/>
  <c r="B11" i="56"/>
  <c r="C39" i="17" l="1"/>
  <c r="C25" i="17"/>
  <c r="C36" i="17"/>
  <c r="C10" i="17"/>
  <c r="C8" i="17"/>
  <c r="D26" i="17"/>
  <c r="C26" i="17"/>
  <c r="C18" i="17"/>
  <c r="C42" i="17"/>
  <c r="C68" i="17"/>
  <c r="D7" i="17"/>
  <c r="C7" i="17"/>
  <c r="D48" i="17"/>
  <c r="C48" i="17"/>
  <c r="D72" i="17"/>
  <c r="C72" i="17"/>
  <c r="C46" i="17"/>
  <c r="C40" i="17"/>
  <c r="D58" i="17"/>
  <c r="C58" i="17"/>
  <c r="D66" i="17"/>
  <c r="C66" i="17"/>
  <c r="C21" i="17"/>
  <c r="C27" i="17"/>
  <c r="C43" i="17"/>
  <c r="C51" i="17"/>
  <c r="C20" i="17"/>
  <c r="C9" i="17"/>
  <c r="C63" i="17"/>
  <c r="D37" i="17"/>
  <c r="C37" i="17"/>
  <c r="D65" i="17"/>
  <c r="C65" i="17"/>
  <c r="C31" i="17"/>
  <c r="C44" i="17"/>
  <c r="D52" i="17"/>
  <c r="C52" i="17"/>
  <c r="D60" i="17"/>
  <c r="C60" i="17"/>
  <c r="C56" i="17"/>
  <c r="D69" i="17"/>
  <c r="C69" i="17"/>
  <c r="C23" i="17"/>
  <c r="D53" i="17"/>
  <c r="C53" i="17"/>
  <c r="D61" i="17"/>
  <c r="C61" i="17"/>
  <c r="D64" i="17"/>
  <c r="C64" i="17"/>
  <c r="D45" i="17"/>
  <c r="C45" i="17"/>
  <c r="D38" i="17"/>
  <c r="C38" i="17"/>
  <c r="D28" i="17"/>
  <c r="D55" i="17"/>
  <c r="C28" i="17"/>
  <c r="C55" i="17"/>
  <c r="D49" i="17"/>
  <c r="C49" i="17"/>
  <c r="C67" i="17"/>
  <c r="C24" i="17"/>
  <c r="C34" i="17"/>
  <c r="C57" i="17"/>
  <c r="D30" i="17"/>
  <c r="C30" i="17"/>
  <c r="E19" i="17"/>
  <c r="D19" i="17"/>
  <c r="C19" i="17"/>
  <c r="C13" i="17"/>
  <c r="D16" i="17"/>
  <c r="C16" i="17"/>
  <c r="C11" i="17"/>
  <c r="C71" i="17"/>
  <c r="C15" i="17"/>
  <c r="C59" i="17"/>
  <c r="C50" i="17"/>
  <c r="C32" i="17"/>
  <c r="C33" i="17"/>
  <c r="C14" i="17"/>
  <c r="C22" i="17"/>
  <c r="C54" i="17"/>
  <c r="C12" i="17"/>
  <c r="C17" i="17"/>
  <c r="C35" i="17"/>
  <c r="D62" i="17"/>
  <c r="C62" i="17"/>
  <c r="C47" i="17"/>
  <c r="D41" i="17"/>
  <c r="C41" i="17"/>
  <c r="C70" i="17"/>
  <c r="D40" i="54"/>
  <c r="F18" i="54"/>
  <c r="D37" i="29" l="1"/>
  <c r="D40" i="26"/>
  <c r="B11" i="26"/>
  <c r="F16" i="48" l="1"/>
  <c r="F16" i="47"/>
  <c r="F16" i="45" l="1"/>
  <c r="F17" i="44"/>
  <c r="F16" i="44"/>
  <c r="F16" i="43"/>
  <c r="F17" i="43"/>
  <c r="D39" i="40"/>
  <c r="F16" i="40"/>
  <c r="F17" i="36"/>
  <c r="F16" i="36"/>
  <c r="F17" i="35"/>
  <c r="F16" i="35"/>
  <c r="D18" i="34"/>
  <c r="F17" i="34"/>
  <c r="F16" i="34"/>
  <c r="G22" i="33"/>
  <c r="F22" i="33"/>
  <c r="B11" i="33" l="1"/>
  <c r="F18" i="33" l="1"/>
  <c r="F17" i="33"/>
  <c r="F16" i="33"/>
  <c r="F17" i="32"/>
  <c r="B11" i="31"/>
  <c r="G18" i="31"/>
  <c r="C18" i="31"/>
  <c r="F16" i="31" l="1"/>
  <c r="B11" i="24"/>
  <c r="C19" i="24"/>
  <c r="B11" i="23"/>
  <c r="G20" i="23"/>
  <c r="F20" i="23"/>
  <c r="B11" i="22" l="1"/>
  <c r="C19" i="21" l="1"/>
  <c r="F17" i="21"/>
  <c r="B11" i="20"/>
  <c r="F18" i="20"/>
  <c r="F17" i="18" l="1"/>
  <c r="D37" i="26" l="1"/>
  <c r="D39" i="85" l="1"/>
  <c r="D16" i="85"/>
  <c r="D19" i="85"/>
  <c r="E16" i="85" l="1"/>
  <c r="G16" i="85" s="1"/>
  <c r="D18" i="40"/>
  <c r="C42" i="85"/>
  <c r="D42" i="85" s="1"/>
  <c r="D41" i="85"/>
  <c r="B39" i="85"/>
  <c r="D38" i="85"/>
  <c r="D36" i="85"/>
  <c r="D35" i="85"/>
  <c r="D34" i="85"/>
  <c r="C33" i="85"/>
  <c r="D33" i="85" s="1"/>
  <c r="D32" i="85"/>
  <c r="C32" i="85"/>
  <c r="C31" i="85"/>
  <c r="D31" i="85" s="1"/>
  <c r="C30" i="85"/>
  <c r="D30" i="85" s="1"/>
  <c r="C29" i="85"/>
  <c r="D29" i="85" s="1"/>
  <c r="G22" i="85"/>
  <c r="E22" i="85"/>
  <c r="E21" i="85"/>
  <c r="G21" i="85" s="1"/>
  <c r="E20" i="85"/>
  <c r="G20" i="85" s="1"/>
  <c r="E19" i="85"/>
  <c r="G19" i="85" s="1"/>
  <c r="E17" i="85"/>
  <c r="G17" i="85" s="1"/>
  <c r="D45" i="85" l="1"/>
  <c r="F24" i="85"/>
  <c r="C42" i="84"/>
  <c r="B39" i="84"/>
  <c r="C33" i="84"/>
  <c r="C32" i="84"/>
  <c r="C31" i="84"/>
  <c r="C30" i="84"/>
  <c r="C29" i="84"/>
  <c r="D41" i="83"/>
  <c r="D42" i="83"/>
  <c r="D43" i="83"/>
  <c r="C42" i="83"/>
  <c r="B39" i="83"/>
  <c r="C33" i="83"/>
  <c r="C32" i="83"/>
  <c r="C31" i="83"/>
  <c r="D40" i="78"/>
  <c r="D40" i="75"/>
  <c r="D40" i="71"/>
  <c r="D41" i="70"/>
  <c r="D41" i="68"/>
  <c r="D41" i="67"/>
  <c r="D41" i="61"/>
  <c r="D40" i="60"/>
  <c r="D41" i="33"/>
  <c r="D40" i="31"/>
  <c r="D41" i="24"/>
  <c r="D41" i="23"/>
  <c r="D41" i="22"/>
  <c r="D40" i="20"/>
  <c r="D40" i="19"/>
  <c r="D46" i="85" l="1"/>
  <c r="D48" i="85" s="1"/>
  <c r="H24" i="17" s="1"/>
  <c r="C30" i="51"/>
  <c r="C31" i="51"/>
  <c r="B12" i="81"/>
  <c r="B39" i="81" s="1"/>
  <c r="D39" i="81" s="1"/>
  <c r="C42" i="81"/>
  <c r="D42" i="81" s="1"/>
  <c r="D41" i="81"/>
  <c r="D38" i="81"/>
  <c r="D36" i="81"/>
  <c r="D35" i="81"/>
  <c r="D34" i="81"/>
  <c r="C33" i="81"/>
  <c r="D33" i="81" s="1"/>
  <c r="C32" i="81"/>
  <c r="D32" i="81" s="1"/>
  <c r="C31" i="81"/>
  <c r="D31" i="81" s="1"/>
  <c r="C30" i="81"/>
  <c r="D30" i="81" s="1"/>
  <c r="C29" i="81"/>
  <c r="D29" i="81" s="1"/>
  <c r="G23" i="81"/>
  <c r="E23" i="81"/>
  <c r="E22" i="81"/>
  <c r="G22" i="81" s="1"/>
  <c r="G21" i="81"/>
  <c r="E21" i="81"/>
  <c r="E20" i="81"/>
  <c r="G20" i="81" s="1"/>
  <c r="E19" i="81"/>
  <c r="G19" i="81" s="1"/>
  <c r="E18" i="81"/>
  <c r="E17" i="81"/>
  <c r="G17" i="81" s="1"/>
  <c r="E16" i="81"/>
  <c r="G16" i="81" s="1"/>
  <c r="C42" i="80"/>
  <c r="D42" i="80" s="1"/>
  <c r="D41" i="80"/>
  <c r="D38" i="80"/>
  <c r="D36" i="80"/>
  <c r="D35" i="80"/>
  <c r="D34" i="80"/>
  <c r="C33" i="80"/>
  <c r="D33" i="80" s="1"/>
  <c r="C32" i="80"/>
  <c r="D32" i="80" s="1"/>
  <c r="C31" i="80"/>
  <c r="D31" i="80" s="1"/>
  <c r="C30" i="80"/>
  <c r="D30" i="80" s="1"/>
  <c r="C29" i="80"/>
  <c r="D29" i="80" s="1"/>
  <c r="E23" i="80"/>
  <c r="G23" i="80" s="1"/>
  <c r="E22" i="80"/>
  <c r="G22" i="80" s="1"/>
  <c r="E21" i="80"/>
  <c r="G21" i="80" s="1"/>
  <c r="E20" i="80"/>
  <c r="G20" i="80" s="1"/>
  <c r="E19" i="80"/>
  <c r="G19" i="80" s="1"/>
  <c r="E18" i="80"/>
  <c r="G18" i="80" s="1"/>
  <c r="E17" i="80"/>
  <c r="G17" i="80" s="1"/>
  <c r="E16" i="80"/>
  <c r="G16" i="80" s="1"/>
  <c r="B39" i="80"/>
  <c r="D39" i="80" s="1"/>
  <c r="B12" i="79"/>
  <c r="B39" i="79" s="1"/>
  <c r="D39" i="79" s="1"/>
  <c r="C42" i="79"/>
  <c r="D42" i="79" s="1"/>
  <c r="D41" i="79"/>
  <c r="C33" i="79"/>
  <c r="D33" i="79" s="1"/>
  <c r="C32" i="79"/>
  <c r="D32" i="79" s="1"/>
  <c r="C31" i="79"/>
  <c r="D31" i="79" s="1"/>
  <c r="C30" i="79"/>
  <c r="D30" i="79" s="1"/>
  <c r="C29" i="79"/>
  <c r="D29" i="79" s="1"/>
  <c r="E23" i="79"/>
  <c r="G23" i="79" s="1"/>
  <c r="E20" i="79"/>
  <c r="G20" i="79" s="1"/>
  <c r="E19" i="79"/>
  <c r="G19" i="79" s="1"/>
  <c r="E18" i="79"/>
  <c r="G18" i="79" s="1"/>
  <c r="E17" i="79"/>
  <c r="G17" i="79" s="1"/>
  <c r="E16" i="79"/>
  <c r="G16" i="79" s="1"/>
  <c r="D34" i="79"/>
  <c r="D38" i="78"/>
  <c r="C42" i="78"/>
  <c r="D42" i="78" s="1"/>
  <c r="D41" i="78"/>
  <c r="B39" i="78"/>
  <c r="D39" i="78" s="1"/>
  <c r="C33" i="78"/>
  <c r="D33" i="78" s="1"/>
  <c r="C32" i="78"/>
  <c r="D32" i="78" s="1"/>
  <c r="C31" i="78"/>
  <c r="D31" i="78" s="1"/>
  <c r="C30" i="78"/>
  <c r="D30" i="78" s="1"/>
  <c r="C29" i="78"/>
  <c r="D29" i="78" s="1"/>
  <c r="E23" i="78"/>
  <c r="G23" i="78" s="1"/>
  <c r="E22" i="78"/>
  <c r="G22" i="78" s="1"/>
  <c r="E21" i="78"/>
  <c r="E19" i="78"/>
  <c r="G19" i="78" s="1"/>
  <c r="E18" i="78"/>
  <c r="G18" i="78" s="1"/>
  <c r="E16" i="78"/>
  <c r="G16" i="78" s="1"/>
  <c r="C18" i="77"/>
  <c r="D34" i="78" l="1"/>
  <c r="D35" i="78"/>
  <c r="G18" i="81"/>
  <c r="F24" i="81" s="1"/>
  <c r="D45" i="81"/>
  <c r="F24" i="80"/>
  <c r="D45" i="80"/>
  <c r="F24" i="79"/>
  <c r="D35" i="79"/>
  <c r="D36" i="79"/>
  <c r="D38" i="79"/>
  <c r="F24" i="78"/>
  <c r="D36" i="78"/>
  <c r="C42" i="77"/>
  <c r="D42" i="77" s="1"/>
  <c r="D41" i="77"/>
  <c r="B39" i="77"/>
  <c r="D39" i="77" s="1"/>
  <c r="D38" i="77"/>
  <c r="D36" i="77"/>
  <c r="D35" i="77"/>
  <c r="D34" i="77"/>
  <c r="C33" i="77"/>
  <c r="D33" i="77" s="1"/>
  <c r="C32" i="77"/>
  <c r="D32" i="77" s="1"/>
  <c r="C31" i="77"/>
  <c r="D31" i="77" s="1"/>
  <c r="C30" i="77"/>
  <c r="D30" i="77" s="1"/>
  <c r="C29" i="77"/>
  <c r="D29" i="77" s="1"/>
  <c r="E23" i="77"/>
  <c r="G23" i="77" s="1"/>
  <c r="E22" i="77"/>
  <c r="G22" i="77" s="1"/>
  <c r="E21" i="77"/>
  <c r="G21" i="77" s="1"/>
  <c r="E20" i="77"/>
  <c r="G20" i="77" s="1"/>
  <c r="E19" i="77"/>
  <c r="G19" i="77" s="1"/>
  <c r="E18" i="77"/>
  <c r="G18" i="77" s="1"/>
  <c r="E17" i="77"/>
  <c r="G17" i="77" s="1"/>
  <c r="E16" i="77"/>
  <c r="G16" i="77" s="1"/>
  <c r="D45" i="78" l="1"/>
  <c r="D46" i="78" s="1"/>
  <c r="D48" i="78" s="1"/>
  <c r="H37" i="17" s="1"/>
  <c r="D46" i="81"/>
  <c r="D48" i="81" s="1"/>
  <c r="H20" i="17" s="1"/>
  <c r="D46" i="80"/>
  <c r="D48" i="80" s="1"/>
  <c r="H9" i="17" s="1"/>
  <c r="D45" i="79"/>
  <c r="D46" i="79" s="1"/>
  <c r="D48" i="79" s="1"/>
  <c r="H63" i="17" s="1"/>
  <c r="D45" i="77"/>
  <c r="F24" i="77"/>
  <c r="D46" i="77" l="1"/>
  <c r="D48" i="77" s="1"/>
  <c r="H65" i="17" s="1"/>
  <c r="D34" i="75" l="1"/>
  <c r="C42" i="76"/>
  <c r="D42" i="76" s="1"/>
  <c r="D41" i="76"/>
  <c r="D38" i="76"/>
  <c r="D36" i="76"/>
  <c r="D35" i="76"/>
  <c r="D34" i="76"/>
  <c r="C33" i="76"/>
  <c r="D33" i="76" s="1"/>
  <c r="C32" i="76"/>
  <c r="D32" i="76" s="1"/>
  <c r="C31" i="76"/>
  <c r="D31" i="76" s="1"/>
  <c r="C30" i="76"/>
  <c r="D30" i="76" s="1"/>
  <c r="C29" i="76"/>
  <c r="D29" i="76" s="1"/>
  <c r="E23" i="76"/>
  <c r="G23" i="76" s="1"/>
  <c r="E22" i="76"/>
  <c r="G22" i="76" s="1"/>
  <c r="E21" i="76"/>
  <c r="G21" i="76" s="1"/>
  <c r="E20" i="76"/>
  <c r="G20" i="76" s="1"/>
  <c r="E19" i="76"/>
  <c r="G19" i="76" s="1"/>
  <c r="E18" i="76"/>
  <c r="G18" i="76" s="1"/>
  <c r="E17" i="76"/>
  <c r="G17" i="76" s="1"/>
  <c r="E16" i="76"/>
  <c r="G16" i="76" s="1"/>
  <c r="B39" i="76"/>
  <c r="D39" i="76" s="1"/>
  <c r="B12" i="75"/>
  <c r="B39" i="75" s="1"/>
  <c r="D39" i="75" s="1"/>
  <c r="G21" i="75"/>
  <c r="C42" i="75"/>
  <c r="D42" i="75" s="1"/>
  <c r="D41" i="75"/>
  <c r="C33" i="75"/>
  <c r="D33" i="75" s="1"/>
  <c r="C32" i="75"/>
  <c r="D32" i="75" s="1"/>
  <c r="C31" i="75"/>
  <c r="D31" i="75" s="1"/>
  <c r="C30" i="75"/>
  <c r="D30" i="75" s="1"/>
  <c r="C29" i="75"/>
  <c r="D29" i="75" s="1"/>
  <c r="E23" i="75"/>
  <c r="G23" i="75" s="1"/>
  <c r="E22" i="75"/>
  <c r="G22" i="75" s="1"/>
  <c r="E20" i="75"/>
  <c r="G20" i="75" s="1"/>
  <c r="E19" i="75"/>
  <c r="G19" i="75" s="1"/>
  <c r="E18" i="75"/>
  <c r="G18" i="75" s="1"/>
  <c r="E17" i="75"/>
  <c r="G17" i="75" s="1"/>
  <c r="E16" i="75"/>
  <c r="G16" i="75" s="1"/>
  <c r="D38" i="74"/>
  <c r="D34" i="74"/>
  <c r="C42" i="74"/>
  <c r="D42" i="74" s="1"/>
  <c r="D41" i="74"/>
  <c r="C33" i="74"/>
  <c r="D33" i="74" s="1"/>
  <c r="C32" i="74"/>
  <c r="D32" i="74" s="1"/>
  <c r="C31" i="74"/>
  <c r="D31" i="74" s="1"/>
  <c r="C30" i="74"/>
  <c r="D30" i="74" s="1"/>
  <c r="C29" i="74"/>
  <c r="D29" i="74" s="1"/>
  <c r="E23" i="74"/>
  <c r="G23" i="74" s="1"/>
  <c r="E22" i="74"/>
  <c r="G22" i="74" s="1"/>
  <c r="E21" i="74"/>
  <c r="G21" i="74" s="1"/>
  <c r="E20" i="74"/>
  <c r="G20" i="74" s="1"/>
  <c r="E19" i="74"/>
  <c r="G19" i="74" s="1"/>
  <c r="E18" i="74"/>
  <c r="G18" i="74" s="1"/>
  <c r="E17" i="74"/>
  <c r="G17" i="74" s="1"/>
  <c r="E16" i="74"/>
  <c r="G16" i="74" s="1"/>
  <c r="B39" i="74"/>
  <c r="D39" i="74" s="1"/>
  <c r="B12" i="73"/>
  <c r="C42" i="73"/>
  <c r="D42" i="73" s="1"/>
  <c r="D41" i="73"/>
  <c r="B39" i="73"/>
  <c r="D39" i="73" s="1"/>
  <c r="D35" i="73"/>
  <c r="C33" i="73"/>
  <c r="D33" i="73" s="1"/>
  <c r="C32" i="73"/>
  <c r="D32" i="73" s="1"/>
  <c r="C31" i="73"/>
  <c r="D31" i="73" s="1"/>
  <c r="C30" i="73"/>
  <c r="D30" i="73" s="1"/>
  <c r="C29" i="73"/>
  <c r="D29" i="73" s="1"/>
  <c r="E23" i="73"/>
  <c r="G23" i="73" s="1"/>
  <c r="E22" i="73"/>
  <c r="G22" i="73" s="1"/>
  <c r="E21" i="73"/>
  <c r="G21" i="73" s="1"/>
  <c r="E20" i="73"/>
  <c r="G20" i="73" s="1"/>
  <c r="E19" i="73"/>
  <c r="G19" i="73" s="1"/>
  <c r="E18" i="73"/>
  <c r="G18" i="73" s="1"/>
  <c r="E17" i="73"/>
  <c r="E16" i="73"/>
  <c r="G16" i="73" s="1"/>
  <c r="D34" i="73"/>
  <c r="G17" i="73" l="1"/>
  <c r="F24" i="73" s="1"/>
  <c r="D35" i="74"/>
  <c r="D36" i="74"/>
  <c r="D45" i="76"/>
  <c r="F24" i="76"/>
  <c r="F24" i="75"/>
  <c r="D35" i="75"/>
  <c r="D36" i="75"/>
  <c r="D38" i="75"/>
  <c r="F24" i="74"/>
  <c r="D36" i="73"/>
  <c r="D38" i="73"/>
  <c r="D45" i="74" l="1"/>
  <c r="D46" i="74" s="1"/>
  <c r="D48" i="74" s="1"/>
  <c r="H60" i="17" s="1"/>
  <c r="D46" i="76"/>
  <c r="D48" i="76" s="1"/>
  <c r="H44" i="17" s="1"/>
  <c r="D45" i="75"/>
  <c r="D46" i="75" s="1"/>
  <c r="D48" i="75" s="1"/>
  <c r="H52" i="17" s="1"/>
  <c r="D45" i="73"/>
  <c r="D46" i="73" s="1"/>
  <c r="D48" i="73" s="1"/>
  <c r="H56" i="17" s="1"/>
  <c r="C42" i="72" l="1"/>
  <c r="D42" i="72" s="1"/>
  <c r="D41" i="72"/>
  <c r="B39" i="72"/>
  <c r="D39" i="72" s="1"/>
  <c r="D38" i="72"/>
  <c r="D36" i="72"/>
  <c r="C33" i="72"/>
  <c r="D33" i="72" s="1"/>
  <c r="C32" i="72"/>
  <c r="D32" i="72" s="1"/>
  <c r="C31" i="72"/>
  <c r="D31" i="72" s="1"/>
  <c r="C30" i="72"/>
  <c r="D30" i="72" s="1"/>
  <c r="C29" i="72"/>
  <c r="D29" i="72" s="1"/>
  <c r="E23" i="72"/>
  <c r="E22" i="72"/>
  <c r="G22" i="72" s="1"/>
  <c r="E21" i="72"/>
  <c r="G21" i="72" s="1"/>
  <c r="E20" i="72"/>
  <c r="G20" i="72" s="1"/>
  <c r="E19" i="72"/>
  <c r="G19" i="72" s="1"/>
  <c r="E18" i="72"/>
  <c r="G18" i="72" s="1"/>
  <c r="E17" i="72"/>
  <c r="G17" i="72" s="1"/>
  <c r="E16" i="72"/>
  <c r="G16" i="72" s="1"/>
  <c r="D34" i="72"/>
  <c r="D34" i="71"/>
  <c r="C42" i="71"/>
  <c r="D42" i="71" s="1"/>
  <c r="D41" i="71"/>
  <c r="B39" i="71"/>
  <c r="D39" i="71" s="1"/>
  <c r="C33" i="71"/>
  <c r="D33" i="71" s="1"/>
  <c r="C32" i="71"/>
  <c r="D32" i="71" s="1"/>
  <c r="C31" i="71"/>
  <c r="D31" i="71" s="1"/>
  <c r="C30" i="71"/>
  <c r="D30" i="71" s="1"/>
  <c r="C29" i="71"/>
  <c r="D29" i="71" s="1"/>
  <c r="E23" i="71"/>
  <c r="G23" i="71" s="1"/>
  <c r="E22" i="71"/>
  <c r="G22" i="71" s="1"/>
  <c r="E21" i="71"/>
  <c r="G21" i="71" s="1"/>
  <c r="E20" i="71"/>
  <c r="G20" i="71" s="1"/>
  <c r="E19" i="71"/>
  <c r="G19" i="71" s="1"/>
  <c r="E18" i="71"/>
  <c r="G18" i="71" s="1"/>
  <c r="E17" i="71"/>
  <c r="G17" i="71" s="1"/>
  <c r="E16" i="71"/>
  <c r="G16" i="71" s="1"/>
  <c r="C24" i="70"/>
  <c r="E24" i="70"/>
  <c r="G24" i="70" s="1"/>
  <c r="F24" i="72" l="1"/>
  <c r="D35" i="72"/>
  <c r="D45" i="72" s="1"/>
  <c r="D35" i="71"/>
  <c r="F24" i="71"/>
  <c r="D36" i="71"/>
  <c r="D38" i="71"/>
  <c r="D46" i="72" l="1"/>
  <c r="D48" i="72" s="1"/>
  <c r="H69" i="17" s="1"/>
  <c r="D45" i="71"/>
  <c r="D46" i="71" s="1"/>
  <c r="D48" i="71" s="1"/>
  <c r="H53" i="17" s="1"/>
  <c r="D37" i="70" l="1"/>
  <c r="C43" i="70"/>
  <c r="D43" i="70" s="1"/>
  <c r="D42" i="70"/>
  <c r="B40" i="70"/>
  <c r="D40" i="70" s="1"/>
  <c r="C34" i="70"/>
  <c r="D34" i="70" s="1"/>
  <c r="C33" i="70"/>
  <c r="D33" i="70" s="1"/>
  <c r="C32" i="70"/>
  <c r="D32" i="70" s="1"/>
  <c r="C31" i="70"/>
  <c r="D31" i="70" s="1"/>
  <c r="C30" i="70"/>
  <c r="D30" i="70" s="1"/>
  <c r="E23" i="70"/>
  <c r="G23" i="70" s="1"/>
  <c r="E22" i="70"/>
  <c r="G22" i="70" s="1"/>
  <c r="E20" i="70"/>
  <c r="G20" i="70" s="1"/>
  <c r="E19" i="70"/>
  <c r="G19" i="70" s="1"/>
  <c r="E18" i="70"/>
  <c r="G18" i="70" s="1"/>
  <c r="E17" i="70"/>
  <c r="G17" i="70" s="1"/>
  <c r="E16" i="70"/>
  <c r="G16" i="70" s="1"/>
  <c r="D35" i="69"/>
  <c r="E20" i="69"/>
  <c r="G20" i="69" s="1"/>
  <c r="C42" i="69"/>
  <c r="D42" i="69" s="1"/>
  <c r="D41" i="69"/>
  <c r="B39" i="69"/>
  <c r="D39" i="69" s="1"/>
  <c r="C33" i="69"/>
  <c r="D33" i="69" s="1"/>
  <c r="C32" i="69"/>
  <c r="D32" i="69" s="1"/>
  <c r="C31" i="69"/>
  <c r="D31" i="69" s="1"/>
  <c r="C30" i="69"/>
  <c r="D30" i="69" s="1"/>
  <c r="C29" i="69"/>
  <c r="D29" i="69" s="1"/>
  <c r="E22" i="69"/>
  <c r="G22" i="69" s="1"/>
  <c r="E21" i="69"/>
  <c r="G21" i="69" s="1"/>
  <c r="E19" i="69"/>
  <c r="G19" i="69" s="1"/>
  <c r="E18" i="69"/>
  <c r="G18" i="69" s="1"/>
  <c r="E17" i="69"/>
  <c r="G17" i="69" s="1"/>
  <c r="E16" i="69"/>
  <c r="G16" i="69" s="1"/>
  <c r="F25" i="70" l="1"/>
  <c r="D35" i="70"/>
  <c r="D36" i="70"/>
  <c r="D39" i="70"/>
  <c r="D34" i="69"/>
  <c r="F24" i="69"/>
  <c r="D36" i="69"/>
  <c r="D38" i="69"/>
  <c r="D46" i="70" l="1"/>
  <c r="D47" i="70" s="1"/>
  <c r="D49" i="70" s="1"/>
  <c r="H61" i="17" s="1"/>
  <c r="D45" i="69"/>
  <c r="D46" i="69" s="1"/>
  <c r="D48" i="69" s="1"/>
  <c r="H64" i="17" s="1"/>
  <c r="E20" i="68" l="1"/>
  <c r="G20" i="68" s="1"/>
  <c r="E17" i="68"/>
  <c r="G17" i="68" s="1"/>
  <c r="C43" i="68" l="1"/>
  <c r="D43" i="68" s="1"/>
  <c r="D42" i="68"/>
  <c r="B40" i="68"/>
  <c r="D40" i="68" s="1"/>
  <c r="D35" i="68"/>
  <c r="C34" i="68"/>
  <c r="D34" i="68" s="1"/>
  <c r="C33" i="68"/>
  <c r="D33" i="68" s="1"/>
  <c r="C32" i="68"/>
  <c r="D32" i="68" s="1"/>
  <c r="C31" i="68"/>
  <c r="D31" i="68" s="1"/>
  <c r="C30" i="68"/>
  <c r="D30" i="68" s="1"/>
  <c r="E23" i="68"/>
  <c r="E22" i="68"/>
  <c r="G22" i="68" s="1"/>
  <c r="E21" i="68"/>
  <c r="G21" i="68" s="1"/>
  <c r="E19" i="68"/>
  <c r="G19" i="68" s="1"/>
  <c r="E16" i="68"/>
  <c r="G16" i="68" s="1"/>
  <c r="D39" i="68"/>
  <c r="E21" i="67"/>
  <c r="G21" i="67" s="1"/>
  <c r="D35" i="67"/>
  <c r="C43" i="67"/>
  <c r="D43" i="67" s="1"/>
  <c r="D42" i="67"/>
  <c r="B40" i="67"/>
  <c r="D40" i="67" s="1"/>
  <c r="C34" i="67"/>
  <c r="D34" i="67" s="1"/>
  <c r="C33" i="67"/>
  <c r="D33" i="67" s="1"/>
  <c r="C32" i="67"/>
  <c r="D32" i="67" s="1"/>
  <c r="C31" i="67"/>
  <c r="D31" i="67" s="1"/>
  <c r="C30" i="67"/>
  <c r="D30" i="67" s="1"/>
  <c r="E23" i="67"/>
  <c r="G23" i="67" s="1"/>
  <c r="E22" i="67"/>
  <c r="G22" i="67" s="1"/>
  <c r="E20" i="67"/>
  <c r="G20" i="67" s="1"/>
  <c r="E19" i="67"/>
  <c r="G19" i="67" s="1"/>
  <c r="E16" i="67"/>
  <c r="G16" i="67" s="1"/>
  <c r="F25" i="68" l="1"/>
  <c r="D36" i="68"/>
  <c r="D37" i="68"/>
  <c r="F25" i="67"/>
  <c r="D36" i="67"/>
  <c r="D37" i="67"/>
  <c r="D39" i="67"/>
  <c r="D46" i="68" l="1"/>
  <c r="D47" i="68" s="1"/>
  <c r="D49" i="68" s="1"/>
  <c r="H45" i="17" s="1"/>
  <c r="D46" i="67"/>
  <c r="D47" i="67" s="1"/>
  <c r="D49" i="67" s="1"/>
  <c r="H38" i="17" s="1"/>
  <c r="C42" i="66" l="1"/>
  <c r="D42" i="66" s="1"/>
  <c r="D41" i="66"/>
  <c r="B39" i="66"/>
  <c r="D39" i="66" s="1"/>
  <c r="D38" i="66"/>
  <c r="D36" i="66"/>
  <c r="D35" i="66"/>
  <c r="D34" i="66"/>
  <c r="C33" i="66"/>
  <c r="D33" i="66" s="1"/>
  <c r="C32" i="66"/>
  <c r="D32" i="66" s="1"/>
  <c r="C31" i="66"/>
  <c r="D31" i="66" s="1"/>
  <c r="C30" i="66"/>
  <c r="D30" i="66" s="1"/>
  <c r="C29" i="66"/>
  <c r="D29" i="66" s="1"/>
  <c r="E22" i="66"/>
  <c r="G22" i="66" s="1"/>
  <c r="E21" i="66"/>
  <c r="G21" i="66" s="1"/>
  <c r="E20" i="66"/>
  <c r="G20" i="66" s="1"/>
  <c r="E19" i="66"/>
  <c r="G19" i="66" s="1"/>
  <c r="E18" i="66"/>
  <c r="G18" i="66" s="1"/>
  <c r="E17" i="66"/>
  <c r="G17" i="66" s="1"/>
  <c r="E16" i="66"/>
  <c r="G16" i="66" s="1"/>
  <c r="F24" i="66" l="1"/>
  <c r="D45" i="66"/>
  <c r="G16" i="65"/>
  <c r="C42" i="65"/>
  <c r="D42" i="65" s="1"/>
  <c r="D41" i="65"/>
  <c r="B39" i="65"/>
  <c r="D39" i="65" s="1"/>
  <c r="D38" i="65"/>
  <c r="D36" i="65"/>
  <c r="D35" i="65"/>
  <c r="D34" i="65"/>
  <c r="C33" i="65"/>
  <c r="D33" i="65" s="1"/>
  <c r="C32" i="65"/>
  <c r="D32" i="65" s="1"/>
  <c r="C31" i="65"/>
  <c r="D31" i="65" s="1"/>
  <c r="C30" i="65"/>
  <c r="D30" i="65" s="1"/>
  <c r="C29" i="65"/>
  <c r="D29" i="65" s="1"/>
  <c r="E22" i="65"/>
  <c r="G22" i="65" s="1"/>
  <c r="G21" i="65"/>
  <c r="E21" i="65"/>
  <c r="E20" i="65"/>
  <c r="G20" i="65" s="1"/>
  <c r="E19" i="65"/>
  <c r="G19" i="65" s="1"/>
  <c r="E18" i="65"/>
  <c r="G18" i="65" s="1"/>
  <c r="E17" i="65"/>
  <c r="G17" i="65" s="1"/>
  <c r="E16" i="65"/>
  <c r="D17" i="64"/>
  <c r="C42" i="64"/>
  <c r="D42" i="64" s="1"/>
  <c r="D41" i="64"/>
  <c r="B39" i="64"/>
  <c r="D39" i="64" s="1"/>
  <c r="D38" i="64"/>
  <c r="D36" i="64"/>
  <c r="D35" i="64"/>
  <c r="D34" i="64"/>
  <c r="C33" i="64"/>
  <c r="D33" i="64" s="1"/>
  <c r="C32" i="64"/>
  <c r="D32" i="64" s="1"/>
  <c r="C31" i="64"/>
  <c r="D31" i="64" s="1"/>
  <c r="C30" i="64"/>
  <c r="C29" i="64"/>
  <c r="D29" i="64" s="1"/>
  <c r="E22" i="64"/>
  <c r="G22" i="64" s="1"/>
  <c r="E21" i="64"/>
  <c r="G21" i="64" s="1"/>
  <c r="E20" i="64"/>
  <c r="G20" i="64" s="1"/>
  <c r="E19" i="64"/>
  <c r="G19" i="64" s="1"/>
  <c r="E18" i="64"/>
  <c r="G18" i="64" s="1"/>
  <c r="E17" i="64"/>
  <c r="G17" i="64" s="1"/>
  <c r="E16" i="64"/>
  <c r="G16" i="64" s="1"/>
  <c r="C42" i="63"/>
  <c r="D42" i="63" s="1"/>
  <c r="D41" i="63"/>
  <c r="B39" i="63"/>
  <c r="D39" i="63" s="1"/>
  <c r="D38" i="63"/>
  <c r="D36" i="63"/>
  <c r="D35" i="63"/>
  <c r="D34" i="63"/>
  <c r="C33" i="63"/>
  <c r="D33" i="63" s="1"/>
  <c r="C32" i="63"/>
  <c r="D32" i="63" s="1"/>
  <c r="C31" i="63"/>
  <c r="D31" i="63" s="1"/>
  <c r="C30" i="63"/>
  <c r="D30" i="63" s="1"/>
  <c r="C29" i="63"/>
  <c r="D29" i="63" s="1"/>
  <c r="E22" i="63"/>
  <c r="G22" i="63" s="1"/>
  <c r="E21" i="63"/>
  <c r="G21" i="63" s="1"/>
  <c r="E20" i="63"/>
  <c r="G20" i="63" s="1"/>
  <c r="E19" i="63"/>
  <c r="G19" i="63" s="1"/>
  <c r="E18" i="63"/>
  <c r="G18" i="63" s="1"/>
  <c r="E17" i="63"/>
  <c r="G17" i="63" s="1"/>
  <c r="E16" i="63"/>
  <c r="G16" i="63" s="1"/>
  <c r="C42" i="62"/>
  <c r="D42" i="62" s="1"/>
  <c r="D41" i="62"/>
  <c r="B39" i="62"/>
  <c r="D39" i="62" s="1"/>
  <c r="D35" i="62"/>
  <c r="C33" i="62"/>
  <c r="D33" i="62" s="1"/>
  <c r="C32" i="62"/>
  <c r="D32" i="62" s="1"/>
  <c r="C31" i="62"/>
  <c r="D31" i="62" s="1"/>
  <c r="C30" i="62"/>
  <c r="D30" i="62" s="1"/>
  <c r="C29" i="62"/>
  <c r="D29" i="62" s="1"/>
  <c r="E22" i="62"/>
  <c r="G22" i="62" s="1"/>
  <c r="E21" i="62"/>
  <c r="G21" i="62" s="1"/>
  <c r="E20" i="62"/>
  <c r="G20" i="62" s="1"/>
  <c r="E19" i="62"/>
  <c r="G19" i="62" s="1"/>
  <c r="E18" i="62"/>
  <c r="G18" i="62" s="1"/>
  <c r="E17" i="62"/>
  <c r="E16" i="62"/>
  <c r="G16" i="62" s="1"/>
  <c r="D34" i="62"/>
  <c r="D36" i="61"/>
  <c r="C43" i="61"/>
  <c r="D43" i="61" s="1"/>
  <c r="D42" i="61"/>
  <c r="C34" i="61"/>
  <c r="D34" i="61" s="1"/>
  <c r="C33" i="61"/>
  <c r="D33" i="61" s="1"/>
  <c r="C32" i="61"/>
  <c r="D32" i="61" s="1"/>
  <c r="C31" i="61"/>
  <c r="D31" i="61" s="1"/>
  <c r="C30" i="61"/>
  <c r="D30" i="61" s="1"/>
  <c r="E23" i="61"/>
  <c r="G23" i="61" s="1"/>
  <c r="E21" i="61"/>
  <c r="G21" i="61" s="1"/>
  <c r="E20" i="61"/>
  <c r="G20" i="61" s="1"/>
  <c r="E19" i="61"/>
  <c r="G19" i="61" s="1"/>
  <c r="E18" i="61"/>
  <c r="G18" i="61" s="1"/>
  <c r="E17" i="61"/>
  <c r="G17" i="61" s="1"/>
  <c r="E16" i="61"/>
  <c r="G16" i="61" s="1"/>
  <c r="B40" i="61"/>
  <c r="D40" i="61" s="1"/>
  <c r="D39" i="61"/>
  <c r="D35" i="61" l="1"/>
  <c r="G17" i="62"/>
  <c r="F24" i="62" s="1"/>
  <c r="D46" i="66"/>
  <c r="D48" i="66" s="1"/>
  <c r="H28" i="17" s="1"/>
  <c r="F24" i="65"/>
  <c r="D45" i="65"/>
  <c r="F24" i="64"/>
  <c r="D45" i="64"/>
  <c r="F24" i="63"/>
  <c r="D45" i="63"/>
  <c r="D36" i="62"/>
  <c r="D38" i="62"/>
  <c r="F25" i="61"/>
  <c r="D37" i="61"/>
  <c r="D45" i="62" l="1"/>
  <c r="D46" i="61"/>
  <c r="D47" i="61" s="1"/>
  <c r="D49" i="61" s="1"/>
  <c r="H66" i="17" s="1"/>
  <c r="D46" i="65"/>
  <c r="D48" i="65" s="1"/>
  <c r="H51" i="17" s="1"/>
  <c r="D46" i="64"/>
  <c r="D48" i="64" s="1"/>
  <c r="H43" i="17" s="1"/>
  <c r="D46" i="63"/>
  <c r="D48" i="63" s="1"/>
  <c r="H27" i="17" s="1"/>
  <c r="D46" i="62"/>
  <c r="D48" i="62" s="1"/>
  <c r="H21" i="17" s="1"/>
  <c r="C42" i="60" l="1"/>
  <c r="D42" i="60" s="1"/>
  <c r="D41" i="60"/>
  <c r="B39" i="60"/>
  <c r="D39" i="60" s="1"/>
  <c r="D38" i="60"/>
  <c r="D36" i="60"/>
  <c r="D35" i="60"/>
  <c r="D34" i="60"/>
  <c r="C33" i="60"/>
  <c r="D33" i="60" s="1"/>
  <c r="C32" i="60"/>
  <c r="D32" i="60" s="1"/>
  <c r="C31" i="60"/>
  <c r="D31" i="60" s="1"/>
  <c r="C30" i="60"/>
  <c r="D30" i="60" s="1"/>
  <c r="C29" i="60"/>
  <c r="D29" i="60" s="1"/>
  <c r="G22" i="60"/>
  <c r="E22" i="60"/>
  <c r="E21" i="60"/>
  <c r="G21" i="60" s="1"/>
  <c r="E19" i="60"/>
  <c r="E18" i="60"/>
  <c r="G18" i="60" s="1"/>
  <c r="E17" i="60"/>
  <c r="G17" i="60" s="1"/>
  <c r="E16" i="60"/>
  <c r="G16" i="60" s="1"/>
  <c r="D45" i="60" l="1"/>
  <c r="F24" i="60"/>
  <c r="C42" i="59"/>
  <c r="D42" i="59" s="1"/>
  <c r="D41" i="59"/>
  <c r="B39" i="59"/>
  <c r="D39" i="59" s="1"/>
  <c r="D38" i="59"/>
  <c r="D36" i="59"/>
  <c r="D35" i="59"/>
  <c r="D34" i="59"/>
  <c r="C33" i="59"/>
  <c r="D33" i="59" s="1"/>
  <c r="C32" i="59"/>
  <c r="D32" i="59" s="1"/>
  <c r="C31" i="59"/>
  <c r="D31" i="59" s="1"/>
  <c r="C30" i="59"/>
  <c r="D30" i="59" s="1"/>
  <c r="C29" i="59"/>
  <c r="D29" i="59" s="1"/>
  <c r="E22" i="59"/>
  <c r="G22" i="59" s="1"/>
  <c r="E21" i="59"/>
  <c r="G21" i="59" s="1"/>
  <c r="E20" i="59"/>
  <c r="G20" i="59" s="1"/>
  <c r="E19" i="59"/>
  <c r="G19" i="59" s="1"/>
  <c r="E18" i="59"/>
  <c r="G18" i="59" s="1"/>
  <c r="E17" i="59"/>
  <c r="G17" i="59" s="1"/>
  <c r="E16" i="59"/>
  <c r="G16" i="59" s="1"/>
  <c r="D46" i="60" l="1"/>
  <c r="D48" i="60" s="1"/>
  <c r="H58" i="17" s="1"/>
  <c r="D45" i="59"/>
  <c r="F24" i="59"/>
  <c r="D46" i="59" l="1"/>
  <c r="D48" i="59" s="1"/>
  <c r="H40" i="17" s="1"/>
  <c r="C42" i="58" l="1"/>
  <c r="D42" i="58" s="1"/>
  <c r="D41" i="58"/>
  <c r="B39" i="58"/>
  <c r="D39" i="58" s="1"/>
  <c r="C33" i="58"/>
  <c r="D33" i="58" s="1"/>
  <c r="C32" i="58"/>
  <c r="D32" i="58" s="1"/>
  <c r="C31" i="58"/>
  <c r="D31" i="58" s="1"/>
  <c r="C30" i="58"/>
  <c r="D30" i="58" s="1"/>
  <c r="C29" i="58"/>
  <c r="D29" i="58" s="1"/>
  <c r="E22" i="58"/>
  <c r="G22" i="58" s="1"/>
  <c r="E21" i="58"/>
  <c r="G21" i="58" s="1"/>
  <c r="E20" i="58"/>
  <c r="G20" i="58" s="1"/>
  <c r="E19" i="58"/>
  <c r="G19" i="58" s="1"/>
  <c r="E18" i="58"/>
  <c r="G18" i="58" s="1"/>
  <c r="E17" i="58"/>
  <c r="G17" i="58" s="1"/>
  <c r="E16" i="58"/>
  <c r="G16" i="58" s="1"/>
  <c r="D38" i="58"/>
  <c r="D35" i="57"/>
  <c r="C43" i="57"/>
  <c r="D43" i="57" s="1"/>
  <c r="D42" i="57"/>
  <c r="B40" i="57"/>
  <c r="D40" i="57" s="1"/>
  <c r="C34" i="57"/>
  <c r="D34" i="57" s="1"/>
  <c r="C33" i="57"/>
  <c r="D33" i="57" s="1"/>
  <c r="C32" i="57"/>
  <c r="D32" i="57" s="1"/>
  <c r="C31" i="57"/>
  <c r="D31" i="57" s="1"/>
  <c r="C30" i="57"/>
  <c r="D30" i="57" s="1"/>
  <c r="E23" i="57"/>
  <c r="G23" i="57" s="1"/>
  <c r="E21" i="57"/>
  <c r="G21" i="57" s="1"/>
  <c r="E20" i="57"/>
  <c r="G20" i="57" s="1"/>
  <c r="E19" i="57"/>
  <c r="G19" i="57" s="1"/>
  <c r="E18" i="57"/>
  <c r="G18" i="57" s="1"/>
  <c r="E17" i="57"/>
  <c r="G17" i="57" s="1"/>
  <c r="E16" i="57"/>
  <c r="G16" i="57" s="1"/>
  <c r="D38" i="56"/>
  <c r="C42" i="56"/>
  <c r="D42" i="56" s="1"/>
  <c r="D41" i="56"/>
  <c r="B39" i="56"/>
  <c r="D39" i="56" s="1"/>
  <c r="C33" i="56"/>
  <c r="D33" i="56" s="1"/>
  <c r="C32" i="56"/>
  <c r="D32" i="56" s="1"/>
  <c r="C31" i="56"/>
  <c r="D31" i="56" s="1"/>
  <c r="C30" i="56"/>
  <c r="D30" i="56" s="1"/>
  <c r="C29" i="56"/>
  <c r="D29" i="56" s="1"/>
  <c r="E20" i="56"/>
  <c r="G20" i="56" s="1"/>
  <c r="E19" i="56"/>
  <c r="G19" i="56" s="1"/>
  <c r="E18" i="56"/>
  <c r="G18" i="56" s="1"/>
  <c r="E17" i="56"/>
  <c r="G17" i="56" s="1"/>
  <c r="E16" i="56"/>
  <c r="G16" i="56" s="1"/>
  <c r="E18" i="55"/>
  <c r="G18" i="55" s="1"/>
  <c r="C42" i="55"/>
  <c r="D42" i="55" s="1"/>
  <c r="D41" i="55"/>
  <c r="B39" i="55"/>
  <c r="D39" i="55" s="1"/>
  <c r="C33" i="55"/>
  <c r="D33" i="55" s="1"/>
  <c r="C32" i="55"/>
  <c r="D32" i="55" s="1"/>
  <c r="C31" i="55"/>
  <c r="D31" i="55" s="1"/>
  <c r="C30" i="55"/>
  <c r="D30" i="55" s="1"/>
  <c r="C29" i="55"/>
  <c r="D29" i="55" s="1"/>
  <c r="E22" i="55"/>
  <c r="G22" i="55" s="1"/>
  <c r="E21" i="55"/>
  <c r="G21" i="55" s="1"/>
  <c r="E20" i="55"/>
  <c r="G20" i="55" s="1"/>
  <c r="E19" i="55"/>
  <c r="G19" i="55" s="1"/>
  <c r="E17" i="55"/>
  <c r="G17" i="55" s="1"/>
  <c r="E16" i="55"/>
  <c r="G16" i="55" s="1"/>
  <c r="D34" i="55"/>
  <c r="D36" i="56" l="1"/>
  <c r="D34" i="56"/>
  <c r="D35" i="56"/>
  <c r="F24" i="58"/>
  <c r="D34" i="58"/>
  <c r="D35" i="58"/>
  <c r="D36" i="58"/>
  <c r="D36" i="57"/>
  <c r="D37" i="57"/>
  <c r="D39" i="57"/>
  <c r="F24" i="56"/>
  <c r="F24" i="55"/>
  <c r="D35" i="55"/>
  <c r="D36" i="55"/>
  <c r="D38" i="55"/>
  <c r="D45" i="56" l="1"/>
  <c r="D46" i="56" s="1"/>
  <c r="D48" i="56" s="1"/>
  <c r="H48" i="17" s="1"/>
  <c r="D45" i="58"/>
  <c r="D46" i="58" s="1"/>
  <c r="D48" i="58" s="1"/>
  <c r="H46" i="17" s="1"/>
  <c r="D46" i="57"/>
  <c r="D47" i="57" s="1"/>
  <c r="D49" i="57" s="1"/>
  <c r="H72" i="17" s="1"/>
  <c r="D45" i="55"/>
  <c r="D46" i="55" s="1"/>
  <c r="D48" i="55" s="1"/>
  <c r="H68" i="17" s="1"/>
  <c r="C42" i="54" l="1"/>
  <c r="D42" i="54" s="1"/>
  <c r="D41" i="54"/>
  <c r="B39" i="54"/>
  <c r="D39" i="54" s="1"/>
  <c r="D38" i="54"/>
  <c r="D36" i="54"/>
  <c r="D35" i="54"/>
  <c r="D34" i="54"/>
  <c r="C33" i="54"/>
  <c r="D33" i="54" s="1"/>
  <c r="C32" i="54"/>
  <c r="D32" i="54" s="1"/>
  <c r="C31" i="54"/>
  <c r="D31" i="54" s="1"/>
  <c r="C30" i="54"/>
  <c r="D30" i="54" s="1"/>
  <c r="C29" i="54"/>
  <c r="D29" i="54" s="1"/>
  <c r="E21" i="54"/>
  <c r="G21" i="54" s="1"/>
  <c r="E19" i="54"/>
  <c r="G19" i="54" s="1"/>
  <c r="E18" i="54"/>
  <c r="G18" i="54" s="1"/>
  <c r="D45" i="54" l="1"/>
  <c r="F24" i="54"/>
  <c r="C16" i="53"/>
  <c r="D46" i="54" l="1"/>
  <c r="D48" i="54" s="1"/>
  <c r="H26" i="17" s="1"/>
  <c r="C42" i="53"/>
  <c r="D42" i="53" s="1"/>
  <c r="D41" i="53"/>
  <c r="B39" i="53"/>
  <c r="D39" i="53" s="1"/>
  <c r="D38" i="53"/>
  <c r="D36" i="53"/>
  <c r="D35" i="53"/>
  <c r="D34" i="53"/>
  <c r="C33" i="53"/>
  <c r="D33" i="53" s="1"/>
  <c r="C32" i="53"/>
  <c r="D32" i="53" s="1"/>
  <c r="C31" i="53"/>
  <c r="D31" i="53" s="1"/>
  <c r="C30" i="53"/>
  <c r="D30" i="53" s="1"/>
  <c r="C29" i="53"/>
  <c r="D29" i="53" s="1"/>
  <c r="E22" i="53"/>
  <c r="G22" i="53" s="1"/>
  <c r="E21" i="53"/>
  <c r="G21" i="53" s="1"/>
  <c r="E20" i="53"/>
  <c r="G20" i="53" s="1"/>
  <c r="E19" i="53"/>
  <c r="G19" i="53" s="1"/>
  <c r="E18" i="53"/>
  <c r="G18" i="53" s="1"/>
  <c r="E17" i="53"/>
  <c r="G17" i="53" s="1"/>
  <c r="E16" i="53"/>
  <c r="G16" i="53" s="1"/>
  <c r="C16" i="52"/>
  <c r="E16" i="52" s="1"/>
  <c r="G16" i="52" s="1"/>
  <c r="C42" i="52"/>
  <c r="D42" i="52" s="1"/>
  <c r="D41" i="52"/>
  <c r="B39" i="52"/>
  <c r="D39" i="52" s="1"/>
  <c r="D38" i="52"/>
  <c r="D36" i="52"/>
  <c r="D35" i="52"/>
  <c r="D34" i="52"/>
  <c r="C33" i="52"/>
  <c r="D33" i="52" s="1"/>
  <c r="C32" i="52"/>
  <c r="D32" i="52" s="1"/>
  <c r="C31" i="52"/>
  <c r="D31" i="52" s="1"/>
  <c r="C30" i="52"/>
  <c r="D30" i="52" s="1"/>
  <c r="C29" i="52"/>
  <c r="D29" i="52" s="1"/>
  <c r="G22" i="52"/>
  <c r="E22" i="52"/>
  <c r="E21" i="52"/>
  <c r="G21" i="52" s="1"/>
  <c r="E20" i="52"/>
  <c r="G20" i="52" s="1"/>
  <c r="E19" i="52"/>
  <c r="G19" i="52" s="1"/>
  <c r="C16" i="51"/>
  <c r="E16" i="51" s="1"/>
  <c r="G16" i="51" s="1"/>
  <c r="C42" i="51"/>
  <c r="D42" i="51" s="1"/>
  <c r="D41" i="51"/>
  <c r="B39" i="51"/>
  <c r="D39" i="51" s="1"/>
  <c r="D38" i="51"/>
  <c r="D36" i="51"/>
  <c r="D35" i="51"/>
  <c r="D34" i="51"/>
  <c r="C33" i="51"/>
  <c r="D33" i="51" s="1"/>
  <c r="C32" i="51"/>
  <c r="D32" i="51" s="1"/>
  <c r="D31" i="51"/>
  <c r="D30" i="51"/>
  <c r="C29" i="51"/>
  <c r="D29" i="51" s="1"/>
  <c r="E22" i="51"/>
  <c r="G22" i="51" s="1"/>
  <c r="E21" i="51"/>
  <c r="G21" i="51" s="1"/>
  <c r="E20" i="51"/>
  <c r="G20" i="51" s="1"/>
  <c r="G19" i="51"/>
  <c r="E19" i="51"/>
  <c r="E18" i="51"/>
  <c r="G18" i="51" s="1"/>
  <c r="E17" i="51"/>
  <c r="G17" i="51" s="1"/>
  <c r="F24" i="53" l="1"/>
  <c r="D45" i="53"/>
  <c r="D45" i="52"/>
  <c r="F24" i="52"/>
  <c r="F24" i="51"/>
  <c r="D45" i="51"/>
  <c r="D46" i="53" l="1"/>
  <c r="D48" i="53" s="1"/>
  <c r="H36" i="17" s="1"/>
  <c r="D46" i="52"/>
  <c r="D48" i="52" s="1"/>
  <c r="H10" i="17" s="1"/>
  <c r="D46" i="51"/>
  <c r="D48" i="51" s="1"/>
  <c r="H8" i="17" s="1"/>
  <c r="C42" i="50" l="1"/>
  <c r="D42" i="50" s="1"/>
  <c r="D41" i="50"/>
  <c r="B39" i="50"/>
  <c r="D39" i="50" s="1"/>
  <c r="D38" i="50"/>
  <c r="D36" i="50"/>
  <c r="D35" i="50"/>
  <c r="D34" i="50"/>
  <c r="C33" i="50"/>
  <c r="D33" i="50" s="1"/>
  <c r="C32" i="50"/>
  <c r="D32" i="50" s="1"/>
  <c r="C31" i="50"/>
  <c r="D31" i="50" s="1"/>
  <c r="C30" i="50"/>
  <c r="D30" i="50" s="1"/>
  <c r="C29" i="50"/>
  <c r="D29" i="50" s="1"/>
  <c r="E22" i="50"/>
  <c r="G22" i="50" s="1"/>
  <c r="E21" i="50"/>
  <c r="G21" i="50" s="1"/>
  <c r="E20" i="50"/>
  <c r="G20" i="50" s="1"/>
  <c r="E19" i="50"/>
  <c r="G19" i="50" s="1"/>
  <c r="E18" i="50"/>
  <c r="G18" i="50" s="1"/>
  <c r="E17" i="50"/>
  <c r="G17" i="50" s="1"/>
  <c r="E16" i="50"/>
  <c r="G16" i="50" s="1"/>
  <c r="F24" i="50" l="1"/>
  <c r="D45" i="50"/>
  <c r="D46" i="50" l="1"/>
  <c r="D48" i="50" s="1"/>
  <c r="H35" i="17" s="1"/>
  <c r="C42" i="49" l="1"/>
  <c r="D42" i="49" s="1"/>
  <c r="D41" i="49"/>
  <c r="B39" i="49"/>
  <c r="D39" i="49" s="1"/>
  <c r="D38" i="49"/>
  <c r="D36" i="49"/>
  <c r="D35" i="49"/>
  <c r="D34" i="49"/>
  <c r="C33" i="49"/>
  <c r="D33" i="49" s="1"/>
  <c r="C32" i="49"/>
  <c r="D32" i="49" s="1"/>
  <c r="C31" i="49"/>
  <c r="D31" i="49" s="1"/>
  <c r="C30" i="49"/>
  <c r="D30" i="49" s="1"/>
  <c r="C29" i="49"/>
  <c r="D29" i="49" s="1"/>
  <c r="E22" i="49"/>
  <c r="G22" i="49" s="1"/>
  <c r="E21" i="49"/>
  <c r="G21" i="49" s="1"/>
  <c r="E20" i="49"/>
  <c r="G20" i="49" s="1"/>
  <c r="E19" i="49"/>
  <c r="G19" i="49" s="1"/>
  <c r="E18" i="49"/>
  <c r="G18" i="49" s="1"/>
  <c r="E17" i="49"/>
  <c r="G17" i="49" s="1"/>
  <c r="E16" i="49"/>
  <c r="G16" i="49" s="1"/>
  <c r="C42" i="48"/>
  <c r="D42" i="48" s="1"/>
  <c r="D41" i="48"/>
  <c r="B39" i="48"/>
  <c r="D39" i="48" s="1"/>
  <c r="D38" i="48"/>
  <c r="D36" i="48"/>
  <c r="D35" i="48"/>
  <c r="D34" i="48"/>
  <c r="C33" i="48"/>
  <c r="D33" i="48" s="1"/>
  <c r="C32" i="48"/>
  <c r="D32" i="48" s="1"/>
  <c r="C31" i="48"/>
  <c r="D31" i="48" s="1"/>
  <c r="C30" i="48"/>
  <c r="D30" i="48" s="1"/>
  <c r="C29" i="48"/>
  <c r="D29" i="48" s="1"/>
  <c r="E22" i="48"/>
  <c r="G22" i="48" s="1"/>
  <c r="E21" i="48"/>
  <c r="G21" i="48" s="1"/>
  <c r="E20" i="48"/>
  <c r="G20" i="48" s="1"/>
  <c r="E19" i="48"/>
  <c r="G19" i="48" s="1"/>
  <c r="E18" i="48"/>
  <c r="G18" i="48" s="1"/>
  <c r="E17" i="48"/>
  <c r="G17" i="48" s="1"/>
  <c r="E16" i="48"/>
  <c r="C42" i="47"/>
  <c r="D42" i="47" s="1"/>
  <c r="D41" i="47"/>
  <c r="B39" i="47"/>
  <c r="D39" i="47" s="1"/>
  <c r="D38" i="47"/>
  <c r="D36" i="47"/>
  <c r="D35" i="47"/>
  <c r="D34" i="47"/>
  <c r="C33" i="47"/>
  <c r="D33" i="47" s="1"/>
  <c r="C32" i="47"/>
  <c r="D32" i="47" s="1"/>
  <c r="C31" i="47"/>
  <c r="D31" i="47" s="1"/>
  <c r="C30" i="47"/>
  <c r="D30" i="47" s="1"/>
  <c r="C29" i="47"/>
  <c r="D29" i="47" s="1"/>
  <c r="E22" i="47"/>
  <c r="G22" i="47" s="1"/>
  <c r="E21" i="47"/>
  <c r="G21" i="47" s="1"/>
  <c r="E20" i="47"/>
  <c r="G20" i="47" s="1"/>
  <c r="E19" i="47"/>
  <c r="G19" i="47" s="1"/>
  <c r="E18" i="47"/>
  <c r="G18" i="47" s="1"/>
  <c r="E17" i="47"/>
  <c r="G17" i="47" s="1"/>
  <c r="E16" i="47"/>
  <c r="F16" i="46"/>
  <c r="G16" i="47" l="1"/>
  <c r="F24" i="47" s="1"/>
  <c r="F24" i="49"/>
  <c r="D45" i="49"/>
  <c r="G16" i="48"/>
  <c r="F24" i="48" s="1"/>
  <c r="D45" i="48"/>
  <c r="D45" i="47"/>
  <c r="D46" i="48" l="1"/>
  <c r="D48" i="48" s="1"/>
  <c r="H14" i="17" s="1"/>
  <c r="D46" i="47"/>
  <c r="D48" i="47" s="1"/>
  <c r="H33" i="17" s="1"/>
  <c r="D46" i="49"/>
  <c r="D48" i="49" s="1"/>
  <c r="H12" i="17" s="1"/>
  <c r="C42" i="46" l="1"/>
  <c r="D42" i="46" s="1"/>
  <c r="D41" i="46"/>
  <c r="B39" i="46"/>
  <c r="D39" i="46" s="1"/>
  <c r="D38" i="46"/>
  <c r="D36" i="46"/>
  <c r="D35" i="46"/>
  <c r="D34" i="46"/>
  <c r="C33" i="46"/>
  <c r="D33" i="46" s="1"/>
  <c r="C32" i="46"/>
  <c r="D32" i="46" s="1"/>
  <c r="C31" i="46"/>
  <c r="D31" i="46" s="1"/>
  <c r="C30" i="46"/>
  <c r="D30" i="46" s="1"/>
  <c r="C29" i="46"/>
  <c r="D29" i="46" s="1"/>
  <c r="E22" i="46"/>
  <c r="G22" i="46" s="1"/>
  <c r="E21" i="46"/>
  <c r="G21" i="46" s="1"/>
  <c r="E20" i="46"/>
  <c r="G20" i="46" s="1"/>
  <c r="E19" i="46"/>
  <c r="G19" i="46" s="1"/>
  <c r="E18" i="46"/>
  <c r="G18" i="46" s="1"/>
  <c r="E17" i="46"/>
  <c r="G17" i="46" s="1"/>
  <c r="E16" i="46"/>
  <c r="G16" i="46" s="1"/>
  <c r="E18" i="45"/>
  <c r="G18" i="45" s="1"/>
  <c r="F24" i="46" l="1"/>
  <c r="D45" i="46"/>
  <c r="C42" i="45"/>
  <c r="D42" i="45" s="1"/>
  <c r="D41" i="45"/>
  <c r="B39" i="45"/>
  <c r="D39" i="45" s="1"/>
  <c r="D38" i="45"/>
  <c r="D36" i="45"/>
  <c r="D35" i="45"/>
  <c r="D34" i="45"/>
  <c r="C33" i="45"/>
  <c r="D33" i="45" s="1"/>
  <c r="C32" i="45"/>
  <c r="D32" i="45" s="1"/>
  <c r="C31" i="45"/>
  <c r="D31" i="45" s="1"/>
  <c r="C30" i="45"/>
  <c r="D30" i="45" s="1"/>
  <c r="C29" i="45"/>
  <c r="D29" i="45" s="1"/>
  <c r="E22" i="45"/>
  <c r="G22" i="45" s="1"/>
  <c r="E21" i="45"/>
  <c r="G21" i="45" s="1"/>
  <c r="E20" i="45"/>
  <c r="G20" i="45" s="1"/>
  <c r="E19" i="45"/>
  <c r="G19" i="45" s="1"/>
  <c r="E17" i="45"/>
  <c r="G17" i="45" s="1"/>
  <c r="E16" i="45"/>
  <c r="D42" i="44"/>
  <c r="C42" i="44"/>
  <c r="D41" i="44"/>
  <c r="B39" i="44"/>
  <c r="D39" i="44" s="1"/>
  <c r="D38" i="44"/>
  <c r="D36" i="44"/>
  <c r="D35" i="44"/>
  <c r="D34" i="44"/>
  <c r="C33" i="44"/>
  <c r="D33" i="44" s="1"/>
  <c r="C32" i="44"/>
  <c r="D32" i="44" s="1"/>
  <c r="C31" i="44"/>
  <c r="D31" i="44" s="1"/>
  <c r="C30" i="44"/>
  <c r="D30" i="44" s="1"/>
  <c r="D29" i="44"/>
  <c r="C29" i="44"/>
  <c r="E22" i="44"/>
  <c r="G22" i="44" s="1"/>
  <c r="E21" i="44"/>
  <c r="G21" i="44" s="1"/>
  <c r="E20" i="44"/>
  <c r="G20" i="44" s="1"/>
  <c r="E19" i="44"/>
  <c r="G19" i="44" s="1"/>
  <c r="E18" i="44"/>
  <c r="G18" i="44" s="1"/>
  <c r="E17" i="44"/>
  <c r="E16" i="44"/>
  <c r="C42" i="43"/>
  <c r="D42" i="43" s="1"/>
  <c r="D41" i="43"/>
  <c r="B39" i="43"/>
  <c r="D39" i="43" s="1"/>
  <c r="D38" i="43"/>
  <c r="D36" i="43"/>
  <c r="D35" i="43"/>
  <c r="D34" i="43"/>
  <c r="C33" i="43"/>
  <c r="D33" i="43" s="1"/>
  <c r="C32" i="43"/>
  <c r="D32" i="43" s="1"/>
  <c r="C31" i="43"/>
  <c r="D31" i="43" s="1"/>
  <c r="C30" i="43"/>
  <c r="D30" i="43" s="1"/>
  <c r="C29" i="43"/>
  <c r="D29" i="43" s="1"/>
  <c r="E22" i="43"/>
  <c r="G22" i="43" s="1"/>
  <c r="G21" i="43"/>
  <c r="E21" i="43"/>
  <c r="E20" i="43"/>
  <c r="G20" i="43" s="1"/>
  <c r="E19" i="43"/>
  <c r="G19" i="43" s="1"/>
  <c r="E18" i="43"/>
  <c r="E17" i="43"/>
  <c r="G17" i="43" s="1"/>
  <c r="E16" i="43"/>
  <c r="C42" i="42"/>
  <c r="D42" i="42" s="1"/>
  <c r="D41" i="42"/>
  <c r="B39" i="42"/>
  <c r="D39" i="42" s="1"/>
  <c r="D38" i="42"/>
  <c r="D36" i="42"/>
  <c r="D35" i="42"/>
  <c r="D34" i="42"/>
  <c r="C33" i="42"/>
  <c r="D33" i="42" s="1"/>
  <c r="C32" i="42"/>
  <c r="D32" i="42" s="1"/>
  <c r="C31" i="42"/>
  <c r="D31" i="42" s="1"/>
  <c r="C30" i="42"/>
  <c r="D30" i="42" s="1"/>
  <c r="C29" i="42"/>
  <c r="D29" i="42" s="1"/>
  <c r="E22" i="42"/>
  <c r="G22" i="42" s="1"/>
  <c r="E21" i="42"/>
  <c r="G21" i="42" s="1"/>
  <c r="E20" i="42"/>
  <c r="G20" i="42" s="1"/>
  <c r="E19" i="42"/>
  <c r="G19" i="42" s="1"/>
  <c r="E18" i="42"/>
  <c r="G18" i="42" s="1"/>
  <c r="E17" i="42"/>
  <c r="G17" i="42" s="1"/>
  <c r="E16" i="42"/>
  <c r="G16" i="42" s="1"/>
  <c r="G16" i="43" l="1"/>
  <c r="D46" i="46"/>
  <c r="D48" i="46" s="1"/>
  <c r="H32" i="17" s="1"/>
  <c r="G16" i="45"/>
  <c r="F24" i="45" s="1"/>
  <c r="D45" i="45"/>
  <c r="G17" i="44"/>
  <c r="G16" i="44"/>
  <c r="D45" i="44"/>
  <c r="G18" i="43"/>
  <c r="D45" i="43"/>
  <c r="F24" i="42"/>
  <c r="D45" i="42"/>
  <c r="F24" i="43" l="1"/>
  <c r="D46" i="45"/>
  <c r="D48" i="45" s="1"/>
  <c r="H50" i="17" s="1"/>
  <c r="F24" i="44"/>
  <c r="D46" i="44" s="1"/>
  <c r="D48" i="44" s="1"/>
  <c r="H59" i="17" s="1"/>
  <c r="D46" i="43"/>
  <c r="D48" i="43" s="1"/>
  <c r="H71" i="17" s="1"/>
  <c r="D46" i="42"/>
  <c r="D48" i="42" s="1"/>
  <c r="H11" i="17" s="1"/>
  <c r="G18" i="41"/>
  <c r="C42" i="41"/>
  <c r="D42" i="41" s="1"/>
  <c r="D41" i="41"/>
  <c r="B39" i="41"/>
  <c r="D39" i="41" s="1"/>
  <c r="D38" i="41"/>
  <c r="D36" i="41"/>
  <c r="D35" i="41"/>
  <c r="D34" i="41"/>
  <c r="C33" i="41"/>
  <c r="D33" i="41" s="1"/>
  <c r="C32" i="41"/>
  <c r="D32" i="41" s="1"/>
  <c r="C31" i="41"/>
  <c r="D31" i="41" s="1"/>
  <c r="C30" i="41"/>
  <c r="D30" i="41" s="1"/>
  <c r="C29" i="41"/>
  <c r="D29" i="41" s="1"/>
  <c r="E22" i="41"/>
  <c r="G22" i="41" s="1"/>
  <c r="E21" i="41"/>
  <c r="G21" i="41" s="1"/>
  <c r="E20" i="41"/>
  <c r="G20" i="41" s="1"/>
  <c r="E19" i="41"/>
  <c r="G19" i="41" s="1"/>
  <c r="E18" i="41"/>
  <c r="E17" i="41"/>
  <c r="G17" i="41" s="1"/>
  <c r="E16" i="41"/>
  <c r="G16" i="41" s="1"/>
  <c r="E17" i="40"/>
  <c r="G17" i="40" s="1"/>
  <c r="C42" i="40"/>
  <c r="D42" i="40" s="1"/>
  <c r="D41" i="40"/>
  <c r="D38" i="40"/>
  <c r="D36" i="40"/>
  <c r="D35" i="40"/>
  <c r="D34" i="40"/>
  <c r="C33" i="40"/>
  <c r="D33" i="40" s="1"/>
  <c r="C32" i="40"/>
  <c r="D32" i="40" s="1"/>
  <c r="C31" i="40"/>
  <c r="D31" i="40" s="1"/>
  <c r="C30" i="40"/>
  <c r="D30" i="40" s="1"/>
  <c r="C29" i="40"/>
  <c r="D29" i="40" s="1"/>
  <c r="E22" i="40"/>
  <c r="G22" i="40" s="1"/>
  <c r="E21" i="40"/>
  <c r="G21" i="40" s="1"/>
  <c r="E20" i="40"/>
  <c r="G20" i="40" s="1"/>
  <c r="E19" i="40"/>
  <c r="G19" i="40" s="1"/>
  <c r="E18" i="40"/>
  <c r="G18" i="40" s="1"/>
  <c r="E16" i="40"/>
  <c r="B39" i="40"/>
  <c r="E18" i="39"/>
  <c r="G18" i="39" s="1"/>
  <c r="C42" i="39"/>
  <c r="D42" i="39" s="1"/>
  <c r="D41" i="39"/>
  <c r="B39" i="39"/>
  <c r="D39" i="39" s="1"/>
  <c r="D38" i="39"/>
  <c r="D36" i="39"/>
  <c r="D35" i="39"/>
  <c r="D34" i="39"/>
  <c r="C33" i="39"/>
  <c r="D33" i="39" s="1"/>
  <c r="C32" i="39"/>
  <c r="D32" i="39" s="1"/>
  <c r="C31" i="39"/>
  <c r="D31" i="39" s="1"/>
  <c r="C30" i="39"/>
  <c r="D30" i="39" s="1"/>
  <c r="C29" i="39"/>
  <c r="D29" i="39" s="1"/>
  <c r="E22" i="39"/>
  <c r="G22" i="39" s="1"/>
  <c r="E21" i="39"/>
  <c r="G21" i="39" s="1"/>
  <c r="E20" i="39"/>
  <c r="G20" i="39" s="1"/>
  <c r="E19" i="39"/>
  <c r="G19" i="39" s="1"/>
  <c r="E17" i="39"/>
  <c r="G17" i="39" s="1"/>
  <c r="E16" i="39"/>
  <c r="G16" i="39" s="1"/>
  <c r="D45" i="41" l="1"/>
  <c r="F24" i="41"/>
  <c r="G16" i="40"/>
  <c r="F24" i="40" s="1"/>
  <c r="D45" i="40"/>
  <c r="F24" i="39"/>
  <c r="D45" i="39"/>
  <c r="D46" i="41" l="1"/>
  <c r="D48" i="41" s="1"/>
  <c r="H13" i="17" s="1"/>
  <c r="D46" i="40"/>
  <c r="D48" i="40" s="1"/>
  <c r="H57" i="17" s="1"/>
  <c r="D46" i="39"/>
  <c r="D48" i="39" s="1"/>
  <c r="H39" i="17" s="1"/>
  <c r="C42" i="37" l="1"/>
  <c r="D42" i="37" s="1"/>
  <c r="D41" i="37"/>
  <c r="B39" i="37"/>
  <c r="D39" i="37" s="1"/>
  <c r="D38" i="37"/>
  <c r="D36" i="37"/>
  <c r="D35" i="37"/>
  <c r="D34" i="37"/>
  <c r="C33" i="37"/>
  <c r="D33" i="37" s="1"/>
  <c r="C32" i="37"/>
  <c r="D32" i="37" s="1"/>
  <c r="C31" i="37"/>
  <c r="D31" i="37" s="1"/>
  <c r="C30" i="37"/>
  <c r="D30" i="37" s="1"/>
  <c r="C29" i="37"/>
  <c r="D29" i="37" s="1"/>
  <c r="G22" i="37"/>
  <c r="E22" i="37"/>
  <c r="E21" i="37"/>
  <c r="G21" i="37" s="1"/>
  <c r="E20" i="37"/>
  <c r="G20" i="37" s="1"/>
  <c r="E19" i="37"/>
  <c r="G19" i="37" s="1"/>
  <c r="E18" i="37"/>
  <c r="G18" i="37" s="1"/>
  <c r="E17" i="37"/>
  <c r="G17" i="37" s="1"/>
  <c r="E16" i="37"/>
  <c r="G16" i="37" s="1"/>
  <c r="B12" i="36"/>
  <c r="B39" i="36" s="1"/>
  <c r="D39" i="36" s="1"/>
  <c r="C42" i="36"/>
  <c r="D42" i="36" s="1"/>
  <c r="D41" i="36"/>
  <c r="D38" i="36"/>
  <c r="D36" i="36"/>
  <c r="D35" i="36"/>
  <c r="D34" i="36"/>
  <c r="C33" i="36"/>
  <c r="D33" i="36" s="1"/>
  <c r="C32" i="36"/>
  <c r="D32" i="36" s="1"/>
  <c r="C31" i="36"/>
  <c r="D31" i="36" s="1"/>
  <c r="C30" i="36"/>
  <c r="D30" i="36" s="1"/>
  <c r="C29" i="36"/>
  <c r="D29" i="36" s="1"/>
  <c r="E22" i="36"/>
  <c r="G22" i="36" s="1"/>
  <c r="E21" i="36"/>
  <c r="G21" i="36" s="1"/>
  <c r="E20" i="36"/>
  <c r="G20" i="36" s="1"/>
  <c r="E19" i="36"/>
  <c r="G19" i="36" s="1"/>
  <c r="E18" i="36"/>
  <c r="G18" i="36" s="1"/>
  <c r="E17" i="36"/>
  <c r="E16" i="36"/>
  <c r="F24" i="37" l="1"/>
  <c r="D45" i="37"/>
  <c r="G16" i="36"/>
  <c r="G17" i="36"/>
  <c r="D45" i="36"/>
  <c r="D46" i="37" l="1"/>
  <c r="D48" i="37" s="1"/>
  <c r="H25" i="17" s="1"/>
  <c r="F24" i="36"/>
  <c r="D46" i="36" s="1"/>
  <c r="D48" i="36" s="1"/>
  <c r="H22" i="17" s="1"/>
  <c r="C42" i="35" l="1"/>
  <c r="D42" i="35" s="1"/>
  <c r="D41" i="35"/>
  <c r="B39" i="35"/>
  <c r="D39" i="35" s="1"/>
  <c r="D38" i="35"/>
  <c r="D36" i="35"/>
  <c r="D35" i="35"/>
  <c r="D34" i="35"/>
  <c r="C33" i="35"/>
  <c r="D33" i="35" s="1"/>
  <c r="C32" i="35"/>
  <c r="D32" i="35" s="1"/>
  <c r="C31" i="35"/>
  <c r="D31" i="35" s="1"/>
  <c r="C30" i="35"/>
  <c r="D30" i="35" s="1"/>
  <c r="C29" i="35"/>
  <c r="D29" i="35" s="1"/>
  <c r="G22" i="35"/>
  <c r="E22" i="35"/>
  <c r="E21" i="35"/>
  <c r="G21" i="35" s="1"/>
  <c r="E20" i="35"/>
  <c r="G20" i="35" s="1"/>
  <c r="E19" i="35"/>
  <c r="G19" i="35" s="1"/>
  <c r="E18" i="35"/>
  <c r="G18" i="35" s="1"/>
  <c r="E17" i="35"/>
  <c r="E16" i="35"/>
  <c r="G16" i="35" s="1"/>
  <c r="F21" i="33"/>
  <c r="E19" i="32"/>
  <c r="G19" i="32" s="1"/>
  <c r="E18" i="32"/>
  <c r="G18" i="32" s="1"/>
  <c r="D19" i="31"/>
  <c r="E19" i="31" s="1"/>
  <c r="G19" i="31" s="1"/>
  <c r="G17" i="35" l="1"/>
  <c r="F24" i="35" s="1"/>
  <c r="D45" i="35"/>
  <c r="D46" i="35" l="1"/>
  <c r="D48" i="35" s="1"/>
  <c r="H54" i="17" s="1"/>
  <c r="E19" i="24"/>
  <c r="G19" i="24" s="1"/>
  <c r="E19" i="23"/>
  <c r="G19" i="23" s="1"/>
  <c r="C42" i="34" l="1"/>
  <c r="D42" i="34" s="1"/>
  <c r="D41" i="34"/>
  <c r="B39" i="34"/>
  <c r="D39" i="34" s="1"/>
  <c r="D36" i="34"/>
  <c r="C33" i="34"/>
  <c r="D33" i="34" s="1"/>
  <c r="C32" i="34"/>
  <c r="D32" i="34" s="1"/>
  <c r="C31" i="34"/>
  <c r="D31" i="34" s="1"/>
  <c r="C30" i="34"/>
  <c r="D30" i="34" s="1"/>
  <c r="C29" i="34"/>
  <c r="D29" i="34" s="1"/>
  <c r="E22" i="34"/>
  <c r="G22" i="34" s="1"/>
  <c r="E21" i="34"/>
  <c r="G21" i="34" s="1"/>
  <c r="E20" i="34"/>
  <c r="G20" i="34" s="1"/>
  <c r="E19" i="34"/>
  <c r="G19" i="34" s="1"/>
  <c r="E18" i="34"/>
  <c r="E17" i="34"/>
  <c r="G17" i="34" s="1"/>
  <c r="E16" i="34"/>
  <c r="G16" i="34" s="1"/>
  <c r="D35" i="34"/>
  <c r="D36" i="33"/>
  <c r="C30" i="33"/>
  <c r="D30" i="33" s="1"/>
  <c r="C43" i="33"/>
  <c r="D43" i="33" s="1"/>
  <c r="D42" i="33"/>
  <c r="B40" i="33"/>
  <c r="D40" i="33" s="1"/>
  <c r="D37" i="33"/>
  <c r="D35" i="33"/>
  <c r="C34" i="33"/>
  <c r="D34" i="33" s="1"/>
  <c r="C33" i="33"/>
  <c r="D33" i="33" s="1"/>
  <c r="C32" i="33"/>
  <c r="D32" i="33" s="1"/>
  <c r="C31" i="33"/>
  <c r="D31" i="33" s="1"/>
  <c r="C29" i="33"/>
  <c r="D29" i="33" s="1"/>
  <c r="E22" i="33"/>
  <c r="E21" i="33"/>
  <c r="G21" i="33" s="1"/>
  <c r="E20" i="33"/>
  <c r="G20" i="33" s="1"/>
  <c r="E19" i="33"/>
  <c r="G19" i="33" s="1"/>
  <c r="E18" i="33"/>
  <c r="E17" i="33"/>
  <c r="E16" i="33"/>
  <c r="G18" i="33" l="1"/>
  <c r="D39" i="33"/>
  <c r="D46" i="33" s="1"/>
  <c r="G18" i="34"/>
  <c r="F24" i="34" s="1"/>
  <c r="D38" i="34"/>
  <c r="D34" i="34"/>
  <c r="G17" i="33"/>
  <c r="G16" i="33"/>
  <c r="D45" i="34" l="1"/>
  <c r="D46" i="34" s="1"/>
  <c r="D48" i="34" s="1"/>
  <c r="H17" i="17" s="1"/>
  <c r="F24" i="33"/>
  <c r="D47" i="33" s="1"/>
  <c r="D49" i="33" s="1"/>
  <c r="H62" i="17" s="1"/>
  <c r="C42" i="32" l="1"/>
  <c r="D42" i="32" s="1"/>
  <c r="D41" i="32"/>
  <c r="B39" i="32"/>
  <c r="D39" i="32" s="1"/>
  <c r="C33" i="32"/>
  <c r="D33" i="32" s="1"/>
  <c r="C32" i="32"/>
  <c r="D32" i="32" s="1"/>
  <c r="C31" i="32"/>
  <c r="D31" i="32" s="1"/>
  <c r="C30" i="32"/>
  <c r="D30" i="32" s="1"/>
  <c r="C29" i="32"/>
  <c r="D29" i="32" s="1"/>
  <c r="E22" i="32"/>
  <c r="G22" i="32" s="1"/>
  <c r="E21" i="32"/>
  <c r="G21" i="32" s="1"/>
  <c r="E20" i="32"/>
  <c r="G20" i="32" s="1"/>
  <c r="E17" i="32"/>
  <c r="G17" i="32" s="1"/>
  <c r="E16" i="32"/>
  <c r="G16" i="32" s="1"/>
  <c r="D35" i="32"/>
  <c r="D17" i="31"/>
  <c r="F24" i="32" l="1"/>
  <c r="D36" i="32"/>
  <c r="D38" i="32"/>
  <c r="D34" i="32"/>
  <c r="C42" i="31"/>
  <c r="D42" i="31" s="1"/>
  <c r="D41" i="31"/>
  <c r="B39" i="31"/>
  <c r="D39" i="31" s="1"/>
  <c r="D38" i="31"/>
  <c r="D36" i="31"/>
  <c r="D35" i="31"/>
  <c r="D34" i="31"/>
  <c r="C33" i="31"/>
  <c r="D33" i="31" s="1"/>
  <c r="C32" i="31"/>
  <c r="D32" i="31" s="1"/>
  <c r="C31" i="31"/>
  <c r="D31" i="31" s="1"/>
  <c r="C30" i="31"/>
  <c r="D30" i="31" s="1"/>
  <c r="C29" i="31"/>
  <c r="D29" i="31" s="1"/>
  <c r="G22" i="31"/>
  <c r="E22" i="31"/>
  <c r="E21" i="31"/>
  <c r="G21" i="31" s="1"/>
  <c r="E20" i="31"/>
  <c r="G20" i="31" s="1"/>
  <c r="E18" i="31"/>
  <c r="E17" i="31"/>
  <c r="G17" i="31" s="1"/>
  <c r="E16" i="31"/>
  <c r="G16" i="31" s="1"/>
  <c r="D45" i="32" l="1"/>
  <c r="D46" i="32" s="1"/>
  <c r="D48" i="32" s="1"/>
  <c r="H47" i="17" s="1"/>
  <c r="F24" i="31"/>
  <c r="D45" i="31"/>
  <c r="D46" i="31" l="1"/>
  <c r="D48" i="31" s="1"/>
  <c r="H41" i="17" s="1"/>
  <c r="C42" i="30" l="1"/>
  <c r="D42" i="30" s="1"/>
  <c r="D41" i="30"/>
  <c r="B39" i="30"/>
  <c r="D39" i="30" s="1"/>
  <c r="D38" i="30"/>
  <c r="D36" i="30"/>
  <c r="D35" i="30"/>
  <c r="D34" i="30"/>
  <c r="C33" i="30"/>
  <c r="D33" i="30" s="1"/>
  <c r="C32" i="30"/>
  <c r="D32" i="30" s="1"/>
  <c r="C31" i="30"/>
  <c r="D31" i="30" s="1"/>
  <c r="C30" i="30"/>
  <c r="D30" i="30" s="1"/>
  <c r="C29" i="30"/>
  <c r="D29" i="30" s="1"/>
  <c r="E22" i="30"/>
  <c r="G22" i="30" s="1"/>
  <c r="E21" i="30"/>
  <c r="G21" i="30" s="1"/>
  <c r="E20" i="30"/>
  <c r="G20" i="30" s="1"/>
  <c r="E19" i="30"/>
  <c r="G19" i="30" s="1"/>
  <c r="E17" i="30"/>
  <c r="G17" i="30" s="1"/>
  <c r="E16" i="30"/>
  <c r="G16" i="30" s="1"/>
  <c r="D45" i="30" l="1"/>
  <c r="F24" i="30"/>
  <c r="D46" i="30" l="1"/>
  <c r="D48" i="30" s="1"/>
  <c r="H67" i="17" s="1"/>
  <c r="C42" i="29" l="1"/>
  <c r="D42" i="29" s="1"/>
  <c r="D41" i="29"/>
  <c r="B39" i="29"/>
  <c r="D39" i="29" s="1"/>
  <c r="D38" i="29"/>
  <c r="D36" i="29"/>
  <c r="D35" i="29"/>
  <c r="D34" i="29"/>
  <c r="C33" i="29"/>
  <c r="D33" i="29" s="1"/>
  <c r="C32" i="29"/>
  <c r="D32" i="29" s="1"/>
  <c r="C31" i="29"/>
  <c r="D31" i="29" s="1"/>
  <c r="C30" i="29"/>
  <c r="D30" i="29" s="1"/>
  <c r="C29" i="29"/>
  <c r="D29" i="29" s="1"/>
  <c r="E22" i="29"/>
  <c r="G22" i="29" s="1"/>
  <c r="E21" i="29"/>
  <c r="G21" i="29" s="1"/>
  <c r="E20" i="29"/>
  <c r="G20" i="29" s="1"/>
  <c r="E19" i="29"/>
  <c r="G19" i="29" s="1"/>
  <c r="E18" i="29"/>
  <c r="G18" i="29" s="1"/>
  <c r="E17" i="29"/>
  <c r="G17" i="29" s="1"/>
  <c r="E16" i="29"/>
  <c r="G16" i="29" s="1"/>
  <c r="C42" i="28"/>
  <c r="D42" i="28" s="1"/>
  <c r="D41" i="28"/>
  <c r="B39" i="28"/>
  <c r="D39" i="28" s="1"/>
  <c r="D38" i="28"/>
  <c r="D36" i="28"/>
  <c r="D35" i="28"/>
  <c r="D34" i="28"/>
  <c r="C33" i="28"/>
  <c r="D33" i="28" s="1"/>
  <c r="C32" i="28"/>
  <c r="D32" i="28" s="1"/>
  <c r="C31" i="28"/>
  <c r="D31" i="28" s="1"/>
  <c r="C30" i="28"/>
  <c r="D30" i="28" s="1"/>
  <c r="C29" i="28"/>
  <c r="D29" i="28" s="1"/>
  <c r="E22" i="28"/>
  <c r="G22" i="28" s="1"/>
  <c r="E21" i="28"/>
  <c r="G21" i="28" s="1"/>
  <c r="E20" i="28"/>
  <c r="G20" i="28" s="1"/>
  <c r="E19" i="28"/>
  <c r="G19" i="28" s="1"/>
  <c r="E18" i="28"/>
  <c r="G18" i="28" s="1"/>
  <c r="E17" i="28"/>
  <c r="G17" i="28" s="1"/>
  <c r="E16" i="28"/>
  <c r="G16" i="28" s="1"/>
  <c r="C42" i="27"/>
  <c r="D42" i="27" s="1"/>
  <c r="D41" i="27"/>
  <c r="B39" i="27"/>
  <c r="D39" i="27" s="1"/>
  <c r="D38" i="27"/>
  <c r="D36" i="27"/>
  <c r="D35" i="27"/>
  <c r="D34" i="27"/>
  <c r="C33" i="27"/>
  <c r="D33" i="27" s="1"/>
  <c r="C32" i="27"/>
  <c r="D32" i="27" s="1"/>
  <c r="C31" i="27"/>
  <c r="D31" i="27" s="1"/>
  <c r="C30" i="27"/>
  <c r="D30" i="27" s="1"/>
  <c r="C29" i="27"/>
  <c r="D29" i="27" s="1"/>
  <c r="E22" i="27"/>
  <c r="G22" i="27" s="1"/>
  <c r="E21" i="27"/>
  <c r="G21" i="27" s="1"/>
  <c r="E20" i="27"/>
  <c r="G20" i="27" s="1"/>
  <c r="E19" i="27"/>
  <c r="G19" i="27" s="1"/>
  <c r="E18" i="27"/>
  <c r="G18" i="27" s="1"/>
  <c r="E17" i="27"/>
  <c r="G17" i="27" s="1"/>
  <c r="E16" i="27"/>
  <c r="G16" i="27" s="1"/>
  <c r="C42" i="26"/>
  <c r="D42" i="26" s="1"/>
  <c r="D41" i="26"/>
  <c r="B39" i="26"/>
  <c r="D39" i="26" s="1"/>
  <c r="D38" i="26"/>
  <c r="D36" i="26"/>
  <c r="D35" i="26"/>
  <c r="D34" i="26"/>
  <c r="C33" i="26"/>
  <c r="D33" i="26" s="1"/>
  <c r="C32" i="26"/>
  <c r="D32" i="26" s="1"/>
  <c r="C31" i="26"/>
  <c r="D31" i="26" s="1"/>
  <c r="C30" i="26"/>
  <c r="D30" i="26" s="1"/>
  <c r="C29" i="26"/>
  <c r="D29" i="26" s="1"/>
  <c r="E22" i="26"/>
  <c r="G22" i="26" s="1"/>
  <c r="E21" i="26"/>
  <c r="G21" i="26" s="1"/>
  <c r="E20" i="26"/>
  <c r="G20" i="26" s="1"/>
  <c r="E19" i="26"/>
  <c r="G19" i="26" s="1"/>
  <c r="E18" i="26"/>
  <c r="G18" i="26" s="1"/>
  <c r="E17" i="26"/>
  <c r="G17" i="26" s="1"/>
  <c r="E16" i="26"/>
  <c r="G16" i="26" s="1"/>
  <c r="C42" i="25"/>
  <c r="D42" i="25" s="1"/>
  <c r="D41" i="25"/>
  <c r="B39" i="25"/>
  <c r="D39" i="25" s="1"/>
  <c r="C33" i="25"/>
  <c r="D33" i="25" s="1"/>
  <c r="C32" i="25"/>
  <c r="D32" i="25" s="1"/>
  <c r="C31" i="25"/>
  <c r="D31" i="25" s="1"/>
  <c r="C30" i="25"/>
  <c r="D30" i="25" s="1"/>
  <c r="C29" i="25"/>
  <c r="D29" i="25" s="1"/>
  <c r="E22" i="25"/>
  <c r="G22" i="25" s="1"/>
  <c r="E21" i="25"/>
  <c r="G21" i="25" s="1"/>
  <c r="E20" i="25"/>
  <c r="G20" i="25" s="1"/>
  <c r="E19" i="25"/>
  <c r="G19" i="25" s="1"/>
  <c r="E18" i="25"/>
  <c r="G18" i="25" s="1"/>
  <c r="E17" i="25"/>
  <c r="G17" i="25" s="1"/>
  <c r="E16" i="25"/>
  <c r="G16" i="25" s="1"/>
  <c r="D35" i="25"/>
  <c r="D36" i="24"/>
  <c r="D17" i="24"/>
  <c r="E17" i="24" s="1"/>
  <c r="G17" i="24" s="1"/>
  <c r="C43" i="24"/>
  <c r="D43" i="24" s="1"/>
  <c r="D42" i="24"/>
  <c r="B40" i="24"/>
  <c r="C34" i="24"/>
  <c r="D34" i="24" s="1"/>
  <c r="C33" i="24"/>
  <c r="D33" i="24" s="1"/>
  <c r="C32" i="24"/>
  <c r="D32" i="24" s="1"/>
  <c r="C31" i="24"/>
  <c r="D31" i="24" s="1"/>
  <c r="C30" i="24"/>
  <c r="D30" i="24" s="1"/>
  <c r="C29" i="24"/>
  <c r="D29" i="24" s="1"/>
  <c r="G22" i="24"/>
  <c r="E22" i="24"/>
  <c r="E21" i="24"/>
  <c r="G21" i="24" s="1"/>
  <c r="E20" i="24"/>
  <c r="G20" i="24" s="1"/>
  <c r="E18" i="24"/>
  <c r="G18" i="24" s="1"/>
  <c r="E16" i="24"/>
  <c r="G16" i="24" s="1"/>
  <c r="D40" i="24" l="1"/>
  <c r="F24" i="26"/>
  <c r="F24" i="84" s="1"/>
  <c r="D45" i="29"/>
  <c r="F24" i="29"/>
  <c r="F24" i="28"/>
  <c r="D45" i="28"/>
  <c r="F24" i="27"/>
  <c r="D45" i="27"/>
  <c r="D45" i="26"/>
  <c r="F24" i="25"/>
  <c r="D36" i="25"/>
  <c r="D38" i="25"/>
  <c r="D34" i="25"/>
  <c r="F24" i="24"/>
  <c r="D37" i="24"/>
  <c r="D39" i="24"/>
  <c r="D35" i="24"/>
  <c r="D45" i="84" l="1"/>
  <c r="D46" i="84" s="1"/>
  <c r="D48" i="84" s="1"/>
  <c r="L8" i="17" s="1"/>
  <c r="D46" i="29"/>
  <c r="D48" i="29" s="1"/>
  <c r="H18" i="17" s="1"/>
  <c r="D46" i="27"/>
  <c r="D48" i="27" s="1"/>
  <c r="H23" i="17" s="1"/>
  <c r="D46" i="26"/>
  <c r="D48" i="26" s="1"/>
  <c r="H7" i="17" s="1"/>
  <c r="D46" i="28"/>
  <c r="D48" i="28" s="1"/>
  <c r="H31" i="17" s="1"/>
  <c r="D45" i="25"/>
  <c r="D46" i="25" s="1"/>
  <c r="D48" i="25" s="1"/>
  <c r="H42" i="17" s="1"/>
  <c r="D46" i="24"/>
  <c r="D47" i="24" s="1"/>
  <c r="D49" i="24" s="1"/>
  <c r="H30" i="17" s="1"/>
  <c r="D17" i="23" l="1"/>
  <c r="C43" i="23" l="1"/>
  <c r="D43" i="23" s="1"/>
  <c r="D42" i="23"/>
  <c r="B40" i="23"/>
  <c r="C34" i="23"/>
  <c r="D34" i="23" s="1"/>
  <c r="C33" i="23"/>
  <c r="D33" i="23" s="1"/>
  <c r="C32" i="23"/>
  <c r="D32" i="23" s="1"/>
  <c r="C31" i="23"/>
  <c r="D31" i="23" s="1"/>
  <c r="C30" i="23"/>
  <c r="D30" i="23" s="1"/>
  <c r="C29" i="23"/>
  <c r="D29" i="23" s="1"/>
  <c r="E22" i="23"/>
  <c r="G22" i="23" s="1"/>
  <c r="E21" i="23"/>
  <c r="G21" i="23" s="1"/>
  <c r="E20" i="23"/>
  <c r="E18" i="23"/>
  <c r="G18" i="23" s="1"/>
  <c r="E17" i="23"/>
  <c r="G17" i="23" s="1"/>
  <c r="E16" i="23"/>
  <c r="G16" i="23" s="1"/>
  <c r="D36" i="23"/>
  <c r="D40" i="23" l="1"/>
  <c r="F24" i="23"/>
  <c r="D37" i="23"/>
  <c r="D39" i="23"/>
  <c r="D35" i="23"/>
  <c r="D46" i="23" l="1"/>
  <c r="D47" i="23" s="1"/>
  <c r="D49" i="23" s="1"/>
  <c r="H16" i="17" s="1"/>
  <c r="D17" i="22" l="1"/>
  <c r="C30" i="22" l="1"/>
  <c r="D30" i="22" s="1"/>
  <c r="C43" i="22"/>
  <c r="D43" i="22" s="1"/>
  <c r="D42" i="22"/>
  <c r="B40" i="22"/>
  <c r="D39" i="22"/>
  <c r="D37" i="22"/>
  <c r="D36" i="22"/>
  <c r="D35" i="22"/>
  <c r="C34" i="22"/>
  <c r="D34" i="22" s="1"/>
  <c r="C33" i="22"/>
  <c r="D33" i="22" s="1"/>
  <c r="C32" i="22"/>
  <c r="D32" i="22" s="1"/>
  <c r="C31" i="22"/>
  <c r="D31" i="22" s="1"/>
  <c r="C29" i="22"/>
  <c r="D29" i="22" s="1"/>
  <c r="E22" i="22"/>
  <c r="G22" i="22" s="1"/>
  <c r="E21" i="22"/>
  <c r="G21" i="22" s="1"/>
  <c r="E20" i="22"/>
  <c r="G20" i="22" s="1"/>
  <c r="E19" i="22"/>
  <c r="G19" i="22" s="1"/>
  <c r="E18" i="22"/>
  <c r="G18" i="22" s="1"/>
  <c r="E17" i="22"/>
  <c r="G17" i="22" s="1"/>
  <c r="E16" i="22"/>
  <c r="G16" i="22" s="1"/>
  <c r="D40" i="22" l="1"/>
  <c r="D46" i="22" s="1"/>
  <c r="F24" i="22"/>
  <c r="D47" i="22" l="1"/>
  <c r="D49" i="22" s="1"/>
  <c r="H19" i="17" s="1"/>
  <c r="C42" i="21" l="1"/>
  <c r="D42" i="21" s="1"/>
  <c r="D41" i="21"/>
  <c r="B39" i="21"/>
  <c r="D39" i="21" s="1"/>
  <c r="C33" i="21"/>
  <c r="D33" i="21" s="1"/>
  <c r="C32" i="21"/>
  <c r="D32" i="21" s="1"/>
  <c r="C31" i="21"/>
  <c r="D31" i="21" s="1"/>
  <c r="C30" i="21"/>
  <c r="D30" i="21" s="1"/>
  <c r="C29" i="21"/>
  <c r="D29" i="21" s="1"/>
  <c r="E22" i="21"/>
  <c r="G22" i="21" s="1"/>
  <c r="E21" i="21"/>
  <c r="G21" i="21" s="1"/>
  <c r="E20" i="21"/>
  <c r="G20" i="21" s="1"/>
  <c r="E19" i="21"/>
  <c r="G19" i="21" s="1"/>
  <c r="E18" i="21"/>
  <c r="G18" i="21" s="1"/>
  <c r="E17" i="21"/>
  <c r="G17" i="21" s="1"/>
  <c r="E16" i="21"/>
  <c r="G16" i="21" s="1"/>
  <c r="D35" i="21"/>
  <c r="F24" i="21" l="1"/>
  <c r="D36" i="21"/>
  <c r="D38" i="21"/>
  <c r="D34" i="21"/>
  <c r="D34" i="20"/>
  <c r="C42" i="20"/>
  <c r="D42" i="20" s="1"/>
  <c r="D41" i="20"/>
  <c r="B39" i="20"/>
  <c r="D39" i="20" s="1"/>
  <c r="C33" i="20"/>
  <c r="D33" i="20" s="1"/>
  <c r="C32" i="20"/>
  <c r="D32" i="20" s="1"/>
  <c r="C31" i="20"/>
  <c r="D31" i="20" s="1"/>
  <c r="C30" i="20"/>
  <c r="D30" i="20" s="1"/>
  <c r="C29" i="20"/>
  <c r="D29" i="20" s="1"/>
  <c r="E22" i="20"/>
  <c r="G22" i="20" s="1"/>
  <c r="E21" i="20"/>
  <c r="G21" i="20" s="1"/>
  <c r="E20" i="20"/>
  <c r="G20" i="20" s="1"/>
  <c r="E19" i="20"/>
  <c r="G19" i="20" s="1"/>
  <c r="E18" i="20"/>
  <c r="G18" i="20" s="1"/>
  <c r="E17" i="20"/>
  <c r="G17" i="20" s="1"/>
  <c r="E16" i="20"/>
  <c r="G16" i="20" s="1"/>
  <c r="D34" i="19"/>
  <c r="C42" i="19"/>
  <c r="D42" i="19" s="1"/>
  <c r="D41" i="19"/>
  <c r="B39" i="19"/>
  <c r="D39" i="19" s="1"/>
  <c r="C33" i="19"/>
  <c r="D33" i="19" s="1"/>
  <c r="C32" i="19"/>
  <c r="D32" i="19" s="1"/>
  <c r="C31" i="19"/>
  <c r="D31" i="19" s="1"/>
  <c r="C30" i="19"/>
  <c r="D30" i="19" s="1"/>
  <c r="C29" i="19"/>
  <c r="D29" i="19" s="1"/>
  <c r="E22" i="19"/>
  <c r="G22" i="19" s="1"/>
  <c r="E21" i="19"/>
  <c r="G21" i="19" s="1"/>
  <c r="E20" i="19"/>
  <c r="G20" i="19" s="1"/>
  <c r="E19" i="19"/>
  <c r="G19" i="19" s="1"/>
  <c r="E18" i="19"/>
  <c r="G18" i="19" s="1"/>
  <c r="E17" i="19"/>
  <c r="G17" i="19" s="1"/>
  <c r="E16" i="19"/>
  <c r="G16" i="19" s="1"/>
  <c r="D45" i="21" l="1"/>
  <c r="D46" i="21" s="1"/>
  <c r="D48" i="21" s="1"/>
  <c r="H70" i="17" s="1"/>
  <c r="D36" i="20"/>
  <c r="F24" i="20"/>
  <c r="D38" i="20"/>
  <c r="D35" i="20"/>
  <c r="D36" i="19"/>
  <c r="D38" i="19"/>
  <c r="D35" i="19"/>
  <c r="D45" i="19" s="1"/>
  <c r="F24" i="19"/>
  <c r="D45" i="20" l="1"/>
  <c r="D46" i="20" s="1"/>
  <c r="D48" i="20" s="1"/>
  <c r="H55" i="17" s="1"/>
  <c r="D46" i="19"/>
  <c r="D48" i="19" s="1"/>
  <c r="H49" i="17" s="1"/>
  <c r="C42" i="18" l="1"/>
  <c r="D42" i="18" s="1"/>
  <c r="D41" i="18"/>
  <c r="B39" i="18"/>
  <c r="D39" i="18" s="1"/>
  <c r="D38" i="18"/>
  <c r="D36" i="18"/>
  <c r="D35" i="18"/>
  <c r="D34" i="18"/>
  <c r="C33" i="18"/>
  <c r="D33" i="18" s="1"/>
  <c r="C32" i="18"/>
  <c r="D32" i="18" s="1"/>
  <c r="C31" i="18"/>
  <c r="D31" i="18" s="1"/>
  <c r="C30" i="18"/>
  <c r="D30" i="18" s="1"/>
  <c r="C29" i="18"/>
  <c r="D29" i="18" s="1"/>
  <c r="E22" i="18"/>
  <c r="G22" i="18" s="1"/>
  <c r="E21" i="18"/>
  <c r="G21" i="18" s="1"/>
  <c r="E20" i="18"/>
  <c r="G20" i="18" s="1"/>
  <c r="E19" i="18"/>
  <c r="G19" i="18" s="1"/>
  <c r="E18" i="18"/>
  <c r="G18" i="18" s="1"/>
  <c r="E17" i="18"/>
  <c r="G17" i="18" s="1"/>
  <c r="E16" i="18"/>
  <c r="G16" i="18" s="1"/>
  <c r="D34" i="15"/>
  <c r="D17" i="15"/>
  <c r="D45" i="18" l="1"/>
  <c r="F24" i="18"/>
  <c r="D46" i="18" l="1"/>
  <c r="D48" i="18" s="1"/>
  <c r="H34" i="17" s="1"/>
  <c r="C33" i="15" l="1"/>
  <c r="D33" i="15" s="1"/>
  <c r="C16" i="16"/>
  <c r="C31" i="15"/>
  <c r="D31" i="15" s="1"/>
  <c r="C32" i="15"/>
  <c r="D32" i="15" s="1"/>
  <c r="C30" i="15"/>
  <c r="D30" i="15" s="1"/>
  <c r="C42" i="15"/>
  <c r="B39" i="15"/>
  <c r="D39" i="15" s="1"/>
  <c r="D41" i="15"/>
  <c r="E17" i="15"/>
  <c r="E18" i="15"/>
  <c r="E19" i="15"/>
  <c r="E20" i="15"/>
  <c r="E21" i="15"/>
  <c r="E22" i="15"/>
  <c r="E16" i="15"/>
  <c r="G16" i="15" s="1"/>
  <c r="D35" i="15" l="1"/>
  <c r="D38" i="15"/>
  <c r="D36" i="15"/>
  <c r="C29" i="15"/>
  <c r="D29" i="15" s="1"/>
  <c r="D45" i="83" l="1"/>
  <c r="D42" i="15"/>
  <c r="D45" i="15" s="1"/>
  <c r="E15" i="16"/>
  <c r="C15" i="16"/>
  <c r="E14" i="16"/>
  <c r="C14" i="16"/>
  <c r="E13" i="16"/>
  <c r="C13" i="16"/>
  <c r="E12" i="16"/>
  <c r="C12" i="16"/>
  <c r="E11" i="16"/>
  <c r="C11" i="16"/>
  <c r="E10" i="16"/>
  <c r="C10" i="16"/>
  <c r="E9" i="16"/>
  <c r="C9" i="16"/>
  <c r="E8" i="16"/>
  <c r="C8" i="16"/>
  <c r="E7" i="16"/>
  <c r="C7" i="16"/>
  <c r="E5" i="16"/>
  <c r="C5" i="16"/>
  <c r="E4" i="16"/>
  <c r="C4" i="16"/>
  <c r="E3" i="16"/>
  <c r="C3" i="16"/>
  <c r="E2" i="16"/>
  <c r="C2" i="16"/>
  <c r="G17" i="15" l="1"/>
  <c r="G18" i="15"/>
  <c r="G19" i="15"/>
  <c r="G20" i="15"/>
  <c r="G21" i="15"/>
  <c r="G22" i="15"/>
  <c r="F24" i="15" l="1"/>
  <c r="D46" i="15" l="1"/>
  <c r="D48" i="15" s="1"/>
  <c r="H15" i="17" s="1"/>
  <c r="D46" i="83"/>
  <c r="D48" i="83" s="1"/>
  <c r="L6" i="1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Laurent LEFRANCOIS</author>
  </authors>
  <commentList>
    <comment ref="C17" authorId="0" shapeId="0" xr:uid="{CF4E7A64-21E4-478B-9030-0EA585B793CD}">
      <text>
        <r>
          <rPr>
            <b/>
            <sz val="9"/>
            <color indexed="81"/>
            <rFont val="Tahoma"/>
            <family val="2"/>
          </rPr>
          <t>Laurent LEFRANCOIS:</t>
        </r>
        <r>
          <rPr>
            <sz val="9"/>
            <color indexed="81"/>
            <rFont val="Tahoma"/>
            <family val="2"/>
          </rPr>
          <t xml:space="preserve">
Tarif Indexé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Laurent LEFRANCOIS</author>
  </authors>
  <commentList>
    <comment ref="C17" authorId="0" shapeId="0" xr:uid="{87874486-2919-4253-8FEC-30C30F36B7DF}">
      <text>
        <r>
          <rPr>
            <b/>
            <sz val="9"/>
            <color indexed="81"/>
            <rFont val="Tahoma"/>
            <family val="2"/>
          </rPr>
          <t>Laurent LEFRANCOIS:</t>
        </r>
        <r>
          <rPr>
            <sz val="9"/>
            <color indexed="81"/>
            <rFont val="Tahoma"/>
            <family val="2"/>
          </rPr>
          <t xml:space="preserve">
Tarif Indexé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Laurent LEFRANCOIS</author>
  </authors>
  <commentList>
    <comment ref="C17" authorId="0" shapeId="0" xr:uid="{A50C38F0-8157-489C-B0A6-D4F1ACC7A01F}">
      <text>
        <r>
          <rPr>
            <b/>
            <sz val="9"/>
            <color indexed="81"/>
            <rFont val="Tahoma"/>
            <family val="2"/>
          </rPr>
          <t>Laurent LEFRANCOIS:</t>
        </r>
        <r>
          <rPr>
            <sz val="9"/>
            <color indexed="81"/>
            <rFont val="Tahoma"/>
            <family val="2"/>
          </rPr>
          <t xml:space="preserve">
Tarif Indexé</t>
        </r>
      </text>
    </comment>
    <comment ref="C19" authorId="0" shapeId="0" xr:uid="{31EB389D-5698-4B40-B8B9-B39D90837A23}">
      <text>
        <r>
          <rPr>
            <b/>
            <sz val="9"/>
            <color indexed="81"/>
            <rFont val="Tahoma"/>
            <family val="2"/>
          </rPr>
          <t>Laurent LEFRANCOIS:</t>
        </r>
        <r>
          <rPr>
            <sz val="9"/>
            <color indexed="81"/>
            <rFont val="Tahoma"/>
            <family val="2"/>
          </rPr>
          <t xml:space="preserve">
Tarif Indexé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Laurent LEFRANCOIS</author>
  </authors>
  <commentList>
    <comment ref="C17" authorId="0" shapeId="0" xr:uid="{A3931D56-96F5-4996-80CD-DDCBE015AD87}">
      <text>
        <r>
          <rPr>
            <b/>
            <sz val="9"/>
            <color indexed="81"/>
            <rFont val="Tahoma"/>
            <family val="2"/>
          </rPr>
          <t>Laurent LEFRANCOIS:</t>
        </r>
        <r>
          <rPr>
            <sz val="9"/>
            <color indexed="81"/>
            <rFont val="Tahoma"/>
            <family val="2"/>
          </rPr>
          <t xml:space="preserve">
Tarif Indexé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Laurent LEFRANCOIS</author>
  </authors>
  <commentList>
    <comment ref="C18" authorId="0" shapeId="0" xr:uid="{B4F1A025-EAB1-4D7F-9F2C-4F9F364492C2}">
      <text>
        <r>
          <rPr>
            <b/>
            <sz val="9"/>
            <color indexed="81"/>
            <rFont val="Tahoma"/>
            <family val="2"/>
          </rPr>
          <t>Laurent LEFRANCOIS:</t>
        </r>
        <r>
          <rPr>
            <sz val="9"/>
            <color indexed="81"/>
            <rFont val="Tahoma"/>
            <family val="2"/>
          </rPr>
          <t xml:space="preserve">
Tarif Indexé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Laurent LEFRANCOIS</author>
  </authors>
  <commentList>
    <comment ref="C19" authorId="0" shapeId="0" xr:uid="{7BCAB5E8-3A48-4578-91E9-C0AB382942B9}">
      <text>
        <r>
          <rPr>
            <b/>
            <sz val="9"/>
            <color indexed="81"/>
            <rFont val="Tahoma"/>
            <family val="2"/>
          </rPr>
          <t>Laurent LEFRANCOIS:</t>
        </r>
        <r>
          <rPr>
            <sz val="9"/>
            <color indexed="81"/>
            <rFont val="Tahoma"/>
            <family val="2"/>
          </rPr>
          <t xml:space="preserve">
Tarif Indexé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Laurent LEFRANCOIS</author>
  </authors>
  <commentList>
    <comment ref="C18" authorId="0" shapeId="0" xr:uid="{DF9F9E57-E5A8-4995-A378-F148BA98B2C6}">
      <text>
        <r>
          <rPr>
            <b/>
            <sz val="9"/>
            <color indexed="81"/>
            <rFont val="Tahoma"/>
            <family val="2"/>
          </rPr>
          <t>Laurent LEFRANCOIS:</t>
        </r>
        <r>
          <rPr>
            <sz val="9"/>
            <color indexed="81"/>
            <rFont val="Tahoma"/>
            <family val="2"/>
          </rPr>
          <t xml:space="preserve">
Tarif Indexé</t>
        </r>
      </text>
    </comment>
    <comment ref="C19" authorId="0" shapeId="0" xr:uid="{F15F0884-B685-4E6E-B8DC-21E8E589359B}">
      <text>
        <r>
          <rPr>
            <b/>
            <sz val="9"/>
            <color indexed="81"/>
            <rFont val="Tahoma"/>
            <family val="2"/>
          </rPr>
          <t>Laurent LEFRANCOIS:</t>
        </r>
        <r>
          <rPr>
            <sz val="9"/>
            <color indexed="81"/>
            <rFont val="Tahoma"/>
            <family val="2"/>
          </rPr>
          <t xml:space="preserve">
Tarif Indexé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Laurent LEFRANCOIS</author>
  </authors>
  <commentList>
    <comment ref="C17" authorId="0" shapeId="0" xr:uid="{44DDFC08-CF93-4128-9A89-22B09637E21D}">
      <text>
        <r>
          <rPr>
            <b/>
            <sz val="9"/>
            <color indexed="81"/>
            <rFont val="Tahoma"/>
            <family val="2"/>
          </rPr>
          <t>Laurent LEFRANCOIS:</t>
        </r>
        <r>
          <rPr>
            <sz val="9"/>
            <color indexed="81"/>
            <rFont val="Tahoma"/>
            <family val="2"/>
          </rPr>
          <t xml:space="preserve">
Tarif Indexé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Laurent LEFRANCOIS</author>
  </authors>
  <commentList>
    <comment ref="C17" authorId="0" shapeId="0" xr:uid="{F839B570-E1DE-4AF2-98DC-E6EC39B886B9}">
      <text>
        <r>
          <rPr>
            <b/>
            <sz val="9"/>
            <color indexed="81"/>
            <rFont val="Tahoma"/>
            <family val="2"/>
          </rPr>
          <t>Laurent LEFRANCOIS:</t>
        </r>
        <r>
          <rPr>
            <sz val="9"/>
            <color indexed="81"/>
            <rFont val="Tahoma"/>
            <family val="2"/>
          </rPr>
          <t xml:space="preserve">
Tarif Indexé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Laurent LEFRANCOIS</author>
  </authors>
  <commentList>
    <comment ref="C17" authorId="0" shapeId="0" xr:uid="{9685DAE6-D92C-42E0-B1AE-8115A30B6596}">
      <text>
        <r>
          <rPr>
            <b/>
            <sz val="9"/>
            <color indexed="81"/>
            <rFont val="Tahoma"/>
            <family val="2"/>
          </rPr>
          <t>Laurent LEFRANCOIS:</t>
        </r>
        <r>
          <rPr>
            <sz val="9"/>
            <color indexed="81"/>
            <rFont val="Tahoma"/>
            <family val="2"/>
          </rPr>
          <t xml:space="preserve">
Tarif Indexé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Laurent LEFRANCOIS</author>
  </authors>
  <commentList>
    <comment ref="C18" authorId="0" shapeId="0" xr:uid="{FB244FED-A39E-4D2F-B511-BCB52CB58033}">
      <text>
        <r>
          <rPr>
            <b/>
            <sz val="9"/>
            <color indexed="81"/>
            <rFont val="Tahoma"/>
            <family val="2"/>
          </rPr>
          <t>Laurent LEFRANCOIS:</t>
        </r>
        <r>
          <rPr>
            <sz val="9"/>
            <color indexed="81"/>
            <rFont val="Tahoma"/>
            <family val="2"/>
          </rPr>
          <t xml:space="preserve">
Tarif Indexé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Laurent LEFRANCOIS</author>
  </authors>
  <commentList>
    <comment ref="C16" authorId="0" shapeId="0" xr:uid="{269C5E76-84CA-42D2-998A-679D96B6D7F3}">
      <text>
        <r>
          <rPr>
            <b/>
            <sz val="9"/>
            <color indexed="81"/>
            <rFont val="Tahoma"/>
            <family val="2"/>
          </rPr>
          <t>Laurent LEFRANCOIS:</t>
        </r>
        <r>
          <rPr>
            <sz val="9"/>
            <color indexed="81"/>
            <rFont val="Tahoma"/>
            <family val="2"/>
          </rPr>
          <t xml:space="preserve">
Indexation incluse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Laurent LEFRANCOIS</author>
  </authors>
  <commentList>
    <comment ref="C17" authorId="0" shapeId="0" xr:uid="{FFCF94B0-35E0-4CBA-BFE9-22014E3C2414}">
      <text>
        <r>
          <rPr>
            <b/>
            <sz val="9"/>
            <color indexed="81"/>
            <rFont val="Tahoma"/>
            <family val="2"/>
          </rPr>
          <t>Laurent LEFRANCOIS:</t>
        </r>
        <r>
          <rPr>
            <sz val="9"/>
            <color indexed="81"/>
            <rFont val="Tahoma"/>
            <family val="2"/>
          </rPr>
          <t xml:space="preserve">
Tarif Indexé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Laurent LEFRANCOIS</author>
  </authors>
  <commentList>
    <comment ref="C17" authorId="0" shapeId="0" xr:uid="{78D27130-04DD-4BD9-A358-BF415D98032E}">
      <text>
        <r>
          <rPr>
            <b/>
            <sz val="9"/>
            <color indexed="81"/>
            <rFont val="Tahoma"/>
            <family val="2"/>
          </rPr>
          <t>Laurent LEFRANCOIS:</t>
        </r>
        <r>
          <rPr>
            <sz val="9"/>
            <color indexed="81"/>
            <rFont val="Tahoma"/>
            <family val="2"/>
          </rPr>
          <t xml:space="preserve">
Tarif Indexé</t>
        </r>
      </text>
    </comment>
  </commentList>
</comments>
</file>

<file path=xl/sharedStrings.xml><?xml version="1.0" encoding="utf-8"?>
<sst xmlns="http://schemas.openxmlformats.org/spreadsheetml/2006/main" count="5104" uniqueCount="786">
  <si>
    <t>Coûts de la Ligne</t>
  </si>
  <si>
    <t>Tirpalette</t>
  </si>
  <si>
    <t>Carburant</t>
  </si>
  <si>
    <t>AD Blue</t>
  </si>
  <si>
    <t>Fuel</t>
  </si>
  <si>
    <t>DONNEES EXPLOITATION</t>
  </si>
  <si>
    <t>Montant unitaire</t>
  </si>
  <si>
    <t>Moteur</t>
  </si>
  <si>
    <t>Tracteur (s)</t>
  </si>
  <si>
    <t>Semi (s)</t>
  </si>
  <si>
    <t>Immatriculation</t>
  </si>
  <si>
    <t xml:space="preserve">CA DE LA LIGNE </t>
  </si>
  <si>
    <t>Conso au 100 (Moyenne)</t>
  </si>
  <si>
    <t>Autoroute</t>
  </si>
  <si>
    <t>Salaires</t>
  </si>
  <si>
    <t>Semaine</t>
  </si>
  <si>
    <t>Conducteurs</t>
  </si>
  <si>
    <t>Détails CA</t>
  </si>
  <si>
    <t>Fréquence</t>
  </si>
  <si>
    <t>Indexation</t>
  </si>
  <si>
    <t>Quantité</t>
  </si>
  <si>
    <t>Montant Total</t>
  </si>
  <si>
    <t>Total Hors IGO</t>
  </si>
  <si>
    <t>Type vehicule</t>
  </si>
  <si>
    <t>Energie</t>
  </si>
  <si>
    <t>Désignation</t>
  </si>
  <si>
    <t>Loyer actuel</t>
  </si>
  <si>
    <t>TK Global</t>
  </si>
  <si>
    <t>Tx Pneu €/km</t>
  </si>
  <si>
    <t>Tx Entretien €/km</t>
  </si>
  <si>
    <t>CONSO</t>
  </si>
  <si>
    <t>Porteur SWAP</t>
  </si>
  <si>
    <t>GO</t>
  </si>
  <si>
    <t xml:space="preserve">Tracteur </t>
  </si>
  <si>
    <t>GNC</t>
  </si>
  <si>
    <t>Aérienne Bachée</t>
  </si>
  <si>
    <t>Aérienne Classique</t>
  </si>
  <si>
    <t>Aérienne Frigo</t>
  </si>
  <si>
    <t>Aérienne Méga</t>
  </si>
  <si>
    <t>SR Classique</t>
  </si>
  <si>
    <t>SR Frigo</t>
  </si>
  <si>
    <t>SR Méga &amp; Frigo</t>
  </si>
  <si>
    <t>SR Porte Conteneur</t>
  </si>
  <si>
    <t>Remorque SWAP</t>
  </si>
  <si>
    <t>Loyer = Loyer + Assurance + Geoloc</t>
  </si>
  <si>
    <t>Type</t>
  </si>
  <si>
    <t>Cout Semaine</t>
  </si>
  <si>
    <t>TOTAL COUT</t>
  </si>
  <si>
    <t>% Marge</t>
  </si>
  <si>
    <t>Marge Exploitation</t>
  </si>
  <si>
    <t>Sous-Traitance</t>
  </si>
  <si>
    <t xml:space="preserve">FICHE DE RENTABILITE </t>
  </si>
  <si>
    <t>Casse / Pneumatique / Lavage ( hors entretien)</t>
  </si>
  <si>
    <t>Référence prestations</t>
  </si>
  <si>
    <t>Tracteur GO</t>
  </si>
  <si>
    <t>SPL</t>
  </si>
  <si>
    <t>CM</t>
  </si>
  <si>
    <t>Taux horaire</t>
  </si>
  <si>
    <t xml:space="preserve">Tirpalette </t>
  </si>
  <si>
    <t>Mois</t>
  </si>
  <si>
    <t>Frais Hotel</t>
  </si>
  <si>
    <r>
      <t>Hotel</t>
    </r>
    <r>
      <rPr>
        <i/>
        <sz val="8"/>
        <rFont val="Arial"/>
        <family val="2"/>
      </rPr>
      <t xml:space="preserve"> (semaine)</t>
    </r>
  </si>
  <si>
    <t xml:space="preserve">Autoroute / jour : </t>
  </si>
  <si>
    <t>unité</t>
  </si>
  <si>
    <t>OUI</t>
  </si>
  <si>
    <t>NON</t>
  </si>
  <si>
    <t>Semi (1)</t>
  </si>
  <si>
    <t>Semi (2)</t>
  </si>
  <si>
    <t>Semi (3)</t>
  </si>
  <si>
    <t>AUCUNE</t>
  </si>
  <si>
    <t>KM Hebdo</t>
  </si>
  <si>
    <t>AMPLITUDE Hebdo</t>
  </si>
  <si>
    <t>TDS Hebdo</t>
  </si>
  <si>
    <t>Semi (4)</t>
  </si>
  <si>
    <t>Tournée</t>
  </si>
  <si>
    <t>Client</t>
  </si>
  <si>
    <t>Lignes</t>
  </si>
  <si>
    <t>Liens</t>
  </si>
  <si>
    <t>CM4</t>
  </si>
  <si>
    <t>DACHSER CERGY / COLISSIMO</t>
  </si>
  <si>
    <t>Parisienne / IDFN-LTH-017-CM</t>
  </si>
  <si>
    <t>CM4'!A1</t>
  </si>
  <si>
    <t>FV-146-XG</t>
  </si>
  <si>
    <t>Remorque</t>
  </si>
  <si>
    <t>VITALI</t>
  </si>
  <si>
    <t>S12</t>
  </si>
  <si>
    <t>Porteur SWAPGO</t>
  </si>
  <si>
    <t>DACHSER Cergy : Parisienne</t>
  </si>
  <si>
    <t>Lundi =&gt; Vendredi</t>
  </si>
  <si>
    <t>COLISSIMO :  IDFN-LTH-017-CM</t>
  </si>
  <si>
    <t>Mardi =&gt; Samedi</t>
  </si>
  <si>
    <t>CM6</t>
  </si>
  <si>
    <t>DACHSER CERGY / Chronopost Reseau</t>
  </si>
  <si>
    <t>Orleans / Beaugrenelle</t>
  </si>
  <si>
    <t>CM6'!A1</t>
  </si>
  <si>
    <t>GY-247-BQ</t>
  </si>
  <si>
    <t>(non Facturé)</t>
  </si>
  <si>
    <t>DACHSER CERGY : Orléans</t>
  </si>
  <si>
    <t>CHRONOPOST : 31010</t>
  </si>
  <si>
    <t>Indexation Gaz sur porteur GO</t>
  </si>
  <si>
    <t>CM8</t>
  </si>
  <si>
    <t>CM8'!A1</t>
  </si>
  <si>
    <t xml:space="preserve">DACHSER VILLEPARISIS </t>
  </si>
  <si>
    <t>T962 / UBERHERRN</t>
  </si>
  <si>
    <t>GX-734-TC</t>
  </si>
  <si>
    <t>AZZOUZ Mustapha</t>
  </si>
  <si>
    <t>AZZOUZ Nordine</t>
  </si>
  <si>
    <t>DACHSER Villeparisis : T962</t>
  </si>
  <si>
    <t>DACHSER Villeparisis : Uberherrn</t>
  </si>
  <si>
    <t>CM9'!A1</t>
  </si>
  <si>
    <t>CM9</t>
  </si>
  <si>
    <t>GX-202-QC</t>
  </si>
  <si>
    <t>MIC Marius</t>
  </si>
  <si>
    <t>OUAHABI Mourad</t>
  </si>
  <si>
    <t>DACHSER VILLEPARISIS  / Chronopost</t>
  </si>
  <si>
    <t>T964 / DIJON / Chrono 27860</t>
  </si>
  <si>
    <t>DACHSER Villeparisis : T964</t>
  </si>
  <si>
    <t>DACHSER Villeparisis : Dijon</t>
  </si>
  <si>
    <t>CHRONOPOST  : 27860</t>
  </si>
  <si>
    <t>Lundi</t>
  </si>
  <si>
    <t>CM10</t>
  </si>
  <si>
    <t>CM10'!A1</t>
  </si>
  <si>
    <t>DACHSER VILLEPARISIS / Chronopost</t>
  </si>
  <si>
    <t>ROUEN / Chrono 29096</t>
  </si>
  <si>
    <t>FB730VT</t>
  </si>
  <si>
    <t>BEZZAOUYA</t>
  </si>
  <si>
    <t>DACHSER VILLEPARISIS : Rouen</t>
  </si>
  <si>
    <t>CHRONOPOST : 29096</t>
  </si>
  <si>
    <t>CM5</t>
  </si>
  <si>
    <t>DACHSER VILLEPARISIS  / COLISSIMO</t>
  </si>
  <si>
    <t>T962 / LA VERRIE / IDFN-LTH-004-CM</t>
  </si>
  <si>
    <t>FC-240-JS</t>
  </si>
  <si>
    <t>GB-212-EM</t>
  </si>
  <si>
    <t>Moteur (2)</t>
  </si>
  <si>
    <t>Moteur (1)</t>
  </si>
  <si>
    <t>DACHSER Villeparisis : LA VERRIE</t>
  </si>
  <si>
    <t>COLISSIMO : IDF-LTH-004-CM</t>
  </si>
  <si>
    <t>KONTE</t>
  </si>
  <si>
    <t>DAJ Victor</t>
  </si>
  <si>
    <t xml:space="preserve">ABDAL </t>
  </si>
  <si>
    <t>CM5'!A1</t>
  </si>
  <si>
    <t>CM44</t>
  </si>
  <si>
    <t>NIORT / IDFN-LTH-014-CM</t>
  </si>
  <si>
    <t>CM44'!A1</t>
  </si>
  <si>
    <t>GN-649-LZ</t>
  </si>
  <si>
    <t>GN-276-WA</t>
  </si>
  <si>
    <t>MALLE Karim</t>
  </si>
  <si>
    <t>PIEL Flavien</t>
  </si>
  <si>
    <t>DACHSER Cergy : NIORT</t>
  </si>
  <si>
    <t>Colissimo -  IDFN-LTH-014-CM</t>
  </si>
  <si>
    <t>Mercredi et Jeudi</t>
  </si>
  <si>
    <t>CM53</t>
  </si>
  <si>
    <t>NANTES / IDFN-LTH-017-CM</t>
  </si>
  <si>
    <t>COLISSIMO : IDFN-LTH-017-CM</t>
  </si>
  <si>
    <t>DACHSER Cergy : Nantes</t>
  </si>
  <si>
    <t>GY-244-BQ</t>
  </si>
  <si>
    <t>GN-648-LZ</t>
  </si>
  <si>
    <t>HAMMADI Redha</t>
  </si>
  <si>
    <t>TAGMI Karim</t>
  </si>
  <si>
    <t>CM53'!A1</t>
  </si>
  <si>
    <t>SPL72</t>
  </si>
  <si>
    <t>DACHSER PANTIN</t>
  </si>
  <si>
    <t>PERNOD</t>
  </si>
  <si>
    <t>SPL72'!A1</t>
  </si>
  <si>
    <t>GW-579-LF</t>
  </si>
  <si>
    <t>Hanzi</t>
  </si>
  <si>
    <t>DACHSER PANTIN : Pernod</t>
  </si>
  <si>
    <t>indexation gaz avec un tracteur GO</t>
  </si>
  <si>
    <t>SPL7'!A1</t>
  </si>
  <si>
    <t>SPL22'!A1</t>
  </si>
  <si>
    <t>SPL33'!A1</t>
  </si>
  <si>
    <t>SPL73'!A1</t>
  </si>
  <si>
    <t>SPL7</t>
  </si>
  <si>
    <t>STG</t>
  </si>
  <si>
    <t>1 Semi Frigo</t>
  </si>
  <si>
    <t>SPL22</t>
  </si>
  <si>
    <t>SPL33</t>
  </si>
  <si>
    <t>SPL73</t>
  </si>
  <si>
    <t>CREPY + SCAPNOR + ADM</t>
  </si>
  <si>
    <t>FQ-491-PN</t>
  </si>
  <si>
    <t>AMRAOUI</t>
  </si>
  <si>
    <t>STG : CVL CREPY</t>
  </si>
  <si>
    <t>Lundi =&gt; Samedi</t>
  </si>
  <si>
    <t>STG : Scapnor AM</t>
  </si>
  <si>
    <t>STG : Ramasse AMD 95</t>
  </si>
  <si>
    <t>(Non Refacturé)</t>
  </si>
  <si>
    <t>Indexation au Go =&gt; Véhicule Gaz</t>
  </si>
  <si>
    <t>FB-526-MA</t>
  </si>
  <si>
    <t>Barbery</t>
  </si>
  <si>
    <t>STG : Barbery</t>
  </si>
  <si>
    <t>TOUHAMI</t>
  </si>
  <si>
    <t>Go au lieu de Fuel ? =&gt; Conso élévé</t>
  </si>
  <si>
    <t xml:space="preserve">Fuel ? </t>
  </si>
  <si>
    <t>Tracteur GNC</t>
  </si>
  <si>
    <t>SU Nanteuil</t>
  </si>
  <si>
    <t>FA-455-ST</t>
  </si>
  <si>
    <t>Fuel ?</t>
  </si>
  <si>
    <t>MOREIRA</t>
  </si>
  <si>
    <t>Scapnor Matin</t>
  </si>
  <si>
    <t>EZ-517-SN</t>
  </si>
  <si>
    <t>BURLACU</t>
  </si>
  <si>
    <t>STG : Scapnor Matin</t>
  </si>
  <si>
    <t>STG : Su Nanteuil</t>
  </si>
  <si>
    <t>CM7</t>
  </si>
  <si>
    <t>FA826ZA</t>
  </si>
  <si>
    <t>JAMES Fabrice</t>
  </si>
  <si>
    <t>Zalando Vatry X2</t>
  </si>
  <si>
    <t>CM7'!A1</t>
  </si>
  <si>
    <t>Lundi au Vendredi</t>
  </si>
  <si>
    <t>Coliposte Zalando Vatry</t>
  </si>
  <si>
    <t>CM14</t>
  </si>
  <si>
    <t>BEZDIGA</t>
  </si>
  <si>
    <t>ANDRY</t>
  </si>
  <si>
    <t>COLISSIMO</t>
  </si>
  <si>
    <t>CHRONOPOST RESEAU / COLISSIMO</t>
  </si>
  <si>
    <t>CM14'!A1</t>
  </si>
  <si>
    <t>Chronopost : 29802</t>
  </si>
  <si>
    <t>Bourges / IDFN-DOT-00A-CM</t>
  </si>
  <si>
    <t>COLISSIMO : IDFN-DOT-00A-CM</t>
  </si>
  <si>
    <t>CM15</t>
  </si>
  <si>
    <t>UPS / CHRONOPOST</t>
  </si>
  <si>
    <t>PA07 - Beaugrenelle</t>
  </si>
  <si>
    <t>CM15'!A1</t>
  </si>
  <si>
    <t>EJ-937-FF</t>
  </si>
  <si>
    <t>VIOREL</t>
  </si>
  <si>
    <t>UPS : PA07</t>
  </si>
  <si>
    <t>lundi =&gt; Vendredi</t>
  </si>
  <si>
    <t>Chronopost : 38853</t>
  </si>
  <si>
    <t>Indexation gaz sur véhicule go</t>
  </si>
  <si>
    <t>CM19</t>
  </si>
  <si>
    <t>CHRONOPOST RESEAU</t>
  </si>
  <si>
    <t>CM19'!A1</t>
  </si>
  <si>
    <t>Chronopost : 29800</t>
  </si>
  <si>
    <t>Chronopost : 29957</t>
  </si>
  <si>
    <t xml:space="preserve">Annecy </t>
  </si>
  <si>
    <t>Chronopost : 29092</t>
  </si>
  <si>
    <t>Moteur(1)</t>
  </si>
  <si>
    <t>FZ-654-JG</t>
  </si>
  <si>
    <t>FZ-643-JG</t>
  </si>
  <si>
    <t>TAHLA</t>
  </si>
  <si>
    <t>NAILI</t>
  </si>
  <si>
    <t>Indexation Gaz - véhicule GO</t>
  </si>
  <si>
    <t>CM23</t>
  </si>
  <si>
    <t>Arras - Rouen</t>
  </si>
  <si>
    <t>CM23'!A1</t>
  </si>
  <si>
    <t>ANSEUR</t>
  </si>
  <si>
    <t>CHRONOPOST : 38838</t>
  </si>
  <si>
    <t>CHRONOPOST : 38492</t>
  </si>
  <si>
    <t>€ / hebdo</t>
  </si>
  <si>
    <t>€ / Hebdo</t>
  </si>
  <si>
    <t>€/ Hebdo</t>
  </si>
  <si>
    <t>S11</t>
  </si>
  <si>
    <t>Dimanche</t>
  </si>
  <si>
    <r>
      <rPr>
        <b/>
        <sz val="10"/>
        <color rgb="FFFF0000"/>
        <rFont val="Arial"/>
        <family val="2"/>
      </rPr>
      <t>WE</t>
    </r>
    <r>
      <rPr>
        <b/>
        <sz val="10"/>
        <rFont val="Arial"/>
        <family val="2"/>
      </rPr>
      <t xml:space="preserve"> :</t>
    </r>
    <r>
      <rPr>
        <sz val="10"/>
        <rFont val="Arial"/>
        <family val="2"/>
      </rPr>
      <t xml:space="preserve"> FEDEX GB4 (Dimanche)</t>
    </r>
  </si>
  <si>
    <t>Tourne sur 5 Jours</t>
  </si>
  <si>
    <t>Activité en Semi</t>
  </si>
  <si>
    <t>Daj + Abdal = 5 jours semaine</t>
  </si>
  <si>
    <t>Piel sur 5 Jours / Semaine</t>
  </si>
  <si>
    <t>Samedi</t>
  </si>
  <si>
    <r>
      <rPr>
        <b/>
        <sz val="10"/>
        <color rgb="FFFF0000"/>
        <rFont val="Arial"/>
        <family val="2"/>
      </rPr>
      <t>WE:</t>
    </r>
    <r>
      <rPr>
        <sz val="10"/>
        <rFont val="Arial"/>
        <family val="2"/>
      </rPr>
      <t xml:space="preserve"> (Konte) FEDEX FRT03410</t>
    </r>
  </si>
  <si>
    <r>
      <rPr>
        <b/>
        <sz val="10"/>
        <color rgb="FFFF0000"/>
        <rFont val="Arial"/>
        <family val="2"/>
      </rPr>
      <t>WE:</t>
    </r>
    <r>
      <rPr>
        <sz val="10"/>
        <rFont val="Arial"/>
        <family val="2"/>
      </rPr>
      <t xml:space="preserve"> (Konte) DHL FR9894C</t>
    </r>
  </si>
  <si>
    <r>
      <rPr>
        <b/>
        <sz val="10"/>
        <color rgb="FFFF0000"/>
        <rFont val="Arial"/>
        <family val="2"/>
      </rPr>
      <t>WE :</t>
    </r>
    <r>
      <rPr>
        <sz val="10"/>
        <rFont val="Arial"/>
        <family val="2"/>
      </rPr>
      <t xml:space="preserve"> (MALLE) : Colissimo DOT-00A-CM</t>
    </r>
  </si>
  <si>
    <r>
      <rPr>
        <b/>
        <sz val="10"/>
        <color rgb="FFFF0000"/>
        <rFont val="Arial"/>
        <family val="2"/>
      </rPr>
      <t>WE :</t>
    </r>
    <r>
      <rPr>
        <sz val="10"/>
        <rFont val="Arial"/>
        <family val="2"/>
      </rPr>
      <t xml:space="preserve"> (Andry) Colissimo DOT-00A-CM</t>
    </r>
  </si>
  <si>
    <r>
      <rPr>
        <b/>
        <sz val="10"/>
        <color rgb="FFFF0000"/>
        <rFont val="Arial"/>
        <family val="2"/>
      </rPr>
      <t xml:space="preserve">WE : </t>
    </r>
    <r>
      <rPr>
        <sz val="10"/>
        <rFont val="Arial"/>
        <family val="2"/>
      </rPr>
      <t>Colissimo LTH-004-CM</t>
    </r>
  </si>
  <si>
    <r>
      <rPr>
        <b/>
        <sz val="10"/>
        <color rgb="FFFF0000"/>
        <rFont val="Arial"/>
        <family val="2"/>
      </rPr>
      <t xml:space="preserve">WE : </t>
    </r>
    <r>
      <rPr>
        <sz val="10"/>
        <rFont val="Arial"/>
        <family val="2"/>
      </rPr>
      <t>Colissimo LTH-081-CM</t>
    </r>
  </si>
  <si>
    <r>
      <rPr>
        <b/>
        <sz val="10"/>
        <color rgb="FFFF0000"/>
        <rFont val="Arial"/>
        <family val="2"/>
      </rPr>
      <t>WE :</t>
    </r>
    <r>
      <rPr>
        <sz val="10"/>
        <rFont val="Arial"/>
        <family val="2"/>
      </rPr>
      <t xml:space="preserve"> (Tahla) UPS Ramasse Evry</t>
    </r>
  </si>
  <si>
    <r>
      <rPr>
        <b/>
        <sz val="10"/>
        <color rgb="FFFF0000"/>
        <rFont val="Arial"/>
        <family val="2"/>
      </rPr>
      <t>WE :</t>
    </r>
    <r>
      <rPr>
        <sz val="10"/>
        <rFont val="Arial"/>
        <family val="2"/>
      </rPr>
      <t xml:space="preserve"> (Tahla) Chronopost 38920</t>
    </r>
  </si>
  <si>
    <t>Naili tourne sur 5 Jours</t>
  </si>
  <si>
    <t>rajout 11,50 pour le dimanche (montataire)</t>
  </si>
  <si>
    <t>Tourne sur 5 jours</t>
  </si>
  <si>
    <t>CM25</t>
  </si>
  <si>
    <t>EY-873-GA</t>
  </si>
  <si>
    <t>WAGNER</t>
  </si>
  <si>
    <t>Chronopost Amiens Chilly 38468</t>
  </si>
  <si>
    <t>Chronopost Chilly Bobigny 29599</t>
  </si>
  <si>
    <t>Amiens</t>
  </si>
  <si>
    <t>CM25'!A1</t>
  </si>
  <si>
    <t>CM26</t>
  </si>
  <si>
    <t>CHRONOPOST</t>
  </si>
  <si>
    <t>ARRAS - Aulnay</t>
  </si>
  <si>
    <t>CM26'!A1</t>
  </si>
  <si>
    <t>EJ-141-TS</t>
  </si>
  <si>
    <t>BENALI</t>
  </si>
  <si>
    <t>CHRONOPOST Arras Aulnay 38492</t>
  </si>
  <si>
    <t>Lundi au vendredi</t>
  </si>
  <si>
    <t>CHRONOPOST Arras Aulnay 38838</t>
  </si>
  <si>
    <t>SPL8</t>
  </si>
  <si>
    <t>GLS</t>
  </si>
  <si>
    <t>Coudray - Troyes</t>
  </si>
  <si>
    <t>FN036CX</t>
  </si>
  <si>
    <t>PARISOT</t>
  </si>
  <si>
    <t>3 Semi Classic</t>
  </si>
  <si>
    <t>GLS Coudray - Troyes</t>
  </si>
  <si>
    <t>SPL8'!A1</t>
  </si>
  <si>
    <t>SCHENKER</t>
  </si>
  <si>
    <t>SOLO</t>
  </si>
  <si>
    <t>SPL9</t>
  </si>
  <si>
    <t>FEDEX GB4</t>
  </si>
  <si>
    <t>GB4</t>
  </si>
  <si>
    <t>1 Classique</t>
  </si>
  <si>
    <t>1 Aerienne</t>
  </si>
  <si>
    <t>EZ-794-DA</t>
  </si>
  <si>
    <t>WILSON</t>
  </si>
  <si>
    <r>
      <rPr>
        <b/>
        <sz val="10"/>
        <color rgb="FFFF0000"/>
        <rFont val="Arial"/>
        <family val="2"/>
      </rPr>
      <t>WE :</t>
    </r>
    <r>
      <rPr>
        <sz val="10"/>
        <rFont val="Arial"/>
        <family val="2"/>
      </rPr>
      <t xml:space="preserve"> FEDEX GB4</t>
    </r>
  </si>
  <si>
    <t>SPL9'!A1</t>
  </si>
  <si>
    <t>CM59</t>
  </si>
  <si>
    <t>CM48</t>
  </si>
  <si>
    <t>CM42</t>
  </si>
  <si>
    <t>CM41</t>
  </si>
  <si>
    <t>CM39</t>
  </si>
  <si>
    <t>CM37</t>
  </si>
  <si>
    <t>CM34</t>
  </si>
  <si>
    <t>CM29</t>
  </si>
  <si>
    <t>CM27</t>
  </si>
  <si>
    <t>CM24</t>
  </si>
  <si>
    <t>CM21</t>
  </si>
  <si>
    <t xml:space="preserve">TAB </t>
  </si>
  <si>
    <t>SPL75</t>
  </si>
  <si>
    <t>SPL76</t>
  </si>
  <si>
    <t>SPL77</t>
  </si>
  <si>
    <t>SPL74</t>
  </si>
  <si>
    <t>SPL70</t>
  </si>
  <si>
    <t>SPL69</t>
  </si>
  <si>
    <t>SPL68</t>
  </si>
  <si>
    <t>SPL67</t>
  </si>
  <si>
    <t>SPL62</t>
  </si>
  <si>
    <t>SPL59</t>
  </si>
  <si>
    <t>SPL56</t>
  </si>
  <si>
    <t>SPL54</t>
  </si>
  <si>
    <t>SPL53</t>
  </si>
  <si>
    <t>SPL51</t>
  </si>
  <si>
    <t>SPL47</t>
  </si>
  <si>
    <t>Montataire - Aulnay</t>
  </si>
  <si>
    <t>UPS</t>
  </si>
  <si>
    <t>Le Mans - Angers</t>
  </si>
  <si>
    <t>Lesquin</t>
  </si>
  <si>
    <t>BEAUGRENELLE</t>
  </si>
  <si>
    <t>Boulevard Ney</t>
  </si>
  <si>
    <t>MAD Chilly</t>
  </si>
  <si>
    <t>Aulnay - Orleans</t>
  </si>
  <si>
    <t>Arras - Seclin</t>
  </si>
  <si>
    <t xml:space="preserve">Amiens - Chilly </t>
  </si>
  <si>
    <t>Tours</t>
  </si>
  <si>
    <t>Coudray - Gennevilliers</t>
  </si>
  <si>
    <t>Trappes - Coudray - Gennevilliers</t>
  </si>
  <si>
    <t>Trappes- Coudray</t>
  </si>
  <si>
    <t>Lot 163</t>
  </si>
  <si>
    <t>VIAPOSTE</t>
  </si>
  <si>
    <t>VIAPOSTE - CHRONOPOST</t>
  </si>
  <si>
    <t>lot 163</t>
  </si>
  <si>
    <t>LOT 163</t>
  </si>
  <si>
    <t>VIAPOSTE - UPS</t>
  </si>
  <si>
    <t>LOT 164-170-PA95</t>
  </si>
  <si>
    <t>DHL - FEDEX</t>
  </si>
  <si>
    <t>Harfleur</t>
  </si>
  <si>
    <t>MONDIAL RELAY - UPS</t>
  </si>
  <si>
    <t>Oscaro - Fontenay tressigny</t>
  </si>
  <si>
    <t>UPS - DGF - SCHENKER</t>
  </si>
  <si>
    <t>Airbus - La ferté bernard</t>
  </si>
  <si>
    <t>LOT 164 -168</t>
  </si>
  <si>
    <t>DHL - CHRONOPOST</t>
  </si>
  <si>
    <t>Troyes</t>
  </si>
  <si>
    <t>DHL</t>
  </si>
  <si>
    <t>REIMS</t>
  </si>
  <si>
    <t>CHRONOPOST - FEDEX</t>
  </si>
  <si>
    <t>Meung sur loire - Elancourt</t>
  </si>
  <si>
    <t>GP-189-NY</t>
  </si>
  <si>
    <t>MOROAINU Mihail</t>
  </si>
  <si>
    <t>Porteur SWAPGNC</t>
  </si>
  <si>
    <t>CHRONOPOST : 38922</t>
  </si>
  <si>
    <r>
      <rPr>
        <sz val="10"/>
        <color rgb="FFFF0000"/>
        <rFont val="Arial"/>
        <family val="2"/>
      </rPr>
      <t xml:space="preserve">WE : </t>
    </r>
    <r>
      <rPr>
        <sz val="10"/>
        <rFont val="Arial"/>
        <family val="2"/>
      </rPr>
      <t>Colissimo LTH-007-CM</t>
    </r>
  </si>
  <si>
    <t>SOMMAIRE</t>
  </si>
  <si>
    <t>CM59'!A1</t>
  </si>
  <si>
    <t>DM-332-AC</t>
  </si>
  <si>
    <t>BOUTCHIHI</t>
  </si>
  <si>
    <t>UPS : Le Mans</t>
  </si>
  <si>
    <t>UPS : Lesquin</t>
  </si>
  <si>
    <t>ED-021-WG</t>
  </si>
  <si>
    <t>MADANI</t>
  </si>
  <si>
    <t>CM42'!A1</t>
  </si>
  <si>
    <t>CHRONOPOST Chilly : 40U96</t>
  </si>
  <si>
    <t>Mardi au Samedi</t>
  </si>
  <si>
    <t>GC-656-JM</t>
  </si>
  <si>
    <t>LAMBERT</t>
  </si>
  <si>
    <t>CHRONOPOST MAD  : 38853</t>
  </si>
  <si>
    <t>CHRONOPOST Beaugrenelle : 28395</t>
  </si>
  <si>
    <t>CM41'!A1</t>
  </si>
  <si>
    <t>GD-286-BZ</t>
  </si>
  <si>
    <t>ROMAN Alexandru</t>
  </si>
  <si>
    <t>CHRONOPOST : 28395</t>
  </si>
  <si>
    <t>CHRONOPOST : 28386</t>
  </si>
  <si>
    <t>CM39'!A1</t>
  </si>
  <si>
    <t>GG-157-FX</t>
  </si>
  <si>
    <t>HELLOU</t>
  </si>
  <si>
    <t>CHRONOPOST : 29093</t>
  </si>
  <si>
    <t>CHRONOPOST : 28525</t>
  </si>
  <si>
    <r>
      <rPr>
        <b/>
        <sz val="10"/>
        <color rgb="FFFF0000"/>
        <rFont val="Arial"/>
        <family val="2"/>
      </rPr>
      <t>WE :</t>
    </r>
    <r>
      <rPr>
        <sz val="10"/>
        <rFont val="Arial"/>
        <family val="2"/>
      </rPr>
      <t xml:space="preserve"> Colissimo LTH-004-CM</t>
    </r>
  </si>
  <si>
    <r>
      <rPr>
        <b/>
        <sz val="10"/>
        <color rgb="FFFF0000"/>
        <rFont val="Arial"/>
        <family val="2"/>
      </rPr>
      <t>WE :</t>
    </r>
    <r>
      <rPr>
        <sz val="10"/>
        <rFont val="Arial"/>
        <family val="2"/>
      </rPr>
      <t xml:space="preserve"> Colissimo LTH-081-CM</t>
    </r>
  </si>
  <si>
    <t>CM37'!A1</t>
  </si>
  <si>
    <t>FA-004-GR</t>
  </si>
  <si>
    <t>CHRONOPOST : 30529</t>
  </si>
  <si>
    <t>Indexation GAZ - Véhicule GO</t>
  </si>
  <si>
    <t>CM34'!A1</t>
  </si>
  <si>
    <t>GK-737-LW</t>
  </si>
  <si>
    <t>BOUGHEZAL</t>
  </si>
  <si>
    <t>CHRONOPOST : 29805</t>
  </si>
  <si>
    <t>CM29'!A1</t>
  </si>
  <si>
    <t>GC-975-VE</t>
  </si>
  <si>
    <t>JARDANI</t>
  </si>
  <si>
    <t>CHRONOPOST : 38467</t>
  </si>
  <si>
    <t>CM27'!A1</t>
  </si>
  <si>
    <t>EJ-881-TR</t>
  </si>
  <si>
    <t>MOREL</t>
  </si>
  <si>
    <t>UPS : E371</t>
  </si>
  <si>
    <r>
      <rPr>
        <b/>
        <sz val="10"/>
        <color rgb="FFFF0000"/>
        <rFont val="Arial"/>
        <family val="2"/>
      </rPr>
      <t>WE :</t>
    </r>
    <r>
      <rPr>
        <sz val="10"/>
        <rFont val="Arial"/>
        <family val="2"/>
      </rPr>
      <t xml:space="preserve"> VIAPOST : 163-14</t>
    </r>
  </si>
  <si>
    <r>
      <rPr>
        <b/>
        <sz val="10"/>
        <color rgb="FFFF0000"/>
        <rFont val="Arial"/>
        <family val="2"/>
      </rPr>
      <t>WE :</t>
    </r>
    <r>
      <rPr>
        <sz val="10"/>
        <rFont val="Arial"/>
        <family val="2"/>
      </rPr>
      <t xml:space="preserve"> VIAPOST : 163-7</t>
    </r>
  </si>
  <si>
    <t>CM24'!A1</t>
  </si>
  <si>
    <t>EK-841-AF</t>
  </si>
  <si>
    <t>BAJURA</t>
  </si>
  <si>
    <t>Refacturation au réel</t>
  </si>
  <si>
    <t>TAB : Caisse Mobile</t>
  </si>
  <si>
    <t>CM21'!A1</t>
  </si>
  <si>
    <t>DY-532-ZW</t>
  </si>
  <si>
    <t>EL MOUMNI</t>
  </si>
  <si>
    <t>GLS ; Trappes - Coudray</t>
  </si>
  <si>
    <t>SPL75'!A1</t>
  </si>
  <si>
    <t>EY-171-TQ</t>
  </si>
  <si>
    <t>GLS : Trappes - Gennevilliers</t>
  </si>
  <si>
    <t>SPL76'!A1</t>
  </si>
  <si>
    <t>KONE</t>
  </si>
  <si>
    <t>GLS : Trappes - Gennevilliers - Garonor</t>
  </si>
  <si>
    <t>3 Classique</t>
  </si>
  <si>
    <r>
      <rPr>
        <b/>
        <sz val="10"/>
        <color rgb="FFFF0000"/>
        <rFont val="Arial"/>
        <family val="2"/>
      </rPr>
      <t>WE :</t>
    </r>
    <r>
      <rPr>
        <sz val="10"/>
        <color rgb="FFFF0000"/>
        <rFont val="Arial"/>
        <family val="2"/>
      </rPr>
      <t xml:space="preserve"> </t>
    </r>
    <r>
      <rPr>
        <sz val="10"/>
        <rFont val="Arial"/>
        <family val="2"/>
      </rPr>
      <t>Colissimo LTH-016-S33</t>
    </r>
  </si>
  <si>
    <t>+ MAD Parnass</t>
  </si>
  <si>
    <t>SPL77'!A1</t>
  </si>
  <si>
    <t>GL-254-JR</t>
  </si>
  <si>
    <t>BENDRIF</t>
  </si>
  <si>
    <t>CHRNOPOST : Cdiscount</t>
  </si>
  <si>
    <t>VIAPOSTE : 163-20</t>
  </si>
  <si>
    <r>
      <rPr>
        <b/>
        <sz val="10"/>
        <color rgb="FFFF0000"/>
        <rFont val="Arial"/>
        <family val="2"/>
      </rPr>
      <t>WE :</t>
    </r>
    <r>
      <rPr>
        <sz val="10"/>
        <rFont val="Arial"/>
        <family val="2"/>
      </rPr>
      <t xml:space="preserve"> VIAPOSTE 170-20</t>
    </r>
  </si>
  <si>
    <r>
      <rPr>
        <b/>
        <sz val="10"/>
        <color rgb="FFFF0000"/>
        <rFont val="Arial"/>
        <family val="2"/>
      </rPr>
      <t>WE :</t>
    </r>
    <r>
      <rPr>
        <sz val="10"/>
        <rFont val="Arial"/>
        <family val="2"/>
      </rPr>
      <t xml:space="preserve"> VIAPOSTE 163-20</t>
    </r>
  </si>
  <si>
    <t>SPL74'!A1</t>
  </si>
  <si>
    <t>VIAPOSTE : 163-16</t>
  </si>
  <si>
    <t>VIAPOSTE : 163-21</t>
  </si>
  <si>
    <t>SPL70'!A1</t>
  </si>
  <si>
    <t>GC-563-VF</t>
  </si>
  <si>
    <t>COSTA</t>
  </si>
  <si>
    <t>VIAPOSTE : 163-7</t>
  </si>
  <si>
    <t>VIAPOSTE : 163-17</t>
  </si>
  <si>
    <t>VIAPOSTE : 163-10</t>
  </si>
  <si>
    <r>
      <rPr>
        <b/>
        <sz val="10"/>
        <color rgb="FFFF0000"/>
        <rFont val="Arial"/>
        <family val="2"/>
      </rPr>
      <t>WE :</t>
    </r>
    <r>
      <rPr>
        <sz val="10"/>
        <rFont val="Arial"/>
        <family val="2"/>
      </rPr>
      <t xml:space="preserve"> VIAPOSTE 163-16</t>
    </r>
  </si>
  <si>
    <t>SPL69'!A1</t>
  </si>
  <si>
    <t>FN-808-QA</t>
  </si>
  <si>
    <t>DIALLO Maliki</t>
  </si>
  <si>
    <t>VIAPOSTE : 164-2</t>
  </si>
  <si>
    <t>VIAPOSTE : 164-26</t>
  </si>
  <si>
    <t>UPS : PA95</t>
  </si>
  <si>
    <t>Mardi au Vendredi</t>
  </si>
  <si>
    <t>Indexation Gaz - Utilisation d'un GO</t>
  </si>
  <si>
    <r>
      <rPr>
        <b/>
        <sz val="10"/>
        <color rgb="FFFF0000"/>
        <rFont val="Arial"/>
        <family val="2"/>
      </rPr>
      <t xml:space="preserve">WE : </t>
    </r>
    <r>
      <rPr>
        <sz val="10"/>
        <rFont val="Arial"/>
        <family val="2"/>
      </rPr>
      <t>Colissimo LTH-009-S33</t>
    </r>
  </si>
  <si>
    <t>SPL68'!A1</t>
  </si>
  <si>
    <t>FN-479-HD</t>
  </si>
  <si>
    <t>CIMPEAN</t>
  </si>
  <si>
    <t>DHL : FR9876A</t>
  </si>
  <si>
    <t>FEDEX : FRT03383</t>
  </si>
  <si>
    <t>DHL : FR7698B</t>
  </si>
  <si>
    <t>SPL67'!A1</t>
  </si>
  <si>
    <t>FA-982-BG</t>
  </si>
  <si>
    <t>CISSE M.</t>
  </si>
  <si>
    <t>Mondial Relay : Cergy - Reau</t>
  </si>
  <si>
    <t>UPS : PA18</t>
  </si>
  <si>
    <t>SPL62'!A1</t>
  </si>
  <si>
    <t>1 Classic</t>
  </si>
  <si>
    <t>FN-491-QA</t>
  </si>
  <si>
    <t>1 Bachée</t>
  </si>
  <si>
    <t>PHILIBERT</t>
  </si>
  <si>
    <t>GONCALVES Kama</t>
  </si>
  <si>
    <t>UPS : Livraison Amazon Senlis</t>
  </si>
  <si>
    <t>DGF : Navette Helicopter</t>
  </si>
  <si>
    <t>Kama Tourne Sur 5 jours</t>
  </si>
  <si>
    <t>SPL59'!A1</t>
  </si>
  <si>
    <t>GG-921-EB</t>
  </si>
  <si>
    <t>DJAFFAR</t>
  </si>
  <si>
    <t>VIAPOSTE : 164-13</t>
  </si>
  <si>
    <t>VIAPOSTE : 164-21</t>
  </si>
  <si>
    <t>VIAPOSTE : 164-24</t>
  </si>
  <si>
    <t>VIAPOSTE : 164-24Z</t>
  </si>
  <si>
    <t>VIAPOSTE : 164-4</t>
  </si>
  <si>
    <t>VIAPOSTE : 168-5Z</t>
  </si>
  <si>
    <t>SPL56'!A1</t>
  </si>
  <si>
    <t>EZ-504-SN</t>
  </si>
  <si>
    <t>1 aerienne</t>
  </si>
  <si>
    <t>DHL : Troyes- Roissy</t>
  </si>
  <si>
    <t>JEBALI</t>
  </si>
  <si>
    <t>Chronopost : 38620</t>
  </si>
  <si>
    <t>SPL54'!A1</t>
  </si>
  <si>
    <t>DHL : 9851B</t>
  </si>
  <si>
    <t>DHL : 5198A</t>
  </si>
  <si>
    <t>DHL : Enlevement Cormontreuil + La veuve</t>
  </si>
  <si>
    <t>FR-901-DK</t>
  </si>
  <si>
    <t>DIFALLAH</t>
  </si>
  <si>
    <t>SPL53'!A1</t>
  </si>
  <si>
    <t>DL-031-HB</t>
  </si>
  <si>
    <t>(Refacturation Autoroute)</t>
  </si>
  <si>
    <t>BAHYAYA</t>
  </si>
  <si>
    <t>TAB : MAD Semi</t>
  </si>
  <si>
    <r>
      <rPr>
        <b/>
        <sz val="10"/>
        <color rgb="FFFF0000"/>
        <rFont val="Arial"/>
        <family val="2"/>
      </rPr>
      <t>WE :</t>
    </r>
    <r>
      <rPr>
        <sz val="10"/>
        <rFont val="Arial"/>
        <family val="2"/>
      </rPr>
      <t xml:space="preserve"> Colissimo GEN202212891SLOT4</t>
    </r>
  </si>
  <si>
    <t>SPL51'!A1</t>
  </si>
  <si>
    <t>TAB : Petite Caisse</t>
  </si>
  <si>
    <t>TAB : Grande Caisse</t>
  </si>
  <si>
    <t>CHRONOPOST 91 : Alloga</t>
  </si>
  <si>
    <t>FEDEX : A5166</t>
  </si>
  <si>
    <t>EJ-491-FX</t>
  </si>
  <si>
    <t>CHLIBET</t>
  </si>
  <si>
    <t>SPL47'!A1</t>
  </si>
  <si>
    <t>SPL45</t>
  </si>
  <si>
    <t>SPL44</t>
  </si>
  <si>
    <t>SPL37</t>
  </si>
  <si>
    <t>SPL36</t>
  </si>
  <si>
    <t>SPL34</t>
  </si>
  <si>
    <t>SPL30</t>
  </si>
  <si>
    <t>SPL27</t>
  </si>
  <si>
    <t>SPL26</t>
  </si>
  <si>
    <t>SPL25</t>
  </si>
  <si>
    <t>SPL23</t>
  </si>
  <si>
    <t>SPL20</t>
  </si>
  <si>
    <t>SPL18</t>
  </si>
  <si>
    <t>SPL17</t>
  </si>
  <si>
    <t>SPL16</t>
  </si>
  <si>
    <t>SPL14</t>
  </si>
  <si>
    <t>SPL13</t>
  </si>
  <si>
    <t>GZ-480-YC</t>
  </si>
  <si>
    <t>CEVA : Quincy + Torcy …</t>
  </si>
  <si>
    <t>BODEA</t>
  </si>
  <si>
    <t>GLISSANT</t>
  </si>
  <si>
    <t>CEVA  / VIAPOSTE</t>
  </si>
  <si>
    <t>Kiabi + Lot 170</t>
  </si>
  <si>
    <t>SPL13'!A1</t>
  </si>
  <si>
    <t>GH-350-LV</t>
  </si>
  <si>
    <t>DIALLO O.</t>
  </si>
  <si>
    <t>KAMARA</t>
  </si>
  <si>
    <t>VIAPOSTE : 163-15</t>
  </si>
  <si>
    <t>CHRONOPOST : DYSON</t>
  </si>
  <si>
    <t>VIAPOSTE : 163-22</t>
  </si>
  <si>
    <r>
      <rPr>
        <b/>
        <sz val="10"/>
        <color rgb="FFFF0000"/>
        <rFont val="Arial"/>
        <family val="2"/>
      </rPr>
      <t xml:space="preserve">WE : </t>
    </r>
    <r>
      <rPr>
        <sz val="10"/>
        <rFont val="Arial"/>
        <family val="2"/>
      </rPr>
      <t>Colissimo LIN164S7776AS</t>
    </r>
  </si>
  <si>
    <t>+42 le samedi</t>
  </si>
  <si>
    <t>SPL14'!A1</t>
  </si>
  <si>
    <t>VIAPOSTE / CHRONOPOST</t>
  </si>
  <si>
    <t>Lot163 - Dyson</t>
  </si>
  <si>
    <t>indexation Go , Roule au Gaz</t>
  </si>
  <si>
    <t>HA-724-QR</t>
  </si>
  <si>
    <t>HAMID</t>
  </si>
  <si>
    <t>BORGES</t>
  </si>
  <si>
    <t>VIAPOSTE : 164-23Z</t>
  </si>
  <si>
    <t>VIAPOSTE : 164-5</t>
  </si>
  <si>
    <t>VIAPOSTE : 164-16</t>
  </si>
  <si>
    <t>VIAPOSTE : 164-11</t>
  </si>
  <si>
    <t>DHL : 9894C</t>
  </si>
  <si>
    <t>VIAPOSTE / DHL</t>
  </si>
  <si>
    <t>Lot 164 - Creteil</t>
  </si>
  <si>
    <t>SPL16'!A1</t>
  </si>
  <si>
    <t>indexation GO avec véhicule Gaz</t>
  </si>
  <si>
    <r>
      <rPr>
        <b/>
        <sz val="10"/>
        <color rgb="FFFF0000"/>
        <rFont val="Arial"/>
        <family val="2"/>
      </rPr>
      <t>WE :</t>
    </r>
    <r>
      <rPr>
        <sz val="10"/>
        <rFont val="Arial"/>
        <family val="2"/>
      </rPr>
      <t xml:space="preserve"> FEDEX GB4 </t>
    </r>
  </si>
  <si>
    <t>GG-728-EB</t>
  </si>
  <si>
    <t>PECCATUS</t>
  </si>
  <si>
    <t>VIAPOSTE : 163-18</t>
  </si>
  <si>
    <t>VIAPOSTE : 163-19</t>
  </si>
  <si>
    <t>VIAPOSTE : 163-8</t>
  </si>
  <si>
    <t>VIAPOSTE : 163-2</t>
  </si>
  <si>
    <t>SPL17'!A1</t>
  </si>
  <si>
    <t>DHL / VIAPOSTE</t>
  </si>
  <si>
    <t>9877A - Lots 170 et 164</t>
  </si>
  <si>
    <t>1 aeriene</t>
  </si>
  <si>
    <t>GZ-279-YC</t>
  </si>
  <si>
    <t>DHL : 9877A</t>
  </si>
  <si>
    <t>VIAPOSTE : 170-8</t>
  </si>
  <si>
    <t>VIAPOSTE : 170-9</t>
  </si>
  <si>
    <t>VIAPOSTE : 170-12</t>
  </si>
  <si>
    <t>VIAPOSTE : 170-13</t>
  </si>
  <si>
    <t>VIAPOSTE : 170-14</t>
  </si>
  <si>
    <t>VIAPOSTE : 164-1</t>
  </si>
  <si>
    <t>ROMUALD</t>
  </si>
  <si>
    <t>KILIAN</t>
  </si>
  <si>
    <r>
      <rPr>
        <b/>
        <sz val="10"/>
        <color rgb="FFFF0000"/>
        <rFont val="Arial"/>
        <family val="2"/>
      </rPr>
      <t xml:space="preserve">WE : </t>
    </r>
    <r>
      <rPr>
        <sz val="10"/>
        <rFont val="Arial"/>
        <family val="2"/>
      </rPr>
      <t>VIAPOSTE : 168-5Z - 164-9 - 163-5</t>
    </r>
  </si>
  <si>
    <t>SPL18'!A1</t>
  </si>
  <si>
    <t>GH-635-LG</t>
  </si>
  <si>
    <t>LOTS 164</t>
  </si>
  <si>
    <t>SPL20'!A1</t>
  </si>
  <si>
    <t>VIAPOSTE : 164-23</t>
  </si>
  <si>
    <t>VIAPOSTE : 164-25</t>
  </si>
  <si>
    <t>VIAPOSTE : 164-25Z</t>
  </si>
  <si>
    <t>VIAPOSTE : 164-14</t>
  </si>
  <si>
    <t>VIAPOSTE : 164-22</t>
  </si>
  <si>
    <t>QUINOL</t>
  </si>
  <si>
    <t>MBEKA R.</t>
  </si>
  <si>
    <t>EJ-197-GQ</t>
  </si>
  <si>
    <t>TROUDI</t>
  </si>
  <si>
    <t>CHRONOPOST : 23R68</t>
  </si>
  <si>
    <t>UPS : Amazon Savigny</t>
  </si>
  <si>
    <t>FEDEX  : FRT03413 - FRT03411</t>
  </si>
  <si>
    <t>Creteil / 23R68</t>
  </si>
  <si>
    <t>FEDEX / CHRONOPOST / UPS/ DHL</t>
  </si>
  <si>
    <t>SPL23'!A1</t>
  </si>
  <si>
    <t>FN-483-HD</t>
  </si>
  <si>
    <t>DHL : FRD 4506</t>
  </si>
  <si>
    <t>Tourne 5 jours</t>
  </si>
  <si>
    <t>CHRONOPOST : 29806</t>
  </si>
  <si>
    <t>DHL / CHRONOPOST</t>
  </si>
  <si>
    <t>LE mans - Orléans</t>
  </si>
  <si>
    <t>SPL25'!A1</t>
  </si>
  <si>
    <t>GL317JR</t>
  </si>
  <si>
    <t>LEKRICHI</t>
  </si>
  <si>
    <t>CEVA : Kiabi St Brice</t>
  </si>
  <si>
    <t>CHRONOPOST : 23R09</t>
  </si>
  <si>
    <t>CHRONOPOST : DARMSSHNI03</t>
  </si>
  <si>
    <t>FEDEX : AIDF40</t>
  </si>
  <si>
    <t>FEDEX / CEVA / CHRONOPOST</t>
  </si>
  <si>
    <t>23R09  - Kiabi</t>
  </si>
  <si>
    <t>SPL26'!A1</t>
  </si>
  <si>
    <t>GD252JX</t>
  </si>
  <si>
    <t>AGOUA</t>
  </si>
  <si>
    <t>SINGH</t>
  </si>
  <si>
    <t>VIAPOSTE : 168-4</t>
  </si>
  <si>
    <t>VIAPOSTE : 168-1Z</t>
  </si>
  <si>
    <t>VIAPOSTE : 168-1</t>
  </si>
  <si>
    <t>VIAPOSTE / UPS</t>
  </si>
  <si>
    <t>LOT 168/170 + Amazon</t>
  </si>
  <si>
    <t>SPL27'!A1</t>
  </si>
  <si>
    <t>SPL30'!A1</t>
  </si>
  <si>
    <t>HA-788-QR</t>
  </si>
  <si>
    <t>GUEYE</t>
  </si>
  <si>
    <t>VIAPOSTE : 163-13</t>
  </si>
  <si>
    <t>VIAPOSTE : 163-9</t>
  </si>
  <si>
    <t>GH-013-LH</t>
  </si>
  <si>
    <t>VIAPOSTE : 164-15</t>
  </si>
  <si>
    <t>VIAPOSTE : 164-15Z</t>
  </si>
  <si>
    <t>VIAPOSTE : 164-12Z</t>
  </si>
  <si>
    <t>VIAPOSTE : 164-10Z</t>
  </si>
  <si>
    <t>VIAPOSTE : 164-12</t>
  </si>
  <si>
    <t>VIAPOSTE : 170-19</t>
  </si>
  <si>
    <t>BEN SALEM</t>
  </si>
  <si>
    <t>VIAPOSTE sup : Liaison D</t>
  </si>
  <si>
    <t>LOT164 - 170 - Liaison D</t>
  </si>
  <si>
    <t>SPL34'!A1</t>
  </si>
  <si>
    <t>GG-817-EB</t>
  </si>
  <si>
    <t>VIAPOSTE : 170-10</t>
  </si>
  <si>
    <t>VIAPOSTE : 170-2</t>
  </si>
  <si>
    <t>SAGAL</t>
  </si>
  <si>
    <t>LATIFA</t>
  </si>
  <si>
    <t>LOT163-170</t>
  </si>
  <si>
    <t>SPL36'!A1</t>
  </si>
  <si>
    <t>FN-813-DX</t>
  </si>
  <si>
    <t>KAMAGATE</t>
  </si>
  <si>
    <t>DHL : FR9845B</t>
  </si>
  <si>
    <t>DHL : FR4598B</t>
  </si>
  <si>
    <t>Lundi au Jeudi</t>
  </si>
  <si>
    <t>FEDEX : FRT04278</t>
  </si>
  <si>
    <t>WE : VIAPOSTE 163-23</t>
  </si>
  <si>
    <t>+42€ le samedi</t>
  </si>
  <si>
    <t>WE : VIAPOSTE Courrier (76)</t>
  </si>
  <si>
    <t>DHL / FEDEX</t>
  </si>
  <si>
    <t>Orléans / Marly</t>
  </si>
  <si>
    <t>SPL37'!A1</t>
  </si>
  <si>
    <t>DHL : FR9814B</t>
  </si>
  <si>
    <t>EG-895-YZ</t>
  </si>
  <si>
    <t>FOFANA M.</t>
  </si>
  <si>
    <t>DHL : FRD9503</t>
  </si>
  <si>
    <t>Tourne 5 Jours</t>
  </si>
  <si>
    <t>SPL44'!A1</t>
  </si>
  <si>
    <t>DHL / CHRONOPOST HNI</t>
  </si>
  <si>
    <t>CAEN - 23R13</t>
  </si>
  <si>
    <t>FV760DA</t>
  </si>
  <si>
    <t>DHL : FR9837A</t>
  </si>
  <si>
    <t>DHL : FR3798A</t>
  </si>
  <si>
    <t>Tourne sur 5 jour</t>
  </si>
  <si>
    <t>SPL45'!A1</t>
  </si>
  <si>
    <t>TATAR M.</t>
  </si>
  <si>
    <t>TATAR F.</t>
  </si>
  <si>
    <t>CUMUL CM</t>
  </si>
  <si>
    <t>CUMUL SPL</t>
  </si>
  <si>
    <t>Jeudi &amp; Vendredi</t>
  </si>
  <si>
    <t>COLISSIMO  : LTH-007-CM</t>
  </si>
  <si>
    <t>GC-075-RE</t>
  </si>
  <si>
    <t>MOROAINU ION</t>
  </si>
  <si>
    <t>Colissimo : LTH-004-CM</t>
  </si>
  <si>
    <t>CM60</t>
  </si>
  <si>
    <t>Creil</t>
  </si>
  <si>
    <t>CM60'!A1</t>
  </si>
  <si>
    <t>S16</t>
  </si>
  <si>
    <t>S15</t>
  </si>
  <si>
    <r>
      <rPr>
        <b/>
        <sz val="10"/>
        <color rgb="FFFF0000"/>
        <rFont val="Arial"/>
        <family val="2"/>
      </rPr>
      <t>WE :</t>
    </r>
    <r>
      <rPr>
        <sz val="10"/>
        <rFont val="Arial"/>
        <family val="2"/>
      </rPr>
      <t xml:space="preserve"> Viapost : 170-14</t>
    </r>
  </si>
  <si>
    <r>
      <rPr>
        <b/>
        <sz val="10"/>
        <color rgb="FFFF0000"/>
        <rFont val="Arial"/>
        <family val="2"/>
      </rPr>
      <t>WE :</t>
    </r>
    <r>
      <rPr>
        <sz val="10"/>
        <rFont val="Arial"/>
        <family val="2"/>
      </rPr>
      <t xml:space="preserve"> Viapost : 164-14/22</t>
    </r>
  </si>
  <si>
    <r>
      <rPr>
        <b/>
        <sz val="10"/>
        <color rgb="FFFF0000"/>
        <rFont val="Arial"/>
        <family val="2"/>
      </rPr>
      <t xml:space="preserve">WE : </t>
    </r>
    <r>
      <rPr>
        <sz val="10"/>
        <rFont val="Arial"/>
        <family val="2"/>
      </rPr>
      <t>(Konte ) FEDEX FRT03381</t>
    </r>
  </si>
  <si>
    <r>
      <rPr>
        <b/>
        <sz val="10"/>
        <color rgb="FFFF0000"/>
        <rFont val="Arial"/>
        <family val="2"/>
      </rPr>
      <t>WE :</t>
    </r>
    <r>
      <rPr>
        <sz val="10"/>
        <rFont val="Arial"/>
        <family val="2"/>
      </rPr>
      <t xml:space="preserve"> (Malle) CHRONOPOST : LWCDGHNI02</t>
    </r>
  </si>
  <si>
    <r>
      <rPr>
        <b/>
        <sz val="10"/>
        <color rgb="FFFF0000"/>
        <rFont val="Arial"/>
        <family val="2"/>
      </rPr>
      <t>WE :</t>
    </r>
    <r>
      <rPr>
        <sz val="10"/>
        <rFont val="Arial"/>
        <family val="2"/>
      </rPr>
      <t xml:space="preserve"> (Hammadi) Viaposte 168-2 / 6</t>
    </r>
  </si>
  <si>
    <r>
      <rPr>
        <b/>
        <sz val="10"/>
        <color rgb="FFFF0000"/>
        <rFont val="Arial"/>
        <family val="2"/>
      </rPr>
      <t xml:space="preserve">WE : </t>
    </r>
    <r>
      <rPr>
        <sz val="10"/>
        <rFont val="Arial"/>
        <family val="2"/>
      </rPr>
      <t>(Hammadi) Viaposte 164-19</t>
    </r>
  </si>
  <si>
    <t>GC-623-YH</t>
  </si>
  <si>
    <r>
      <rPr>
        <b/>
        <sz val="10"/>
        <color rgb="FFFF0000"/>
        <rFont val="Arial"/>
        <family val="2"/>
      </rPr>
      <t>WE :</t>
    </r>
    <r>
      <rPr>
        <sz val="10"/>
        <rFont val="Arial"/>
        <family val="2"/>
      </rPr>
      <t xml:space="preserve"> (Bezdiga) VIAPOST 163-13/9</t>
    </r>
  </si>
  <si>
    <r>
      <rPr>
        <b/>
        <sz val="10"/>
        <color rgb="FFFF0000"/>
        <rFont val="Arial"/>
        <family val="2"/>
      </rPr>
      <t>WE :</t>
    </r>
    <r>
      <rPr>
        <sz val="10"/>
        <rFont val="Arial"/>
        <family val="2"/>
      </rPr>
      <t xml:space="preserve"> (Tahla) Chronopost 29101</t>
    </r>
  </si>
  <si>
    <t>FB-491-MH</t>
  </si>
  <si>
    <t>Colissimo : LTH-017-CM</t>
  </si>
  <si>
    <t xml:space="preserve">Vérifier itinéraire Péages </t>
  </si>
  <si>
    <t>Faveur</t>
  </si>
  <si>
    <t>Faveur Remplace kinguele, n'a pas pris le bon itinéraire</t>
  </si>
  <si>
    <t>(Au lieu de 8€ / jour)</t>
  </si>
  <si>
    <r>
      <rPr>
        <b/>
        <sz val="10"/>
        <color rgb="FFFF0000"/>
        <rFont val="Arial"/>
        <family val="2"/>
      </rPr>
      <t>WE :</t>
    </r>
    <r>
      <rPr>
        <sz val="10"/>
        <rFont val="Arial"/>
        <family val="2"/>
      </rPr>
      <t xml:space="preserve"> VIAPOST : 164-9</t>
    </r>
  </si>
  <si>
    <t>TURQUETIL Y.</t>
  </si>
  <si>
    <t>Non tournée sur Avril</t>
  </si>
  <si>
    <r>
      <rPr>
        <b/>
        <sz val="10"/>
        <color rgb="FFFF0000"/>
        <rFont val="Arial"/>
        <family val="2"/>
      </rPr>
      <t>WE :</t>
    </r>
    <r>
      <rPr>
        <sz val="10"/>
        <rFont val="Arial"/>
        <family val="2"/>
      </rPr>
      <t xml:space="preserve"> CHRONO ROISSY - Orly</t>
    </r>
  </si>
  <si>
    <t>JADE ZINE</t>
  </si>
  <si>
    <t>FA-433-ST</t>
  </si>
  <si>
    <r>
      <rPr>
        <b/>
        <sz val="10"/>
        <color rgb="FFFF0000"/>
        <rFont val="Arial"/>
        <family val="2"/>
      </rPr>
      <t xml:space="preserve">WE : </t>
    </r>
    <r>
      <rPr>
        <sz val="10"/>
        <rFont val="Arial"/>
        <family val="2"/>
      </rPr>
      <t>DHL 9892A</t>
    </r>
  </si>
  <si>
    <t>OLIMPIO (AT)</t>
  </si>
  <si>
    <t>OLIMPIO REMPLACER PAR BRB</t>
  </si>
  <si>
    <t>CHRONOPOST : DARMSSCMZ01</t>
  </si>
  <si>
    <t>Tourné 5 jours</t>
  </si>
  <si>
    <t>Conducteur 1</t>
  </si>
  <si>
    <t>Conducteur 2</t>
  </si>
  <si>
    <t>Conducteur 3</t>
  </si>
  <si>
    <t>ETUDES RENTABILITE : AVRIL 2025</t>
  </si>
  <si>
    <t>DIABATE</t>
  </si>
  <si>
    <t>Diabaté sur 5 jours</t>
  </si>
  <si>
    <t>VIAPOSTE : 163-11 / 164-9Z</t>
  </si>
  <si>
    <t>MOUSSA FALL</t>
  </si>
  <si>
    <t>UPS : Livraison Senlis</t>
  </si>
  <si>
    <r>
      <rPr>
        <b/>
        <sz val="10"/>
        <color rgb="FFFF0000"/>
        <rFont val="Arial"/>
        <family val="2"/>
      </rPr>
      <t>WE:</t>
    </r>
    <r>
      <rPr>
        <sz val="10"/>
        <rFont val="Arial"/>
        <family val="2"/>
      </rPr>
      <t xml:space="preserve"> VIAPOSTE : 170-15</t>
    </r>
  </si>
  <si>
    <t>1 classique</t>
  </si>
  <si>
    <t>Ramasse UPS</t>
  </si>
  <si>
    <t>A tourné que 5 jours semaine</t>
  </si>
  <si>
    <t>WE : Chrono : Cdiscount</t>
  </si>
  <si>
    <t>MOUSSA TRAORE</t>
  </si>
  <si>
    <r>
      <rPr>
        <b/>
        <sz val="10"/>
        <color rgb="FFFF0000"/>
        <rFont val="Arial"/>
        <family val="2"/>
      </rPr>
      <t>WE :</t>
    </r>
    <r>
      <rPr>
        <sz val="10"/>
        <rFont val="Arial"/>
        <family val="2"/>
      </rPr>
      <t xml:space="preserve"> VIAPOSTE 170-7</t>
    </r>
  </si>
  <si>
    <r>
      <rPr>
        <b/>
        <sz val="10"/>
        <color rgb="FFFF0000"/>
        <rFont val="Arial"/>
        <family val="2"/>
      </rPr>
      <t>WE :</t>
    </r>
    <r>
      <rPr>
        <sz val="10"/>
        <rFont val="Arial"/>
        <family val="2"/>
      </rPr>
      <t xml:space="preserve"> GB4</t>
    </r>
  </si>
  <si>
    <t>VIAPOSTE : 163-4</t>
  </si>
  <si>
    <t>50% de semi</t>
  </si>
  <si>
    <t>1 Semi Classique (50%)</t>
  </si>
  <si>
    <r>
      <rPr>
        <b/>
        <sz val="10"/>
        <color rgb="FFFF0000"/>
        <rFont val="Arial"/>
        <family val="2"/>
      </rPr>
      <t xml:space="preserve">WE : </t>
    </r>
    <r>
      <rPr>
        <sz val="10"/>
        <rFont val="Arial"/>
        <family val="2"/>
      </rPr>
      <t>VIAPOST 163-1</t>
    </r>
  </si>
  <si>
    <t>SCHENKER : 7797-1</t>
  </si>
  <si>
    <t>FN-814-DX</t>
  </si>
  <si>
    <t>VIVIENS</t>
  </si>
  <si>
    <t>M. Bodea / Viviens Tourne sur 5 jours</t>
  </si>
  <si>
    <t>VIAPOSTE : 168-3</t>
  </si>
  <si>
    <t>VIAPOSTE : 164-10</t>
  </si>
  <si>
    <t>Moreira Tavares</t>
  </si>
  <si>
    <t>VIAPOSTE : 163-12</t>
  </si>
  <si>
    <t>MOREIRA sur 5 jours</t>
  </si>
  <si>
    <t>UPS : Ramasse AMAZON</t>
  </si>
  <si>
    <t>DIOP ASSANE</t>
  </si>
  <si>
    <t>UPS : Ramasse Evry - Goussainville</t>
  </si>
  <si>
    <t>FEDEX : Ploisy (R488)</t>
  </si>
  <si>
    <t>CHRONOPOST : Cdiscount - Chiilly</t>
  </si>
  <si>
    <t>SAMEDI</t>
  </si>
  <si>
    <t>(TROUDI tourne sur 5 jours)</t>
  </si>
  <si>
    <r>
      <rPr>
        <b/>
        <sz val="10"/>
        <color rgb="FFFF0000"/>
        <rFont val="Arial"/>
        <family val="2"/>
      </rPr>
      <t xml:space="preserve">WE : </t>
    </r>
    <r>
      <rPr>
        <sz val="10"/>
        <rFont val="Arial"/>
        <family val="2"/>
      </rPr>
      <t>Viaposte 164-15/15Z</t>
    </r>
  </si>
  <si>
    <r>
      <t xml:space="preserve">WE : </t>
    </r>
    <r>
      <rPr>
        <sz val="10"/>
        <rFont val="Arial"/>
        <family val="2"/>
      </rPr>
      <t>CHRONOPOST : 39139</t>
    </r>
  </si>
  <si>
    <t>2 classique débord</t>
  </si>
  <si>
    <t>CRISAN G.</t>
  </si>
  <si>
    <t>AZZIZ CHEMLAL</t>
  </si>
  <si>
    <t>DHL : FR6098C</t>
  </si>
  <si>
    <t>CHRONOPOST : Ramasse STACI 95 (40U04)</t>
  </si>
  <si>
    <r>
      <t xml:space="preserve">WE : </t>
    </r>
    <r>
      <rPr>
        <b/>
        <sz val="10"/>
        <rFont val="Arial"/>
        <family val="2"/>
      </rPr>
      <t>Fedex Sup Sézane</t>
    </r>
  </si>
  <si>
    <r>
      <rPr>
        <b/>
        <sz val="10"/>
        <color rgb="FFFF0000"/>
        <rFont val="Arial"/>
        <family val="2"/>
      </rPr>
      <t xml:space="preserve">WE : </t>
    </r>
    <r>
      <rPr>
        <sz val="10"/>
        <rFont val="Arial"/>
        <family val="2"/>
      </rPr>
      <t>Parc DHL</t>
    </r>
  </si>
  <si>
    <r>
      <rPr>
        <b/>
        <sz val="10"/>
        <color rgb="FFFF0000"/>
        <rFont val="Arial"/>
        <family val="2"/>
      </rPr>
      <t>WE :</t>
    </r>
    <r>
      <rPr>
        <sz val="10"/>
        <rFont val="Arial"/>
        <family val="2"/>
      </rPr>
      <t xml:space="preserve"> DHL : FR9859A</t>
    </r>
  </si>
  <si>
    <t>WE : DHL EUROAD : CDG1753</t>
  </si>
  <si>
    <t>CHRONOPOST : Ramasse STACI (40U13)</t>
  </si>
  <si>
    <t>UPS : Ramasse Evry</t>
  </si>
  <si>
    <r>
      <t>WE :</t>
    </r>
    <r>
      <rPr>
        <sz val="10"/>
        <rFont val="Arial"/>
        <family val="2"/>
      </rPr>
      <t xml:space="preserve"> VIAPOSTE 170-20</t>
    </r>
  </si>
  <si>
    <t>COADA TOADER</t>
  </si>
  <si>
    <t>COADA sur 5 jours</t>
  </si>
  <si>
    <t>VIAPOSTE : 170-11</t>
  </si>
  <si>
    <t>VIAPOSTE : 163-6</t>
  </si>
  <si>
    <r>
      <rPr>
        <b/>
        <sz val="10"/>
        <color rgb="FFFF0000"/>
        <rFont val="Arial"/>
        <family val="2"/>
      </rPr>
      <t xml:space="preserve">WE : </t>
    </r>
    <r>
      <rPr>
        <sz val="10"/>
        <rFont val="Arial"/>
        <family val="2"/>
      </rPr>
      <t>CHRONO : REAU - AULNAY</t>
    </r>
  </si>
  <si>
    <t>FEDEX : FRT03392</t>
  </si>
  <si>
    <t>S17</t>
  </si>
  <si>
    <t>FEDEX : FRT03387</t>
  </si>
  <si>
    <t>ALI MOHAMED</t>
  </si>
  <si>
    <t>EE-081-CX</t>
  </si>
  <si>
    <t>Colissimo : PARC NANTERRE</t>
  </si>
  <si>
    <t>Forfait 8h00/ jour</t>
  </si>
  <si>
    <t xml:space="preserve">Dimanche </t>
  </si>
  <si>
    <r>
      <rPr>
        <b/>
        <sz val="10"/>
        <color rgb="FFFF0000"/>
        <rFont val="Arial"/>
        <family val="2"/>
      </rPr>
      <t>WE :</t>
    </r>
    <r>
      <rPr>
        <sz val="10"/>
        <rFont val="Arial"/>
        <family val="2"/>
      </rPr>
      <t xml:space="preserve"> FEDEX FRT03412</t>
    </r>
  </si>
  <si>
    <t>CM61</t>
  </si>
  <si>
    <t>PARC NANTERRE</t>
  </si>
  <si>
    <t>CM61'!A1</t>
  </si>
  <si>
    <t>u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</si>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</sst>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0.0%"/>
    <numFmt numFmtId="165" formatCode="0.00000"/>
    <numFmt numFmtId="166" formatCode="0.0000"/>
    <numFmt numFmtId="167" formatCode="0.0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0"/>
      <name val="Tahoma"/>
      <family val="2"/>
    </font>
    <font>
      <sz val="10"/>
      <name val="Arial"/>
      <family val="2"/>
    </font>
    <font>
      <b/>
      <sz val="12"/>
      <name val="Tahoma"/>
      <family val="2"/>
    </font>
    <font>
      <sz val="12"/>
      <name val="Tahoma"/>
      <family val="2"/>
    </font>
    <font>
      <sz val="12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b/>
      <sz val="10"/>
      <name val="Comic Sans MS"/>
      <family val="4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2"/>
      <color theme="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i/>
      <sz val="12"/>
      <name val="Arial"/>
      <family val="2"/>
    </font>
    <font>
      <b/>
      <sz val="14"/>
      <color rgb="FFFFFFFF"/>
      <name val="Calibri"/>
      <family val="2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0"/>
      <name val="Tahoma"/>
      <family val="2"/>
    </font>
    <font>
      <sz val="10"/>
      <color rgb="FFFF0000"/>
      <name val="Arial"/>
      <family val="2"/>
    </font>
    <font>
      <sz val="12"/>
      <color rgb="FFFF0000"/>
      <name val="Tahoma"/>
      <family val="2"/>
    </font>
    <font>
      <i/>
      <sz val="8"/>
      <name val="Arial"/>
      <family val="2"/>
    </font>
    <font>
      <sz val="18"/>
      <color theme="0"/>
      <name val="Arial"/>
      <family val="2"/>
    </font>
    <font>
      <b/>
      <sz val="18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2"/>
      <color rgb="FFFF0000"/>
      <name val="Arial"/>
      <family val="2"/>
    </font>
    <font>
      <b/>
      <i/>
      <sz val="8"/>
      <color rgb="FFFF0000"/>
      <name val="Arial"/>
      <family val="2"/>
    </font>
    <font>
      <b/>
      <i/>
      <sz val="10"/>
      <color rgb="FFFF0000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u/>
      <sz val="14"/>
      <color theme="0"/>
      <name val="Calibri"/>
      <family val="2"/>
      <scheme val="minor"/>
    </font>
    <font>
      <b/>
      <sz val="12"/>
      <color rgb="FFFF0000"/>
      <name val="Arial"/>
      <family val="2"/>
    </font>
    <font>
      <b/>
      <sz val="11"/>
      <color theme="1"/>
      <name val="Calibri"/>
      <family val="2"/>
      <scheme val="minor"/>
    </font>
    <font>
      <b/>
      <sz val="20"/>
      <color rgb="FFFF0000"/>
      <name val="Arial"/>
      <family val="2"/>
    </font>
    <font>
      <b/>
      <sz val="11"/>
      <name val="Calibri"/>
      <family val="2"/>
      <scheme val="minor"/>
    </font>
    <font>
      <sz val="24"/>
      <color rgb="FFFF0000"/>
      <name val="Arial"/>
      <family val="2"/>
    </font>
    <font>
      <sz val="10"/>
      <name val="Arial"/>
      <family val="2"/>
    </font>
    <font>
      <sz val="12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lightDown"/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6365C"/>
        <bgColor rgb="FF000000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3" fillId="0" borderId="0" applyNumberFormat="0" applyFill="0" applyBorder="0" applyAlignment="0" applyProtection="0"/>
  </cellStyleXfs>
  <cellXfs count="152">
    <xf numFmtId="0" fontId="0" fillId="0" borderId="0" xfId="0"/>
    <xf numFmtId="0" fontId="3" fillId="0" borderId="0" xfId="0" applyFont="1"/>
    <xf numFmtId="0" fontId="6" fillId="0" borderId="0" xfId="0" applyFont="1"/>
    <xf numFmtId="0" fontId="7" fillId="0" borderId="0" xfId="0" applyFont="1"/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9" fontId="15" fillId="0" borderId="0" xfId="1" applyFont="1"/>
    <xf numFmtId="0" fontId="17" fillId="0" borderId="0" xfId="0" applyFont="1" applyAlignment="1">
      <alignment horizontal="center"/>
    </xf>
    <xf numFmtId="0" fontId="13" fillId="0" borderId="0" xfId="0" applyFont="1"/>
    <xf numFmtId="0" fontId="18" fillId="4" borderId="2" xfId="0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6" fillId="4" borderId="6" xfId="0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16" fillId="0" borderId="2" xfId="0" applyFont="1" applyBorder="1" applyAlignment="1">
      <alignment horizontal="center" vertical="center"/>
    </xf>
    <xf numFmtId="0" fontId="3" fillId="0" borderId="2" xfId="0" applyFont="1" applyBorder="1"/>
    <xf numFmtId="0" fontId="6" fillId="4" borderId="2" xfId="0" applyFont="1" applyFill="1" applyBorder="1" applyAlignment="1">
      <alignment vertical="center"/>
    </xf>
    <xf numFmtId="0" fontId="6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/>
    </xf>
    <xf numFmtId="0" fontId="21" fillId="9" borderId="7" xfId="0" applyFont="1" applyFill="1" applyBorder="1" applyAlignment="1">
      <alignment horizontal="center" wrapText="1"/>
    </xf>
    <xf numFmtId="0" fontId="21" fillId="9" borderId="8" xfId="0" applyFont="1" applyFill="1" applyBorder="1" applyAlignment="1">
      <alignment horizontal="center"/>
    </xf>
    <xf numFmtId="0" fontId="21" fillId="9" borderId="9" xfId="0" applyFont="1" applyFill="1" applyBorder="1" applyAlignment="1">
      <alignment horizontal="center"/>
    </xf>
    <xf numFmtId="0" fontId="21" fillId="9" borderId="0" xfId="0" applyFont="1" applyFill="1" applyAlignment="1">
      <alignment horizontal="center"/>
    </xf>
    <xf numFmtId="0" fontId="22" fillId="0" borderId="2" xfId="0" applyFont="1" applyBorder="1" applyAlignment="1">
      <alignment horizontal="left"/>
    </xf>
    <xf numFmtId="0" fontId="22" fillId="0" borderId="2" xfId="0" applyFont="1" applyBorder="1" applyAlignment="1">
      <alignment horizontal="center"/>
    </xf>
    <xf numFmtId="165" fontId="22" fillId="0" borderId="2" xfId="0" applyNumberFormat="1" applyFont="1" applyBorder="1" applyAlignment="1">
      <alignment horizontal="center"/>
    </xf>
    <xf numFmtId="166" fontId="22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165" fontId="22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0" fontId="22" fillId="0" borderId="3" xfId="0" applyFont="1" applyBorder="1" applyAlignment="1">
      <alignment horizontal="left"/>
    </xf>
    <xf numFmtId="0" fontId="22" fillId="0" borderId="10" xfId="0" applyFont="1" applyBorder="1" applyAlignment="1">
      <alignment horizontal="center"/>
    </xf>
    <xf numFmtId="0" fontId="22" fillId="0" borderId="4" xfId="0" applyFont="1" applyBorder="1" applyAlignment="1">
      <alignment horizontal="center"/>
    </xf>
    <xf numFmtId="0" fontId="0" fillId="0" borderId="2" xfId="0" applyBorder="1"/>
    <xf numFmtId="0" fontId="22" fillId="0" borderId="5" xfId="0" applyFont="1" applyBorder="1" applyAlignment="1">
      <alignment horizontal="left"/>
    </xf>
    <xf numFmtId="0" fontId="22" fillId="0" borderId="11" xfId="0" applyFont="1" applyBorder="1" applyAlignment="1">
      <alignment horizontal="center"/>
    </xf>
    <xf numFmtId="0" fontId="24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2" fontId="4" fillId="0" borderId="2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5" borderId="4" xfId="0" applyFill="1" applyBorder="1"/>
    <xf numFmtId="0" fontId="5" fillId="0" borderId="2" xfId="0" applyFont="1" applyBorder="1" applyAlignment="1">
      <alignment horizontal="center" vertical="center" wrapText="1"/>
    </xf>
    <xf numFmtId="2" fontId="4" fillId="0" borderId="4" xfId="0" applyNumberFormat="1" applyFont="1" applyBorder="1" applyAlignment="1">
      <alignment horizontal="center" vertical="center" wrapText="1"/>
    </xf>
    <xf numFmtId="0" fontId="25" fillId="10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2" fontId="3" fillId="0" borderId="0" xfId="0" applyNumberFormat="1" applyFont="1" applyAlignment="1">
      <alignment horizontal="center"/>
    </xf>
    <xf numFmtId="2" fontId="4" fillId="8" borderId="2" xfId="0" applyNumberFormat="1" applyFont="1" applyFill="1" applyBorder="1" applyAlignment="1">
      <alignment horizontal="center" vertical="center" wrapText="1"/>
    </xf>
    <xf numFmtId="0" fontId="26" fillId="0" borderId="0" xfId="0" applyFont="1"/>
    <xf numFmtId="0" fontId="27" fillId="0" borderId="0" xfId="0" applyFont="1" applyAlignment="1">
      <alignment horizontal="center" vertical="center" wrapText="1"/>
    </xf>
    <xf numFmtId="9" fontId="8" fillId="3" borderId="0" xfId="0" applyNumberFormat="1" applyFont="1" applyFill="1" applyAlignment="1">
      <alignment horizontal="center" vertical="center" wrapText="1"/>
    </xf>
    <xf numFmtId="164" fontId="9" fillId="3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2" fontId="3" fillId="0" borderId="2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vertical="center"/>
    </xf>
    <xf numFmtId="1" fontId="4" fillId="8" borderId="2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right"/>
    </xf>
    <xf numFmtId="0" fontId="29" fillId="11" borderId="0" xfId="0" applyFont="1" applyFill="1" applyAlignment="1">
      <alignment horizontal="center" vertical="center"/>
    </xf>
    <xf numFmtId="9" fontId="30" fillId="11" borderId="0" xfId="1" applyFont="1" applyFill="1" applyAlignment="1">
      <alignment horizontal="center" vertical="center"/>
    </xf>
    <xf numFmtId="0" fontId="22" fillId="0" borderId="1" xfId="0" applyFont="1" applyBorder="1" applyAlignment="1">
      <alignment horizontal="left"/>
    </xf>
    <xf numFmtId="165" fontId="22" fillId="0" borderId="12" xfId="0" applyNumberFormat="1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6" fillId="4" borderId="2" xfId="0" applyFont="1" applyFill="1" applyBorder="1" applyAlignment="1">
      <alignment horizontal="center" vertical="center"/>
    </xf>
    <xf numFmtId="0" fontId="33" fillId="0" borderId="2" xfId="3" quotePrefix="1" applyBorder="1" applyAlignment="1">
      <alignment horizontal="center" vertical="center"/>
    </xf>
    <xf numFmtId="166" fontId="4" fillId="8" borderId="2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10" fontId="3" fillId="0" borderId="2" xfId="0" applyNumberFormat="1" applyFont="1" applyBorder="1"/>
    <xf numFmtId="2" fontId="3" fillId="0" borderId="2" xfId="0" applyNumberFormat="1" applyFont="1" applyBorder="1" applyAlignment="1">
      <alignment horizontal="center"/>
    </xf>
    <xf numFmtId="0" fontId="34" fillId="0" borderId="2" xfId="0" applyFont="1" applyBorder="1" applyAlignment="1">
      <alignment horizontal="center" vertical="center"/>
    </xf>
    <xf numFmtId="0" fontId="34" fillId="0" borderId="2" xfId="0" applyFont="1" applyBorder="1" applyAlignment="1">
      <alignment vertical="center"/>
    </xf>
    <xf numFmtId="9" fontId="0" fillId="0" borderId="2" xfId="0" applyNumberFormat="1" applyBorder="1" applyAlignment="1">
      <alignment horizontal="center"/>
    </xf>
    <xf numFmtId="0" fontId="37" fillId="0" borderId="0" xfId="0" applyFont="1"/>
    <xf numFmtId="10" fontId="3" fillId="0" borderId="2" xfId="0" applyNumberFormat="1" applyFont="1" applyBorder="1" applyAlignment="1">
      <alignment horizontal="center"/>
    </xf>
    <xf numFmtId="0" fontId="28" fillId="0" borderId="0" xfId="0" applyFont="1" applyAlignment="1">
      <alignment horizontal="left"/>
    </xf>
    <xf numFmtId="0" fontId="38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8" fillId="8" borderId="2" xfId="0" applyFont="1" applyFill="1" applyBorder="1" applyAlignment="1">
      <alignment horizontal="center"/>
    </xf>
    <xf numFmtId="0" fontId="39" fillId="0" borderId="2" xfId="0" applyFont="1" applyBorder="1" applyAlignment="1">
      <alignment horizontal="center"/>
    </xf>
    <xf numFmtId="0" fontId="39" fillId="0" borderId="2" xfId="0" applyFont="1" applyBorder="1"/>
    <xf numFmtId="0" fontId="40" fillId="0" borderId="2" xfId="0" applyFont="1" applyBorder="1" applyAlignment="1">
      <alignment horizontal="center" vertical="center"/>
    </xf>
    <xf numFmtId="10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9" fontId="3" fillId="0" borderId="2" xfId="0" applyNumberFormat="1" applyFont="1" applyBorder="1" applyAlignment="1">
      <alignment horizontal="center"/>
    </xf>
    <xf numFmtId="0" fontId="3" fillId="0" borderId="0" xfId="0" quotePrefix="1" applyFont="1"/>
    <xf numFmtId="0" fontId="42" fillId="11" borderId="0" xfId="3" applyFont="1" applyFill="1" applyAlignment="1">
      <alignment horizontal="center"/>
    </xf>
    <xf numFmtId="10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20" fillId="0" borderId="0" xfId="0" applyFont="1"/>
    <xf numFmtId="0" fontId="3" fillId="0" borderId="2" xfId="0" applyFont="1" applyBorder="1" applyAlignment="1">
      <alignment horizontal="left"/>
    </xf>
    <xf numFmtId="0" fontId="3" fillId="0" borderId="2" xfId="0" quotePrefix="1" applyFont="1" applyBorder="1" applyAlignment="1">
      <alignment horizontal="left"/>
    </xf>
    <xf numFmtId="0" fontId="43" fillId="8" borderId="2" xfId="0" applyFont="1" applyFill="1" applyBorder="1" applyAlignment="1">
      <alignment horizontal="center"/>
    </xf>
    <xf numFmtId="0" fontId="3" fillId="3" borderId="2" xfId="0" applyFont="1" applyFill="1" applyBorder="1"/>
    <xf numFmtId="0" fontId="3" fillId="3" borderId="2" xfId="0" applyFont="1" applyFill="1" applyBorder="1" applyAlignment="1">
      <alignment horizontal="center"/>
    </xf>
    <xf numFmtId="10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1" fontId="3" fillId="3" borderId="2" xfId="0" applyNumberFormat="1" applyFont="1" applyFill="1" applyBorder="1" applyAlignment="1">
      <alignment horizontal="center"/>
    </xf>
    <xf numFmtId="0" fontId="11" fillId="0" borderId="2" xfId="0" applyFont="1" applyBorder="1"/>
    <xf numFmtId="0" fontId="40" fillId="3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left"/>
    </xf>
    <xf numFmtId="0" fontId="11" fillId="3" borderId="2" xfId="0" applyFont="1" applyFill="1" applyBorder="1"/>
    <xf numFmtId="0" fontId="31" fillId="10" borderId="2" xfId="0" applyFont="1" applyFill="1" applyBorder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46" fillId="12" borderId="2" xfId="0" applyFont="1" applyFill="1" applyBorder="1" applyAlignment="1">
      <alignment horizontal="center" vertical="center"/>
    </xf>
    <xf numFmtId="0" fontId="44" fillId="13" borderId="2" xfId="0" applyFont="1" applyFill="1" applyBorder="1"/>
    <xf numFmtId="0" fontId="33" fillId="0" borderId="0" xfId="3" quotePrefix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2" fontId="6" fillId="0" borderId="0" xfId="0" applyNumberFormat="1" applyFont="1"/>
    <xf numFmtId="2" fontId="16" fillId="8" borderId="0" xfId="0" applyNumberFormat="1" applyFont="1" applyFill="1" applyAlignment="1">
      <alignment vertical="center"/>
    </xf>
    <xf numFmtId="4" fontId="16" fillId="8" borderId="0" xfId="0" applyNumberFormat="1" applyFont="1" applyFill="1" applyAlignment="1">
      <alignment vertical="center"/>
    </xf>
    <xf numFmtId="0" fontId="48" fillId="0" borderId="2" xfId="0" applyFont="1" applyBorder="1" applyAlignment="1">
      <alignment horizontal="center"/>
    </xf>
    <xf numFmtId="0" fontId="33" fillId="0" borderId="2" xfId="3" quotePrefix="1" applyBorder="1" applyAlignment="1">
      <alignment horizontal="center"/>
    </xf>
    <xf numFmtId="0" fontId="3" fillId="14" borderId="0" xfId="0" applyFont="1" applyFill="1"/>
    <xf numFmtId="167" fontId="3" fillId="0" borderId="2" xfId="0" applyNumberFormat="1" applyFont="1" applyBorder="1" applyAlignment="1">
      <alignment horizontal="center"/>
    </xf>
    <xf numFmtId="0" fontId="15" fillId="0" borderId="0" xfId="0" applyFont="1"/>
    <xf numFmtId="0" fontId="3" fillId="14" borderId="2" xfId="0" applyFont="1" applyFill="1" applyBorder="1"/>
    <xf numFmtId="0" fontId="49" fillId="4" borderId="6" xfId="0" applyFont="1" applyFill="1" applyBorder="1" applyAlignment="1">
      <alignment horizontal="center" vertical="center"/>
    </xf>
    <xf numFmtId="0" fontId="49" fillId="0" borderId="0" xfId="0" applyFont="1"/>
    <xf numFmtId="0" fontId="26" fillId="0" borderId="2" xfId="0" applyFont="1" applyBorder="1"/>
    <xf numFmtId="0" fontId="26" fillId="0" borderId="2" xfId="0" applyFont="1" applyBorder="1" applyAlignment="1">
      <alignment horizontal="left"/>
    </xf>
    <xf numFmtId="0" fontId="11" fillId="0" borderId="0" xfId="0" applyFont="1"/>
    <xf numFmtId="0" fontId="10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7" fontId="6" fillId="4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45" fillId="0" borderId="13" xfId="0" applyFont="1" applyBorder="1" applyAlignment="1">
      <alignment horizontal="center" vertical="center"/>
    </xf>
    <xf numFmtId="0" fontId="45" fillId="0" borderId="14" xfId="0" applyFont="1" applyBorder="1" applyAlignment="1">
      <alignment horizontal="center" vertical="center"/>
    </xf>
    <xf numFmtId="0" fontId="45" fillId="0" borderId="15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16" xfId="0" applyFont="1" applyBorder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45" fillId="0" borderId="11" xfId="0" applyFont="1" applyBorder="1" applyAlignment="1">
      <alignment horizontal="center" vertical="center"/>
    </xf>
    <xf numFmtId="0" fontId="45" fillId="0" borderId="17" xfId="0" applyFont="1" applyBorder="1" applyAlignment="1">
      <alignment horizontal="center" vertical="center"/>
    </xf>
    <xf numFmtId="0" fontId="47" fillId="3" borderId="13" xfId="0" applyFont="1" applyFill="1" applyBorder="1" applyAlignment="1">
      <alignment horizontal="center" vertical="center"/>
    </xf>
    <xf numFmtId="0" fontId="47" fillId="3" borderId="14" xfId="0" applyFont="1" applyFill="1" applyBorder="1" applyAlignment="1">
      <alignment horizontal="center" vertical="center"/>
    </xf>
    <xf numFmtId="0" fontId="47" fillId="3" borderId="15" xfId="0" applyFont="1" applyFill="1" applyBorder="1" applyAlignment="1">
      <alignment horizontal="center" vertical="center"/>
    </xf>
    <xf numFmtId="0" fontId="47" fillId="3" borderId="1" xfId="0" applyFont="1" applyFill="1" applyBorder="1" applyAlignment="1">
      <alignment horizontal="center" vertical="center"/>
    </xf>
    <xf numFmtId="0" fontId="47" fillId="3" borderId="0" xfId="0" applyFont="1" applyFill="1" applyAlignment="1">
      <alignment horizontal="center" vertical="center"/>
    </xf>
    <xf numFmtId="0" fontId="47" fillId="3" borderId="16" xfId="0" applyFont="1" applyFill="1" applyBorder="1" applyAlignment="1">
      <alignment horizontal="center" vertical="center"/>
    </xf>
    <xf numFmtId="0" fontId="47" fillId="3" borderId="5" xfId="0" applyFont="1" applyFill="1" applyBorder="1" applyAlignment="1">
      <alignment horizontal="center" vertical="center"/>
    </xf>
    <xf numFmtId="0" fontId="47" fillId="3" borderId="11" xfId="0" applyFont="1" applyFill="1" applyBorder="1" applyAlignment="1">
      <alignment horizontal="center" vertical="center"/>
    </xf>
    <xf numFmtId="0" fontId="47" fillId="3" borderId="17" xfId="0" applyFont="1" applyFill="1" applyBorder="1" applyAlignment="1">
      <alignment horizontal="center" vertical="center"/>
    </xf>
  </cellXfs>
  <cellStyles count="4">
    <cellStyle name="Euro" xfId="2" xr:uid="{00000000-0005-0000-0000-000000000000}"/>
    <cellStyle name="Lien hypertexte" xfId="3" builtinId="8"/>
    <cellStyle name="Normal" xfId="0" builtinId="0"/>
    <cellStyle name="Pourcentage" xfId="1" builtinId="5"/>
  </cellStyles>
  <dxfs count="0"/>
  <tableStyles count="0" defaultTableStyle="TableStyleMedium9" defaultPivotStyle="PivotStyleLight16"/>
  <colors>
    <mruColors>
      <color rgb="FFC0E9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Sommaire!$H$6</c:f>
              <c:strCache>
                <c:ptCount val="1"/>
                <c:pt idx="0">
                  <c:v>% Marge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Sommaire!$A$7:$A$70</c:f>
              <c:strCache>
                <c:ptCount val="64"/>
                <c:pt idx="0">
                  <c:v>SPL7</c:v>
                </c:pt>
                <c:pt idx="1">
                  <c:v>SPL75</c:v>
                </c:pt>
                <c:pt idx="2">
                  <c:v>SPL44</c:v>
                </c:pt>
                <c:pt idx="3">
                  <c:v>SPL76</c:v>
                </c:pt>
                <c:pt idx="4">
                  <c:v>CM42</c:v>
                </c:pt>
                <c:pt idx="5">
                  <c:v>CM24</c:v>
                </c:pt>
                <c:pt idx="6">
                  <c:v>CM48</c:v>
                </c:pt>
                <c:pt idx="7">
                  <c:v>CM27</c:v>
                </c:pt>
                <c:pt idx="8">
                  <c:v>CM4</c:v>
                </c:pt>
                <c:pt idx="9">
                  <c:v>CM44</c:v>
                </c:pt>
                <c:pt idx="10">
                  <c:v>CM23</c:v>
                </c:pt>
                <c:pt idx="11">
                  <c:v>SPL73</c:v>
                </c:pt>
                <c:pt idx="12">
                  <c:v>CM5</c:v>
                </c:pt>
                <c:pt idx="13">
                  <c:v>SPL45</c:v>
                </c:pt>
                <c:pt idx="14">
                  <c:v>SPL54</c:v>
                </c:pt>
                <c:pt idx="15">
                  <c:v>CM26</c:v>
                </c:pt>
                <c:pt idx="16">
                  <c:v>SPL22</c:v>
                </c:pt>
                <c:pt idx="17">
                  <c:v>CM60</c:v>
                </c:pt>
                <c:pt idx="18">
                  <c:v>SPL8</c:v>
                </c:pt>
                <c:pt idx="19">
                  <c:v>SPL74</c:v>
                </c:pt>
                <c:pt idx="20">
                  <c:v>SPL53</c:v>
                </c:pt>
                <c:pt idx="21">
                  <c:v>SPL13</c:v>
                </c:pt>
                <c:pt idx="22">
                  <c:v>CM61</c:v>
                </c:pt>
                <c:pt idx="23">
                  <c:v>CM53</c:v>
                </c:pt>
                <c:pt idx="24">
                  <c:v>SPL33</c:v>
                </c:pt>
                <c:pt idx="25">
                  <c:v>CM34</c:v>
                </c:pt>
                <c:pt idx="26">
                  <c:v>CM29</c:v>
                </c:pt>
                <c:pt idx="27">
                  <c:v>CM6</c:v>
                </c:pt>
                <c:pt idx="28">
                  <c:v>CM21</c:v>
                </c:pt>
                <c:pt idx="29">
                  <c:v>SPL77</c:v>
                </c:pt>
                <c:pt idx="30">
                  <c:v>SPL36</c:v>
                </c:pt>
                <c:pt idx="31">
                  <c:v>SPL14</c:v>
                </c:pt>
                <c:pt idx="32">
                  <c:v>SPL9</c:v>
                </c:pt>
                <c:pt idx="33">
                  <c:v>SPL62</c:v>
                </c:pt>
                <c:pt idx="34">
                  <c:v>CM14</c:v>
                </c:pt>
                <c:pt idx="35">
                  <c:v>SPL72</c:v>
                </c:pt>
                <c:pt idx="36">
                  <c:v>SPL51</c:v>
                </c:pt>
                <c:pt idx="37">
                  <c:v>SPL30</c:v>
                </c:pt>
                <c:pt idx="38">
                  <c:v>SPL16</c:v>
                </c:pt>
                <c:pt idx="39">
                  <c:v>SPL67</c:v>
                </c:pt>
                <c:pt idx="40">
                  <c:v>CM15</c:v>
                </c:pt>
                <c:pt idx="41">
                  <c:v>SPL69</c:v>
                </c:pt>
                <c:pt idx="42">
                  <c:v>CM8</c:v>
                </c:pt>
                <c:pt idx="43">
                  <c:v>CM37</c:v>
                </c:pt>
                <c:pt idx="44">
                  <c:v>SPL47</c:v>
                </c:pt>
                <c:pt idx="45">
                  <c:v>SPL27</c:v>
                </c:pt>
                <c:pt idx="46">
                  <c:v>SPL20</c:v>
                </c:pt>
                <c:pt idx="47">
                  <c:v>CM25</c:v>
                </c:pt>
                <c:pt idx="48">
                  <c:v>CM9</c:v>
                </c:pt>
                <c:pt idx="49">
                  <c:v>SPL25</c:v>
                </c:pt>
                <c:pt idx="50">
                  <c:v>CM59</c:v>
                </c:pt>
                <c:pt idx="51">
                  <c:v>SPL59</c:v>
                </c:pt>
                <c:pt idx="52">
                  <c:v>CM39</c:v>
                </c:pt>
                <c:pt idx="53">
                  <c:v>SPL26</c:v>
                </c:pt>
                <c:pt idx="54">
                  <c:v>SPL18</c:v>
                </c:pt>
                <c:pt idx="55">
                  <c:v>CM19</c:v>
                </c:pt>
                <c:pt idx="56">
                  <c:v>SPL37</c:v>
                </c:pt>
                <c:pt idx="57">
                  <c:v>SPL17</c:v>
                </c:pt>
                <c:pt idx="58">
                  <c:v>SPL34</c:v>
                </c:pt>
                <c:pt idx="59">
                  <c:v>SPL56</c:v>
                </c:pt>
                <c:pt idx="60">
                  <c:v>CM7</c:v>
                </c:pt>
                <c:pt idx="61">
                  <c:v>SPL70</c:v>
                </c:pt>
                <c:pt idx="62">
                  <c:v>SPL23</c:v>
                </c:pt>
                <c:pt idx="63">
                  <c:v>CM10</c:v>
                </c:pt>
              </c:strCache>
            </c:strRef>
          </c:cat>
          <c:val>
            <c:numRef>
              <c:f>Sommaire!$H$7:$H$70</c:f>
              <c:numCache>
                <c:formatCode>0%</c:formatCode>
                <c:ptCount val="64"/>
                <c:pt idx="0">
                  <c:v>-0.13886196891739105</c:v>
                </c:pt>
                <c:pt idx="1">
                  <c:v>-8.1202868463774086E-2</c:v>
                </c:pt>
                <c:pt idx="2">
                  <c:v>-7.7949228715396932E-2</c:v>
                </c:pt>
                <c:pt idx="3">
                  <c:v>-3.6739297226794372E-2</c:v>
                </c:pt>
                <c:pt idx="4">
                  <c:v>-2.8390254182633783E-2</c:v>
                </c:pt>
                <c:pt idx="5">
                  <c:v>-1.2645372924744904E-2</c:v>
                </c:pt>
                <c:pt idx="6">
                  <c:v>-2.2539430861369006E-3</c:v>
                </c:pt>
                <c:pt idx="7">
                  <c:v>-5.8524470027216595E-4</c:v>
                </c:pt>
                <c:pt idx="8">
                  <c:v>3.3649266782541806E-2</c:v>
                </c:pt>
                <c:pt idx="9">
                  <c:v>4.4856020878541153E-2</c:v>
                </c:pt>
                <c:pt idx="10">
                  <c:v>5.6751615124563608E-2</c:v>
                </c:pt>
                <c:pt idx="11">
                  <c:v>6.5171273301103214E-2</c:v>
                </c:pt>
                <c:pt idx="12">
                  <c:v>7.3387379815745363E-2</c:v>
                </c:pt>
                <c:pt idx="13">
                  <c:v>7.4034289363546335E-2</c:v>
                </c:pt>
                <c:pt idx="14">
                  <c:v>7.6281167275866063E-2</c:v>
                </c:pt>
                <c:pt idx="15">
                  <c:v>7.8860025100178088E-2</c:v>
                </c:pt>
                <c:pt idx="16">
                  <c:v>8.5369040151963144E-2</c:v>
                </c:pt>
                <c:pt idx="17">
                  <c:v>9.2716275370417725E-2</c:v>
                </c:pt>
                <c:pt idx="18">
                  <c:v>0.10224957677131376</c:v>
                </c:pt>
                <c:pt idx="19">
                  <c:v>0.10284570659872111</c:v>
                </c:pt>
                <c:pt idx="20">
                  <c:v>0.11111696314659138</c:v>
                </c:pt>
                <c:pt idx="21">
                  <c:v>0.1180156626000117</c:v>
                </c:pt>
                <c:pt idx="22">
                  <c:v>0.12323997387041483</c:v>
                </c:pt>
                <c:pt idx="23">
                  <c:v>0.12386520021607297</c:v>
                </c:pt>
                <c:pt idx="24">
                  <c:v>0.1267964282125813</c:v>
                </c:pt>
                <c:pt idx="25">
                  <c:v>0.13142815406414618</c:v>
                </c:pt>
                <c:pt idx="26">
                  <c:v>0.13988953571210672</c:v>
                </c:pt>
                <c:pt idx="27">
                  <c:v>0.1444279423499723</c:v>
                </c:pt>
                <c:pt idx="28">
                  <c:v>0.14879782333000199</c:v>
                </c:pt>
                <c:pt idx="29">
                  <c:v>0.15483819103506682</c:v>
                </c:pt>
                <c:pt idx="30">
                  <c:v>0.15509409023062568</c:v>
                </c:pt>
                <c:pt idx="31">
                  <c:v>0.1618650971373724</c:v>
                </c:pt>
                <c:pt idx="32">
                  <c:v>0.16648161200782882</c:v>
                </c:pt>
                <c:pt idx="33">
                  <c:v>0.16662613180241764</c:v>
                </c:pt>
                <c:pt idx="34">
                  <c:v>0.16789321502685853</c:v>
                </c:pt>
                <c:pt idx="35">
                  <c:v>0.16894882838241029</c:v>
                </c:pt>
                <c:pt idx="36">
                  <c:v>0.16996498882852856</c:v>
                </c:pt>
                <c:pt idx="37">
                  <c:v>0.19621606102060379</c:v>
                </c:pt>
                <c:pt idx="38">
                  <c:v>0.20062398826092726</c:v>
                </c:pt>
                <c:pt idx="39">
                  <c:v>0.21615124814929013</c:v>
                </c:pt>
                <c:pt idx="40">
                  <c:v>0.22044419704528945</c:v>
                </c:pt>
                <c:pt idx="41">
                  <c:v>0.22250268039400242</c:v>
                </c:pt>
                <c:pt idx="42">
                  <c:v>0.22469447320255359</c:v>
                </c:pt>
                <c:pt idx="43">
                  <c:v>0.23442549295994741</c:v>
                </c:pt>
                <c:pt idx="44">
                  <c:v>0.2405917656979451</c:v>
                </c:pt>
                <c:pt idx="45">
                  <c:v>0.24624761491870265</c:v>
                </c:pt>
                <c:pt idx="46">
                  <c:v>0.2542133419223106</c:v>
                </c:pt>
                <c:pt idx="47">
                  <c:v>0.26162982746124513</c:v>
                </c:pt>
                <c:pt idx="48">
                  <c:v>0.26593398368750354</c:v>
                </c:pt>
                <c:pt idx="49">
                  <c:v>0.2857966816636307</c:v>
                </c:pt>
                <c:pt idx="50">
                  <c:v>0.29274224140205907</c:v>
                </c:pt>
                <c:pt idx="51">
                  <c:v>0.30262597417576237</c:v>
                </c:pt>
                <c:pt idx="52">
                  <c:v>0.3057336024466446</c:v>
                </c:pt>
                <c:pt idx="53">
                  <c:v>0.31106910014951356</c:v>
                </c:pt>
                <c:pt idx="54">
                  <c:v>0.3161977365599884</c:v>
                </c:pt>
                <c:pt idx="55">
                  <c:v>0.34569460345087638</c:v>
                </c:pt>
                <c:pt idx="56">
                  <c:v>0.34881411287315928</c:v>
                </c:pt>
                <c:pt idx="57">
                  <c:v>0.35481602519758837</c:v>
                </c:pt>
                <c:pt idx="58">
                  <c:v>0.35666684749246053</c:v>
                </c:pt>
                <c:pt idx="59">
                  <c:v>0.35745638795480805</c:v>
                </c:pt>
                <c:pt idx="60">
                  <c:v>0.36197110784800807</c:v>
                </c:pt>
                <c:pt idx="61">
                  <c:v>0.36795775592287377</c:v>
                </c:pt>
                <c:pt idx="62">
                  <c:v>0.37621396741648711</c:v>
                </c:pt>
                <c:pt idx="63">
                  <c:v>0.39421541108188113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D0-4192-97BE-CF54DFA722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26"/>
        <c:overlap val="-58"/>
        <c:axId val="186969615"/>
        <c:axId val="186970095"/>
      </c:barChart>
      <c:catAx>
        <c:axId val="186969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6970095"/>
        <c:crosses val="autoZero"/>
        <c:auto val="1"/>
        <c:lblAlgn val="ctr"/>
        <c:lblOffset val="100"/>
        <c:noMultiLvlLbl val="0"/>
      </c:catAx>
      <c:valAx>
        <c:axId val="18697009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6969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1.png"/><Relationship Id="rId1" Type="http://schemas.openxmlformats.org/officeDocument/2006/relationships/hyperlink" Target="https://cloud.letsignit.com/collect/bc/65c3b405c949a9a08dec1cdb?p=-_B87OXww5K4qC06RzEQQSuE3s_rvrSEcAlqnQUMvanyn1v6QuQHT2Of-kYqTPu4lFrkuDBN443253IfGNYjE7ZhQeMNa1UOI9A6-YlWj8M7L7TGkwFEL73eIqC05MYB0P8qy6FrU9gccLQ9XiEo-RQTTmPUjJGaiVnQ6FKPiPw=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114300</xdr:rowOff>
    </xdr:from>
    <xdr:to>
      <xdr:col>1</xdr:col>
      <xdr:colOff>1452365</xdr:colOff>
      <xdr:row>3</xdr:row>
      <xdr:rowOff>57150</xdr:rowOff>
    </xdr:to>
    <xdr:pic>
      <xdr:nvPicPr>
        <xdr:cNvPr id="4" name="image_0" descr="parnass-transports.com">
          <a:hlinkClick xmlns:r="http://schemas.openxmlformats.org/officeDocument/2006/relationships" r:id="rId1" tooltip="parnass-transports.com"/>
          <a:extLst>
            <a:ext uri="{FF2B5EF4-FFF2-40B4-BE49-F238E27FC236}">
              <a16:creationId xmlns:a16="http://schemas.microsoft.com/office/drawing/2014/main" id="{F33B8735-62AF-4AC1-85B8-06AE41258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14300"/>
          <a:ext cx="2140070" cy="510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295275</xdr:colOff>
      <xdr:row>8</xdr:row>
      <xdr:rowOff>104775</xdr:rowOff>
    </xdr:from>
    <xdr:to>
      <xdr:col>16</xdr:col>
      <xdr:colOff>752475</xdr:colOff>
      <xdr:row>69</xdr:row>
      <xdr:rowOff>180975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624E45C8-5223-7D46-BDE8-09BF25C737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Capitaux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96A9A9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5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C408B-9936-46BC-BF1A-FD31515238F6}">
  <dimension ref="A1:H25"/>
  <sheetViews>
    <sheetView workbookViewId="0">
      <selection activeCell="I18" sqref="I18"/>
    </sheetView>
  </sheetViews>
  <sheetFormatPr baseColWidth="10" defaultRowHeight="14.4" x14ac:dyDescent="0.3"/>
  <cols>
    <col min="1" max="1" width="35.6640625" bestFit="1" customWidth="1"/>
    <col min="2" max="2" width="9.6640625" bestFit="1" customWidth="1"/>
    <col min="3" max="3" width="19" bestFit="1" customWidth="1"/>
    <col min="4" max="4" width="15.109375" bestFit="1" customWidth="1"/>
    <col min="5" max="5" width="11.6640625" bestFit="1" customWidth="1"/>
    <col min="6" max="6" width="16.6640625" bestFit="1" customWidth="1"/>
    <col min="7" max="7" width="22" bestFit="1" customWidth="1"/>
    <col min="8" max="8" width="9.44140625" bestFit="1" customWidth="1"/>
  </cols>
  <sheetData>
    <row r="1" spans="1:8" ht="18" x14ac:dyDescent="0.35">
      <c r="A1" s="19" t="s">
        <v>23</v>
      </c>
      <c r="B1" s="20" t="s">
        <v>24</v>
      </c>
      <c r="C1" s="20" t="s">
        <v>25</v>
      </c>
      <c r="D1" s="20" t="s">
        <v>26</v>
      </c>
      <c r="E1" s="20" t="s">
        <v>27</v>
      </c>
      <c r="F1" s="20" t="s">
        <v>28</v>
      </c>
      <c r="G1" s="21" t="s">
        <v>29</v>
      </c>
      <c r="H1" s="22" t="s">
        <v>30</v>
      </c>
    </row>
    <row r="2" spans="1:8" ht="15.6" x14ac:dyDescent="0.3">
      <c r="A2" s="23" t="s">
        <v>31</v>
      </c>
      <c r="B2" s="24" t="s">
        <v>32</v>
      </c>
      <c r="C2" s="25" t="str">
        <f t="shared" ref="C2" si="0">+CONCATENATE(A2,B2)</f>
        <v>Porteur SWAPGO</v>
      </c>
      <c r="D2" s="24">
        <v>2500</v>
      </c>
      <c r="E2" s="25">
        <f t="shared" ref="E2:E15" si="1">+F2+G2</f>
        <v>7.0000000000000007E-2</v>
      </c>
      <c r="F2" s="25">
        <v>3.5000000000000003E-2</v>
      </c>
      <c r="G2" s="26">
        <v>3.5000000000000003E-2</v>
      </c>
      <c r="H2" s="27">
        <v>30</v>
      </c>
    </row>
    <row r="3" spans="1:8" ht="15.6" x14ac:dyDescent="0.3">
      <c r="A3" s="23" t="s">
        <v>33</v>
      </c>
      <c r="B3" s="24" t="s">
        <v>32</v>
      </c>
      <c r="C3" s="25" t="str">
        <f>+CONCATENATE(A3,B3)</f>
        <v>Tracteur GO</v>
      </c>
      <c r="D3" s="24">
        <v>2300</v>
      </c>
      <c r="E3" s="25">
        <f t="shared" si="1"/>
        <v>0.05</v>
      </c>
      <c r="F3" s="25">
        <v>2.5000000000000001E-2</v>
      </c>
      <c r="G3" s="26">
        <v>2.5000000000000001E-2</v>
      </c>
      <c r="H3" s="27">
        <v>28</v>
      </c>
    </row>
    <row r="4" spans="1:8" ht="15.6" x14ac:dyDescent="0.3">
      <c r="A4" s="23" t="s">
        <v>31</v>
      </c>
      <c r="B4" s="24" t="s">
        <v>34</v>
      </c>
      <c r="C4" s="25" t="str">
        <f t="shared" ref="C4" si="2">+CONCATENATE(A4,B4)</f>
        <v>Porteur SWAPGNC</v>
      </c>
      <c r="D4" s="24">
        <v>3000</v>
      </c>
      <c r="E4" s="25">
        <f t="shared" si="1"/>
        <v>0.08</v>
      </c>
      <c r="F4" s="25">
        <v>3.5000000000000003E-2</v>
      </c>
      <c r="G4" s="26">
        <v>4.4999999999999998E-2</v>
      </c>
      <c r="H4" s="27">
        <v>33</v>
      </c>
    </row>
    <row r="5" spans="1:8" ht="15.6" x14ac:dyDescent="0.3">
      <c r="A5" s="23" t="s">
        <v>33</v>
      </c>
      <c r="B5" s="24" t="s">
        <v>34</v>
      </c>
      <c r="C5" s="25" t="str">
        <f>+CONCATENATE(A5,B5)</f>
        <v>Tracteur GNC</v>
      </c>
      <c r="D5" s="24">
        <v>2500</v>
      </c>
      <c r="E5" s="25">
        <f t="shared" si="1"/>
        <v>6.0000000000000005E-2</v>
      </c>
      <c r="F5" s="25">
        <v>2.5000000000000001E-2</v>
      </c>
      <c r="G5" s="26">
        <v>3.5000000000000003E-2</v>
      </c>
      <c r="H5" s="27">
        <v>30.5</v>
      </c>
    </row>
    <row r="6" spans="1:8" ht="15.6" x14ac:dyDescent="0.3">
      <c r="A6" s="28"/>
      <c r="B6" s="29"/>
      <c r="C6" s="30"/>
      <c r="D6" s="31"/>
      <c r="E6" s="31"/>
      <c r="F6" s="31"/>
      <c r="G6" s="31"/>
    </row>
    <row r="7" spans="1:8" ht="15.6" x14ac:dyDescent="0.3">
      <c r="A7" s="32" t="s">
        <v>35</v>
      </c>
      <c r="B7" s="33"/>
      <c r="C7" s="25" t="str">
        <f t="shared" ref="C7:C16" si="3">+CONCATENATE(A7,B7)</f>
        <v>Aérienne Bachée</v>
      </c>
      <c r="D7" s="34">
        <v>1200</v>
      </c>
      <c r="E7" s="25">
        <f t="shared" si="1"/>
        <v>0.05</v>
      </c>
      <c r="F7" s="25">
        <v>2.5000000000000001E-2</v>
      </c>
      <c r="G7" s="26">
        <v>2.5000000000000001E-2</v>
      </c>
      <c r="H7" s="35"/>
    </row>
    <row r="8" spans="1:8" ht="15.6" x14ac:dyDescent="0.3">
      <c r="A8" s="36" t="s">
        <v>36</v>
      </c>
      <c r="B8" s="37"/>
      <c r="C8" s="25" t="str">
        <f t="shared" si="3"/>
        <v>Aérienne Classique</v>
      </c>
      <c r="D8" s="24">
        <v>1200</v>
      </c>
      <c r="E8" s="25">
        <f t="shared" si="1"/>
        <v>0.05</v>
      </c>
      <c r="F8" s="25">
        <v>2.5000000000000001E-2</v>
      </c>
      <c r="G8" s="26">
        <v>2.5000000000000001E-2</v>
      </c>
      <c r="H8" s="35"/>
    </row>
    <row r="9" spans="1:8" ht="15.6" x14ac:dyDescent="0.3">
      <c r="A9" s="32" t="s">
        <v>37</v>
      </c>
      <c r="B9" s="33"/>
      <c r="C9" s="25" t="str">
        <f t="shared" si="3"/>
        <v>Aérienne Frigo</v>
      </c>
      <c r="D9" s="24">
        <v>1400</v>
      </c>
      <c r="E9" s="25">
        <f t="shared" si="1"/>
        <v>0.05</v>
      </c>
      <c r="F9" s="25">
        <v>2.5000000000000001E-2</v>
      </c>
      <c r="G9" s="26">
        <v>2.5000000000000001E-2</v>
      </c>
      <c r="H9" s="35"/>
    </row>
    <row r="10" spans="1:8" ht="15.6" x14ac:dyDescent="0.3">
      <c r="A10" s="32" t="s">
        <v>38</v>
      </c>
      <c r="B10" s="33"/>
      <c r="C10" s="25" t="str">
        <f t="shared" si="3"/>
        <v>Aérienne Méga</v>
      </c>
      <c r="D10" s="24">
        <v>1400</v>
      </c>
      <c r="E10" s="25">
        <f t="shared" si="1"/>
        <v>0.05</v>
      </c>
      <c r="F10" s="25">
        <v>2.5000000000000001E-2</v>
      </c>
      <c r="G10" s="26">
        <v>2.5000000000000001E-2</v>
      </c>
      <c r="H10" s="35"/>
    </row>
    <row r="11" spans="1:8" ht="15.6" x14ac:dyDescent="0.3">
      <c r="A11" s="32" t="s">
        <v>39</v>
      </c>
      <c r="B11" s="33"/>
      <c r="C11" s="25" t="str">
        <f t="shared" si="3"/>
        <v>SR Classique</v>
      </c>
      <c r="D11" s="24">
        <v>1000</v>
      </c>
      <c r="E11" s="25">
        <f t="shared" si="1"/>
        <v>0.05</v>
      </c>
      <c r="F11" s="25">
        <v>2.5000000000000001E-2</v>
      </c>
      <c r="G11" s="26">
        <v>2.5000000000000001E-2</v>
      </c>
      <c r="H11" s="35"/>
    </row>
    <row r="12" spans="1:8" ht="15.6" x14ac:dyDescent="0.3">
      <c r="A12" s="32" t="s">
        <v>40</v>
      </c>
      <c r="B12" s="33"/>
      <c r="C12" s="25" t="str">
        <f t="shared" si="3"/>
        <v>SR Frigo</v>
      </c>
      <c r="D12" s="24">
        <v>1400</v>
      </c>
      <c r="E12" s="25">
        <f t="shared" si="1"/>
        <v>0.05</v>
      </c>
      <c r="F12" s="25">
        <v>2.5000000000000001E-2</v>
      </c>
      <c r="G12" s="26">
        <v>2.5000000000000001E-2</v>
      </c>
      <c r="H12" s="35"/>
    </row>
    <row r="13" spans="1:8" ht="15.6" x14ac:dyDescent="0.3">
      <c r="A13" s="32" t="s">
        <v>41</v>
      </c>
      <c r="B13" s="33"/>
      <c r="C13" s="25" t="str">
        <f t="shared" si="3"/>
        <v>SR Méga &amp; Frigo</v>
      </c>
      <c r="D13" s="24">
        <v>1400</v>
      </c>
      <c r="E13" s="25">
        <f t="shared" si="1"/>
        <v>0.05</v>
      </c>
      <c r="F13" s="25">
        <v>2.5000000000000001E-2</v>
      </c>
      <c r="G13" s="26">
        <v>2.5000000000000001E-2</v>
      </c>
      <c r="H13" s="35"/>
    </row>
    <row r="14" spans="1:8" ht="15.6" x14ac:dyDescent="0.3">
      <c r="A14" s="32" t="s">
        <v>42</v>
      </c>
      <c r="B14" s="33"/>
      <c r="C14" s="25" t="str">
        <f t="shared" si="3"/>
        <v>SR Porte Conteneur</v>
      </c>
      <c r="D14" s="24">
        <v>400</v>
      </c>
      <c r="E14" s="25">
        <f t="shared" si="1"/>
        <v>7.0000000000000007E-2</v>
      </c>
      <c r="F14" s="25">
        <v>3.5000000000000003E-2</v>
      </c>
      <c r="G14" s="26">
        <v>3.5000000000000003E-2</v>
      </c>
      <c r="H14" s="35"/>
    </row>
    <row r="15" spans="1:8" ht="15.6" x14ac:dyDescent="0.3">
      <c r="A15" s="32" t="s">
        <v>43</v>
      </c>
      <c r="B15" s="33"/>
      <c r="C15" s="25" t="str">
        <f t="shared" si="3"/>
        <v>Remorque SWAP</v>
      </c>
      <c r="D15" s="24">
        <v>400</v>
      </c>
      <c r="E15" s="25">
        <f t="shared" si="1"/>
        <v>7.0000000000000007E-2</v>
      </c>
      <c r="F15" s="25">
        <v>3.5000000000000003E-2</v>
      </c>
      <c r="G15" s="26">
        <v>3.5000000000000003E-2</v>
      </c>
      <c r="H15" s="35"/>
    </row>
    <row r="16" spans="1:8" ht="15.6" x14ac:dyDescent="0.3">
      <c r="A16" s="60" t="s">
        <v>69</v>
      </c>
      <c r="C16" s="61" t="str">
        <f t="shared" si="3"/>
        <v>AUCUNE</v>
      </c>
      <c r="D16" s="62">
        <v>0</v>
      </c>
    </row>
    <row r="17" spans="1:3" ht="15.6" x14ac:dyDescent="0.3">
      <c r="A17" s="38" t="s">
        <v>44</v>
      </c>
    </row>
    <row r="18" spans="1:3" ht="15.6" x14ac:dyDescent="0.3">
      <c r="A18" s="28" t="s">
        <v>58</v>
      </c>
      <c r="B18">
        <v>55.28</v>
      </c>
      <c r="C18" t="s">
        <v>59</v>
      </c>
    </row>
    <row r="20" spans="1:3" x14ac:dyDescent="0.3">
      <c r="A20" t="s">
        <v>57</v>
      </c>
    </row>
    <row r="21" spans="1:3" x14ac:dyDescent="0.3">
      <c r="A21" t="s">
        <v>55</v>
      </c>
      <c r="B21">
        <v>1000</v>
      </c>
      <c r="C21" t="s">
        <v>248</v>
      </c>
    </row>
    <row r="22" spans="1:3" x14ac:dyDescent="0.3">
      <c r="A22" t="s">
        <v>56</v>
      </c>
      <c r="B22">
        <v>1100</v>
      </c>
      <c r="C22" t="s">
        <v>249</v>
      </c>
    </row>
    <row r="24" spans="1:3" x14ac:dyDescent="0.3">
      <c r="A24" t="s">
        <v>64</v>
      </c>
    </row>
    <row r="25" spans="1:3" x14ac:dyDescent="0.3">
      <c r="A25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D4420-5774-4B0F-8DEA-AD1204FBBBEB}">
  <sheetPr>
    <tabColor rgb="FFC00000"/>
    <pageSetUpPr fitToPage="1"/>
  </sheetPr>
  <dimension ref="A1:R72"/>
  <sheetViews>
    <sheetView tabSelected="1" zoomScaleNormal="100" workbookViewId="0">
      <selection sqref="A1:R4"/>
    </sheetView>
  </sheetViews>
  <sheetFormatPr baseColWidth="10" defaultRowHeight="14.4" x14ac:dyDescent="0.3"/>
  <cols>
    <col min="2" max="2" width="34.44140625" bestFit="1" customWidth="1"/>
    <col min="3" max="3" width="17.6640625" bestFit="1" customWidth="1"/>
    <col min="4" max="5" width="17.33203125" bestFit="1" customWidth="1"/>
    <col min="6" max="6" width="34.33203125" customWidth="1"/>
    <col min="7" max="7" width="10.109375" bestFit="1" customWidth="1"/>
    <col min="8" max="8" width="13.33203125" bestFit="1" customWidth="1"/>
  </cols>
  <sheetData>
    <row r="1" spans="1:18" ht="15" customHeight="1" x14ac:dyDescent="0.3">
      <c r="A1" s="133" t="s">
        <v>719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</row>
    <row r="2" spans="1:18" ht="15" customHeight="1" x14ac:dyDescent="0.3">
      <c r="A2" s="133"/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</row>
    <row r="3" spans="1:18" ht="15" customHeight="1" x14ac:dyDescent="0.3">
      <c r="A3" s="133"/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</row>
    <row r="4" spans="1:18" ht="15" customHeight="1" x14ac:dyDescent="0.3">
      <c r="A4" s="133"/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</row>
    <row r="5" spans="1:18" x14ac:dyDescent="0.3">
      <c r="K5" s="105" t="s">
        <v>77</v>
      </c>
      <c r="L5" s="105" t="s">
        <v>48</v>
      </c>
    </row>
    <row r="6" spans="1:18" x14ac:dyDescent="0.3">
      <c r="A6" s="105" t="s">
        <v>74</v>
      </c>
      <c r="B6" s="105" t="s">
        <v>75</v>
      </c>
      <c r="C6" s="105" t="s">
        <v>716</v>
      </c>
      <c r="D6" s="105" t="s">
        <v>717</v>
      </c>
      <c r="E6" s="105" t="s">
        <v>718</v>
      </c>
      <c r="F6" s="105" t="s">
        <v>76</v>
      </c>
      <c r="G6" s="105" t="s">
        <v>77</v>
      </c>
      <c r="H6" s="105" t="s">
        <v>48</v>
      </c>
      <c r="J6" s="107" t="s">
        <v>678</v>
      </c>
      <c r="K6" s="109" t="s">
        <v>678</v>
      </c>
      <c r="L6" s="111">
        <f>'Cumul CM'!D48</f>
        <v>0.17798099230714479</v>
      </c>
    </row>
    <row r="7" spans="1:18" x14ac:dyDescent="0.3">
      <c r="A7" s="27" t="s">
        <v>172</v>
      </c>
      <c r="B7" s="46" t="s">
        <v>173</v>
      </c>
      <c r="C7" s="46" t="str">
        <f>'SPL7'!B7</f>
        <v>AMRAOUI</v>
      </c>
      <c r="D7" s="46" t="str">
        <f>'SPL7'!C7</f>
        <v>TURQUETIL Y.</v>
      </c>
      <c r="E7" s="46"/>
      <c r="F7" s="27" t="s">
        <v>178</v>
      </c>
      <c r="G7" s="64" t="s">
        <v>168</v>
      </c>
      <c r="H7" s="71">
        <f>'SPL7'!D48</f>
        <v>-0.13886196891739105</v>
      </c>
      <c r="K7" s="110"/>
      <c r="L7" s="110"/>
    </row>
    <row r="8" spans="1:18" x14ac:dyDescent="0.3">
      <c r="A8" s="27" t="s">
        <v>317</v>
      </c>
      <c r="B8" s="46" t="s">
        <v>287</v>
      </c>
      <c r="C8" s="46" t="str">
        <f>'SPL75'!B7</f>
        <v>JADE ZINE</v>
      </c>
      <c r="D8" s="46"/>
      <c r="E8" s="46"/>
      <c r="F8" s="27" t="s">
        <v>345</v>
      </c>
      <c r="G8" s="64" t="s">
        <v>425</v>
      </c>
      <c r="H8" s="71">
        <f>'SPL75'!D48</f>
        <v>-8.1202868463774086E-2</v>
      </c>
      <c r="J8" s="108" t="s">
        <v>679</v>
      </c>
      <c r="K8" s="109" t="s">
        <v>679</v>
      </c>
      <c r="L8" s="111">
        <f>'CUMUL SPL'!D48</f>
        <v>0.21601596215852997</v>
      </c>
    </row>
    <row r="9" spans="1:18" x14ac:dyDescent="0.3">
      <c r="A9" s="27" t="s">
        <v>516</v>
      </c>
      <c r="B9" s="46" t="s">
        <v>669</v>
      </c>
      <c r="C9" s="46" t="str">
        <f>'SPL44'!B7</f>
        <v>FOFANA M.</v>
      </c>
      <c r="D9" s="46"/>
      <c r="E9" s="46"/>
      <c r="F9" s="27" t="s">
        <v>670</v>
      </c>
      <c r="G9" s="64" t="s">
        <v>668</v>
      </c>
      <c r="H9" s="71">
        <f>'SPL44'!D48</f>
        <v>-7.7949228715396932E-2</v>
      </c>
    </row>
    <row r="10" spans="1:18" x14ac:dyDescent="0.3">
      <c r="A10" s="27" t="s">
        <v>318</v>
      </c>
      <c r="B10" s="46" t="s">
        <v>287</v>
      </c>
      <c r="C10" s="46" t="str">
        <f>'SPL76'!B7</f>
        <v>EL MOUMNI</v>
      </c>
      <c r="D10" s="46"/>
      <c r="E10" s="46"/>
      <c r="F10" s="27" t="s">
        <v>344</v>
      </c>
      <c r="G10" s="64" t="s">
        <v>428</v>
      </c>
      <c r="H10" s="71">
        <f>'SPL76'!D48</f>
        <v>-3.6739297226794372E-2</v>
      </c>
    </row>
    <row r="11" spans="1:18" x14ac:dyDescent="0.3">
      <c r="A11" s="27" t="s">
        <v>307</v>
      </c>
      <c r="B11" s="46" t="s">
        <v>333</v>
      </c>
      <c r="C11" s="46" t="str">
        <f>'CM42'!B7</f>
        <v>MADANI</v>
      </c>
      <c r="D11" s="46"/>
      <c r="E11" s="46"/>
      <c r="F11" s="27" t="s">
        <v>335</v>
      </c>
      <c r="G11" s="64" t="s">
        <v>379</v>
      </c>
      <c r="H11" s="71">
        <f>'CM42'!D48</f>
        <v>-2.8390254182633783E-2</v>
      </c>
    </row>
    <row r="12" spans="1:18" x14ac:dyDescent="0.3">
      <c r="A12" s="27" t="s">
        <v>314</v>
      </c>
      <c r="B12" s="46" t="s">
        <v>333</v>
      </c>
      <c r="C12" s="46" t="str">
        <f>'CM24'!B7</f>
        <v>MOREL</v>
      </c>
      <c r="D12" s="46"/>
      <c r="E12" s="46"/>
      <c r="F12" s="27" t="s">
        <v>342</v>
      </c>
      <c r="G12" s="64" t="s">
        <v>416</v>
      </c>
      <c r="H12" s="71">
        <f>'CM24'!D48</f>
        <v>-1.2645372924744904E-2</v>
      </c>
    </row>
    <row r="13" spans="1:18" x14ac:dyDescent="0.3">
      <c r="A13" s="27" t="s">
        <v>306</v>
      </c>
      <c r="B13" s="46" t="s">
        <v>333</v>
      </c>
      <c r="C13" s="46" t="str">
        <f>'CM48'!B7</f>
        <v>BOUTCHIHI</v>
      </c>
      <c r="D13" s="46"/>
      <c r="E13" s="46"/>
      <c r="F13" s="27" t="s">
        <v>334</v>
      </c>
      <c r="G13" s="64" t="s">
        <v>785</v>
      </c>
      <c r="H13" s="71">
        <f>'CM48'!D48</f>
        <v>-2.2539430861369006E-3</v>
      </c>
    </row>
    <row r="14" spans="1:18" x14ac:dyDescent="0.3">
      <c r="A14" s="27" t="s">
        <v>313</v>
      </c>
      <c r="B14" s="46" t="s">
        <v>278</v>
      </c>
      <c r="C14" s="46" t="str">
        <f>'CM27'!B7</f>
        <v>JARDANI</v>
      </c>
      <c r="D14" s="46"/>
      <c r="E14" s="46"/>
      <c r="F14" s="27" t="s">
        <v>341</v>
      </c>
      <c r="G14" s="64" t="s">
        <v>410</v>
      </c>
      <c r="H14" s="71">
        <f>'CM27'!D48</f>
        <v>-5.8524470027216595E-4</v>
      </c>
    </row>
    <row r="15" spans="1:18" x14ac:dyDescent="0.3">
      <c r="A15" s="27" t="s">
        <v>78</v>
      </c>
      <c r="B15" s="46" t="s">
        <v>79</v>
      </c>
      <c r="C15" s="46" t="str">
        <f>'CM4'!B7</f>
        <v>VITALI</v>
      </c>
      <c r="D15" s="46"/>
      <c r="E15" s="46"/>
      <c r="F15" s="27" t="s">
        <v>80</v>
      </c>
      <c r="G15" s="64" t="s">
        <v>81</v>
      </c>
      <c r="H15" s="71">
        <f>'CM4'!D48</f>
        <v>3.3649266782541806E-2</v>
      </c>
    </row>
    <row r="16" spans="1:18" x14ac:dyDescent="0.3">
      <c r="A16" s="27" t="s">
        <v>141</v>
      </c>
      <c r="B16" s="46" t="s">
        <v>79</v>
      </c>
      <c r="C16" s="46" t="str">
        <f>'CM44'!B7</f>
        <v>MALLE Karim</v>
      </c>
      <c r="D16" s="46" t="str">
        <f>'CM44'!C7</f>
        <v>PIEL Flavien</v>
      </c>
      <c r="E16" s="46"/>
      <c r="F16" s="27" t="s">
        <v>142</v>
      </c>
      <c r="G16" s="64" t="s">
        <v>143</v>
      </c>
      <c r="H16" s="71">
        <f>'CM44'!D49</f>
        <v>4.4856020878541153E-2</v>
      </c>
    </row>
    <row r="17" spans="1:8" x14ac:dyDescent="0.3">
      <c r="A17" s="27" t="s">
        <v>242</v>
      </c>
      <c r="B17" s="46" t="s">
        <v>230</v>
      </c>
      <c r="C17" s="46" t="str">
        <f>'CM23'!B7</f>
        <v>ANSEUR</v>
      </c>
      <c r="D17" s="46"/>
      <c r="E17" s="46"/>
      <c r="F17" s="27" t="s">
        <v>243</v>
      </c>
      <c r="G17" s="64" t="s">
        <v>244</v>
      </c>
      <c r="H17" s="71">
        <f>'CM23'!D48</f>
        <v>5.6751615124563608E-2</v>
      </c>
    </row>
    <row r="18" spans="1:8" x14ac:dyDescent="0.3">
      <c r="A18" s="27" t="s">
        <v>177</v>
      </c>
      <c r="B18" s="46" t="s">
        <v>173</v>
      </c>
      <c r="C18" s="46" t="str">
        <f>'SPL73'!B7</f>
        <v>BURLACU</v>
      </c>
      <c r="D18" s="46"/>
      <c r="E18" s="46"/>
      <c r="F18" s="27" t="s">
        <v>198</v>
      </c>
      <c r="G18" s="64" t="s">
        <v>171</v>
      </c>
      <c r="H18" s="71">
        <f>'SPL73'!D48</f>
        <v>6.5171273301103214E-2</v>
      </c>
    </row>
    <row r="19" spans="1:8" x14ac:dyDescent="0.3">
      <c r="A19" s="27" t="s">
        <v>128</v>
      </c>
      <c r="B19" s="46" t="s">
        <v>129</v>
      </c>
      <c r="C19" s="46" t="str">
        <f>'CM5'!B7</f>
        <v>KONTE</v>
      </c>
      <c r="D19" s="46" t="str">
        <f>'CM5'!C7</f>
        <v>DAJ Victor</v>
      </c>
      <c r="E19" s="46" t="str">
        <f>'CM5'!D7</f>
        <v xml:space="preserve">ABDAL </v>
      </c>
      <c r="F19" s="27" t="s">
        <v>130</v>
      </c>
      <c r="G19" s="64" t="s">
        <v>140</v>
      </c>
      <c r="H19" s="71">
        <f>'CM5'!D49</f>
        <v>7.3387379815745363E-2</v>
      </c>
    </row>
    <row r="20" spans="1:8" x14ac:dyDescent="0.3">
      <c r="A20" s="27" t="s">
        <v>515</v>
      </c>
      <c r="B20" s="46" t="s">
        <v>362</v>
      </c>
      <c r="C20" s="46" t="str">
        <f>'SPL45'!B7</f>
        <v>TATAR M.</v>
      </c>
      <c r="D20" s="46"/>
      <c r="E20" s="46"/>
      <c r="F20" s="27" t="s">
        <v>342</v>
      </c>
      <c r="G20" s="64" t="s">
        <v>675</v>
      </c>
      <c r="H20" s="71">
        <f>'SPL45'!D48</f>
        <v>7.4034289363546335E-2</v>
      </c>
    </row>
    <row r="21" spans="1:8" x14ac:dyDescent="0.3">
      <c r="A21" s="27" t="s">
        <v>328</v>
      </c>
      <c r="B21" s="46" t="s">
        <v>360</v>
      </c>
      <c r="C21" s="46" t="str">
        <f>'SPL54'!B7</f>
        <v>JEBALI</v>
      </c>
      <c r="D21" s="46"/>
      <c r="E21" s="46"/>
      <c r="F21" s="27" t="s">
        <v>361</v>
      </c>
      <c r="G21" s="64" t="s">
        <v>495</v>
      </c>
      <c r="H21" s="71">
        <f>'SPL54'!D48</f>
        <v>7.6281167275866063E-2</v>
      </c>
    </row>
    <row r="22" spans="1:8" x14ac:dyDescent="0.3">
      <c r="A22" s="27" t="s">
        <v>277</v>
      </c>
      <c r="B22" s="46" t="s">
        <v>278</v>
      </c>
      <c r="C22" s="46" t="str">
        <f>'CM26'!B7</f>
        <v>BENALI</v>
      </c>
      <c r="D22" s="46"/>
      <c r="E22" s="46"/>
      <c r="F22" s="27" t="s">
        <v>279</v>
      </c>
      <c r="G22" s="64" t="s">
        <v>280</v>
      </c>
      <c r="H22" s="71">
        <f>'CM26'!D48</f>
        <v>7.8860025100178088E-2</v>
      </c>
    </row>
    <row r="23" spans="1:8" x14ac:dyDescent="0.3">
      <c r="A23" s="27" t="s">
        <v>175</v>
      </c>
      <c r="B23" s="46" t="s">
        <v>173</v>
      </c>
      <c r="C23" s="46" t="str">
        <f>'SPL22'!B7</f>
        <v>TOUHAMI</v>
      </c>
      <c r="D23" s="46"/>
      <c r="E23" s="46"/>
      <c r="F23" s="27" t="s">
        <v>188</v>
      </c>
      <c r="G23" s="64" t="s">
        <v>169</v>
      </c>
      <c r="H23" s="71">
        <f>'SPL22'!D48</f>
        <v>8.5369040151963144E-2</v>
      </c>
    </row>
    <row r="24" spans="1:8" x14ac:dyDescent="0.3">
      <c r="A24" s="27" t="s">
        <v>685</v>
      </c>
      <c r="B24" s="46" t="s">
        <v>213</v>
      </c>
      <c r="C24" s="46" t="str">
        <f>'CM60'!B7</f>
        <v>MOROAINU ION</v>
      </c>
      <c r="D24" s="46"/>
      <c r="E24" s="46"/>
      <c r="F24" s="27" t="s">
        <v>686</v>
      </c>
      <c r="G24" s="116" t="s">
        <v>687</v>
      </c>
      <c r="H24" s="71">
        <f>'CM60'!D48</f>
        <v>9.2716275370417725E-2</v>
      </c>
    </row>
    <row r="25" spans="1:8" x14ac:dyDescent="0.3">
      <c r="A25" s="27" t="s">
        <v>286</v>
      </c>
      <c r="B25" s="46" t="s">
        <v>287</v>
      </c>
      <c r="C25" s="46" t="str">
        <f>'SPL8'!B7</f>
        <v>PARISOT</v>
      </c>
      <c r="D25" s="46"/>
      <c r="E25" s="46"/>
      <c r="F25" s="27" t="s">
        <v>288</v>
      </c>
      <c r="G25" s="64" t="s">
        <v>293</v>
      </c>
      <c r="H25" s="71">
        <f>'SPL8'!D48</f>
        <v>0.10224957677131376</v>
      </c>
    </row>
    <row r="26" spans="1:8" x14ac:dyDescent="0.3">
      <c r="A26" s="27" t="s">
        <v>320</v>
      </c>
      <c r="B26" s="46" t="s">
        <v>348</v>
      </c>
      <c r="C26" s="46" t="str">
        <f>'SPL74'!B7</f>
        <v>OLIMPIO (AT)</v>
      </c>
      <c r="D26" s="46" t="str">
        <f>'SPL74'!C7</f>
        <v>BENDRIF</v>
      </c>
      <c r="E26" s="46"/>
      <c r="F26" s="27" t="s">
        <v>346</v>
      </c>
      <c r="G26" s="64" t="s">
        <v>441</v>
      </c>
      <c r="H26" s="71">
        <f>'SPL74'!D48</f>
        <v>0.10284570659872111</v>
      </c>
    </row>
    <row r="27" spans="1:8" x14ac:dyDescent="0.3">
      <c r="A27" s="27" t="s">
        <v>329</v>
      </c>
      <c r="B27" s="46" t="s">
        <v>362</v>
      </c>
      <c r="C27" s="46" t="str">
        <f>'SPL53'!B7</f>
        <v>DIFALLAH</v>
      </c>
      <c r="D27" s="46"/>
      <c r="E27" s="46"/>
      <c r="F27" s="27" t="s">
        <v>363</v>
      </c>
      <c r="G27" s="64" t="s">
        <v>501</v>
      </c>
      <c r="H27" s="71">
        <f>'SPL53'!D48</f>
        <v>0.11111696314659138</v>
      </c>
    </row>
    <row r="28" spans="1:8" x14ac:dyDescent="0.3">
      <c r="A28" s="27" t="s">
        <v>530</v>
      </c>
      <c r="B28" s="46" t="s">
        <v>535</v>
      </c>
      <c r="C28" s="46" t="str">
        <f>'SPL13'!B7</f>
        <v>BODEA</v>
      </c>
      <c r="D28" s="46" t="str">
        <f>'SPL13'!C7</f>
        <v>VIVIENS</v>
      </c>
      <c r="E28" s="46"/>
      <c r="F28" s="27" t="s">
        <v>536</v>
      </c>
      <c r="G28" s="64" t="s">
        <v>537</v>
      </c>
      <c r="H28" s="71">
        <f>'SPL13'!D48</f>
        <v>0.1180156626000117</v>
      </c>
    </row>
    <row r="29" spans="1:8" x14ac:dyDescent="0.3">
      <c r="A29" s="27" t="s">
        <v>781</v>
      </c>
      <c r="B29" s="46" t="s">
        <v>782</v>
      </c>
      <c r="C29" s="46" t="str">
        <f>'CM61'!B7</f>
        <v>ALI MOHAMED</v>
      </c>
      <c r="D29" s="46"/>
      <c r="E29" s="46"/>
      <c r="F29" s="27"/>
      <c r="G29" s="64" t="s">
        <v>783</v>
      </c>
      <c r="H29" s="71">
        <f>'CM61'!D48</f>
        <v>0.12323997387041483</v>
      </c>
    </row>
    <row r="30" spans="1:8" x14ac:dyDescent="0.3">
      <c r="A30" s="27" t="s">
        <v>151</v>
      </c>
      <c r="B30" s="46" t="s">
        <v>79</v>
      </c>
      <c r="C30" s="46" t="str">
        <f>'CM53'!B7</f>
        <v>HAMMADI Redha</v>
      </c>
      <c r="D30" s="46" t="str">
        <f>'CM53'!C7</f>
        <v>TAGMI Karim</v>
      </c>
      <c r="E30" s="46"/>
      <c r="F30" s="27" t="s">
        <v>152</v>
      </c>
      <c r="G30" s="64" t="s">
        <v>159</v>
      </c>
      <c r="H30" s="71">
        <f>'CM53'!D49</f>
        <v>0.12386520021607297</v>
      </c>
    </row>
    <row r="31" spans="1:8" x14ac:dyDescent="0.3">
      <c r="A31" s="27" t="s">
        <v>176</v>
      </c>
      <c r="B31" s="46" t="s">
        <v>173</v>
      </c>
      <c r="C31" s="46" t="str">
        <f>'SPL33'!B7</f>
        <v>MOREIRA</v>
      </c>
      <c r="D31" s="46"/>
      <c r="E31" s="46"/>
      <c r="F31" s="27" t="s">
        <v>194</v>
      </c>
      <c r="G31" s="64" t="s">
        <v>170</v>
      </c>
      <c r="H31" s="71">
        <f>'SPL33'!D48</f>
        <v>0.1267964282125813</v>
      </c>
    </row>
    <row r="32" spans="1:8" x14ac:dyDescent="0.3">
      <c r="A32" s="27" t="s">
        <v>311</v>
      </c>
      <c r="B32" s="46" t="s">
        <v>278</v>
      </c>
      <c r="C32" s="46" t="str">
        <f>'CM34'!B7</f>
        <v>Faveur</v>
      </c>
      <c r="D32" s="46"/>
      <c r="E32" s="46"/>
      <c r="F32" s="27" t="s">
        <v>339</v>
      </c>
      <c r="G32" s="64" t="s">
        <v>402</v>
      </c>
      <c r="H32" s="71">
        <f>'CM34'!D48</f>
        <v>0.13142815406414618</v>
      </c>
    </row>
    <row r="33" spans="1:8" x14ac:dyDescent="0.3">
      <c r="A33" s="27" t="s">
        <v>312</v>
      </c>
      <c r="B33" s="46" t="s">
        <v>278</v>
      </c>
      <c r="C33" s="46" t="str">
        <f>'CM29'!B7</f>
        <v>BOUGHEZAL</v>
      </c>
      <c r="D33" s="46"/>
      <c r="E33" s="46"/>
      <c r="F33" s="27" t="s">
        <v>340</v>
      </c>
      <c r="G33" s="64" t="s">
        <v>406</v>
      </c>
      <c r="H33" s="71">
        <f>'CM29'!D48</f>
        <v>0.13988953571210672</v>
      </c>
    </row>
    <row r="34" spans="1:8" x14ac:dyDescent="0.3">
      <c r="A34" s="27" t="s">
        <v>91</v>
      </c>
      <c r="B34" s="46" t="s">
        <v>92</v>
      </c>
      <c r="C34" s="46" t="str">
        <f>'CM6'!B7</f>
        <v>TATAR F.</v>
      </c>
      <c r="D34" s="46"/>
      <c r="E34" s="46"/>
      <c r="F34" s="27" t="s">
        <v>93</v>
      </c>
      <c r="G34" s="64" t="s">
        <v>94</v>
      </c>
      <c r="H34" s="71">
        <f>'CM6'!D48</f>
        <v>0.1444279423499723</v>
      </c>
    </row>
    <row r="35" spans="1:8" x14ac:dyDescent="0.3">
      <c r="A35" s="27" t="s">
        <v>315</v>
      </c>
      <c r="B35" s="46" t="s">
        <v>316</v>
      </c>
      <c r="C35" s="46" t="str">
        <f>'CM21'!B7</f>
        <v>BAJURA</v>
      </c>
      <c r="D35" s="46"/>
      <c r="E35" s="46"/>
      <c r="F35" s="27" t="s">
        <v>508</v>
      </c>
      <c r="G35" s="64" t="s">
        <v>421</v>
      </c>
      <c r="H35" s="71">
        <f>'CM21'!D48</f>
        <v>0.14879782333000199</v>
      </c>
    </row>
    <row r="36" spans="1:8" x14ac:dyDescent="0.3">
      <c r="A36" s="27" t="s">
        <v>319</v>
      </c>
      <c r="B36" s="46" t="s">
        <v>287</v>
      </c>
      <c r="C36" s="46" t="str">
        <f>'SPL77'!B7</f>
        <v>KONE</v>
      </c>
      <c r="D36" s="46"/>
      <c r="E36" s="46"/>
      <c r="F36" s="27" t="s">
        <v>343</v>
      </c>
      <c r="G36" s="64" t="s">
        <v>434</v>
      </c>
      <c r="H36" s="71">
        <f>'SPL77'!D48</f>
        <v>0.15483819103506682</v>
      </c>
    </row>
    <row r="37" spans="1:8" x14ac:dyDescent="0.3">
      <c r="A37" s="27" t="s">
        <v>518</v>
      </c>
      <c r="B37" s="46" t="s">
        <v>347</v>
      </c>
      <c r="C37" s="46" t="str">
        <f>'SPL36'!B7</f>
        <v>SAGAL</v>
      </c>
      <c r="D37" s="46" t="str">
        <f>'SPL36'!C7</f>
        <v>LATIFA</v>
      </c>
      <c r="E37" s="46"/>
      <c r="F37" s="27" t="s">
        <v>649</v>
      </c>
      <c r="G37" s="64" t="s">
        <v>650</v>
      </c>
      <c r="H37" s="71">
        <f>'SPL36'!D48</f>
        <v>0.15509409023062568</v>
      </c>
    </row>
    <row r="38" spans="1:8" x14ac:dyDescent="0.3">
      <c r="A38" s="27" t="s">
        <v>529</v>
      </c>
      <c r="B38" s="46" t="s">
        <v>547</v>
      </c>
      <c r="C38" s="46" t="str">
        <f>'SPL14'!B7</f>
        <v>DIALLO O.</v>
      </c>
      <c r="D38" s="46" t="str">
        <f>'SPL14'!C7</f>
        <v>KAMARA</v>
      </c>
      <c r="E38" s="46"/>
      <c r="F38" s="27" t="s">
        <v>548</v>
      </c>
      <c r="G38" s="64" t="s">
        <v>546</v>
      </c>
      <c r="H38" s="71">
        <f>'SPL14'!D49</f>
        <v>0.1618650971373724</v>
      </c>
    </row>
    <row r="39" spans="1:8" x14ac:dyDescent="0.3">
      <c r="A39" s="27" t="s">
        <v>296</v>
      </c>
      <c r="B39" s="46" t="s">
        <v>297</v>
      </c>
      <c r="C39" s="46" t="str">
        <f>'SPL9'!B7</f>
        <v>WILSON</v>
      </c>
      <c r="D39" s="46"/>
      <c r="E39" s="46"/>
      <c r="F39" s="27" t="s">
        <v>298</v>
      </c>
      <c r="G39" s="64" t="s">
        <v>304</v>
      </c>
      <c r="H39" s="71">
        <f>'SPL9'!D48</f>
        <v>0.16648161200782882</v>
      </c>
    </row>
    <row r="40" spans="1:8" x14ac:dyDescent="0.3">
      <c r="A40" s="27" t="s">
        <v>325</v>
      </c>
      <c r="B40" s="46" t="s">
        <v>355</v>
      </c>
      <c r="C40" s="46" t="str">
        <f>'SPL62'!B7</f>
        <v>CISSE M.</v>
      </c>
      <c r="D40" s="46"/>
      <c r="E40" s="46"/>
      <c r="F40" s="27" t="s">
        <v>356</v>
      </c>
      <c r="G40" s="64" t="s">
        <v>471</v>
      </c>
      <c r="H40" s="71">
        <f>'SPL62'!D48</f>
        <v>0.16662613180241764</v>
      </c>
    </row>
    <row r="41" spans="1:8" x14ac:dyDescent="0.3">
      <c r="A41" s="27" t="s">
        <v>210</v>
      </c>
      <c r="B41" s="46" t="s">
        <v>214</v>
      </c>
      <c r="C41" s="46" t="str">
        <f>'CM14'!B7</f>
        <v>BEZDIGA</v>
      </c>
      <c r="D41" s="46" t="str">
        <f>'CM14'!C7</f>
        <v>ANDRY</v>
      </c>
      <c r="E41" s="46"/>
      <c r="F41" s="27" t="s">
        <v>217</v>
      </c>
      <c r="G41" s="64" t="s">
        <v>215</v>
      </c>
      <c r="H41" s="71">
        <f>'CM14'!D48</f>
        <v>0.16789321502685853</v>
      </c>
    </row>
    <row r="42" spans="1:8" x14ac:dyDescent="0.3">
      <c r="A42" s="27" t="s">
        <v>160</v>
      </c>
      <c r="B42" s="46" t="s">
        <v>161</v>
      </c>
      <c r="C42" s="46" t="str">
        <f>'SPL72'!B7</f>
        <v>Hanzi</v>
      </c>
      <c r="D42" s="46"/>
      <c r="E42" s="46"/>
      <c r="F42" s="27" t="s">
        <v>162</v>
      </c>
      <c r="G42" s="64" t="s">
        <v>163</v>
      </c>
      <c r="H42" s="71">
        <f>'SPL72'!D48</f>
        <v>0.16894882838241029</v>
      </c>
    </row>
    <row r="43" spans="1:8" x14ac:dyDescent="0.3">
      <c r="A43" s="27" t="s">
        <v>330</v>
      </c>
      <c r="B43" s="46" t="s">
        <v>316</v>
      </c>
      <c r="C43" s="46" t="str">
        <f>'SPL51'!B7</f>
        <v>BAHYAYA</v>
      </c>
      <c r="D43" s="46"/>
      <c r="E43" s="46"/>
      <c r="F43" s="27" t="s">
        <v>509</v>
      </c>
      <c r="G43" s="64" t="s">
        <v>507</v>
      </c>
      <c r="H43" s="71">
        <f>'SPL51'!D48</f>
        <v>0.16996498882852856</v>
      </c>
    </row>
    <row r="44" spans="1:8" x14ac:dyDescent="0.3">
      <c r="A44" s="27" t="s">
        <v>520</v>
      </c>
      <c r="B44" s="46" t="s">
        <v>347</v>
      </c>
      <c r="C44" s="46" t="str">
        <f>'SPL30'!B7</f>
        <v>GUEYE</v>
      </c>
      <c r="D44" s="46"/>
      <c r="E44" s="46"/>
      <c r="F44" s="27" t="s">
        <v>350</v>
      </c>
      <c r="G44" s="64" t="s">
        <v>628</v>
      </c>
      <c r="H44" s="71">
        <f>'SPL30'!D48</f>
        <v>0.19621606102060379</v>
      </c>
    </row>
    <row r="45" spans="1:8" x14ac:dyDescent="0.3">
      <c r="A45" s="27" t="s">
        <v>528</v>
      </c>
      <c r="B45" s="46" t="s">
        <v>558</v>
      </c>
      <c r="C45" s="46" t="str">
        <f>'SPL16'!B7</f>
        <v>HAMID</v>
      </c>
      <c r="D45" s="46" t="str">
        <f>'SPL16'!C7</f>
        <v>BORGES</v>
      </c>
      <c r="E45" s="46"/>
      <c r="F45" s="27" t="s">
        <v>559</v>
      </c>
      <c r="G45" s="64" t="s">
        <v>560</v>
      </c>
      <c r="H45" s="71">
        <f>'SPL16'!D49</f>
        <v>0.20062398826092726</v>
      </c>
    </row>
    <row r="46" spans="1:8" x14ac:dyDescent="0.3">
      <c r="A46" s="27" t="s">
        <v>324</v>
      </c>
      <c r="B46" s="46" t="s">
        <v>353</v>
      </c>
      <c r="C46" s="46" t="str">
        <f>'SPL67'!B7</f>
        <v>CIMPEAN</v>
      </c>
      <c r="D46" s="46"/>
      <c r="E46" s="46"/>
      <c r="F46" s="27" t="s">
        <v>354</v>
      </c>
      <c r="G46" s="64" t="s">
        <v>466</v>
      </c>
      <c r="H46" s="71">
        <f>'SPL67'!D48</f>
        <v>0.21615124814929013</v>
      </c>
    </row>
    <row r="47" spans="1:8" x14ac:dyDescent="0.3">
      <c r="A47" s="27" t="s">
        <v>219</v>
      </c>
      <c r="B47" s="46" t="s">
        <v>220</v>
      </c>
      <c r="C47" s="46" t="str">
        <f>'CM15'!B7</f>
        <v>VIOREL</v>
      </c>
      <c r="D47" s="46"/>
      <c r="E47" s="46"/>
      <c r="F47" s="27" t="s">
        <v>221</v>
      </c>
      <c r="G47" s="64" t="s">
        <v>222</v>
      </c>
      <c r="H47" s="71">
        <f>'CM15'!D48</f>
        <v>0.22044419704528945</v>
      </c>
    </row>
    <row r="48" spans="1:8" x14ac:dyDescent="0.3">
      <c r="A48" s="27" t="s">
        <v>322</v>
      </c>
      <c r="B48" s="46" t="s">
        <v>347</v>
      </c>
      <c r="C48" s="46" t="str">
        <f>'SPL69'!B7</f>
        <v>COSTA</v>
      </c>
      <c r="D48" s="46" t="str">
        <f>'SPL69'!C7</f>
        <v>DIABATE</v>
      </c>
      <c r="E48" s="46"/>
      <c r="F48" s="27" t="s">
        <v>350</v>
      </c>
      <c r="G48" s="64" t="s">
        <v>451</v>
      </c>
      <c r="H48" s="71">
        <f>'SPL69'!D48</f>
        <v>0.22250268039400242</v>
      </c>
    </row>
    <row r="49" spans="1:8" x14ac:dyDescent="0.3">
      <c r="A49" s="27" t="s">
        <v>100</v>
      </c>
      <c r="B49" s="46" t="s">
        <v>102</v>
      </c>
      <c r="C49" s="46" t="str">
        <f>'CM8'!B7</f>
        <v>AZZOUZ Nordine</v>
      </c>
      <c r="D49" s="46" t="str">
        <f>'CM8'!C7</f>
        <v>AZZOUZ Mustapha</v>
      </c>
      <c r="E49" s="46"/>
      <c r="F49" s="27" t="s">
        <v>103</v>
      </c>
      <c r="G49" s="64" t="s">
        <v>101</v>
      </c>
      <c r="H49" s="71">
        <f>'CM8'!D48</f>
        <v>0.22469447320255359</v>
      </c>
    </row>
    <row r="50" spans="1:8" x14ac:dyDescent="0.3">
      <c r="A50" s="27" t="s">
        <v>310</v>
      </c>
      <c r="B50" s="46" t="s">
        <v>278</v>
      </c>
      <c r="C50" s="46" t="str">
        <f>'CM37'!B7</f>
        <v>HELLOU</v>
      </c>
      <c r="D50" s="46"/>
      <c r="E50" s="46"/>
      <c r="F50" s="27" t="s">
        <v>338</v>
      </c>
      <c r="G50" s="64" t="s">
        <v>398</v>
      </c>
      <c r="H50" s="71">
        <f>'CM37'!D48</f>
        <v>0.23442549295994741</v>
      </c>
    </row>
    <row r="51" spans="1:8" x14ac:dyDescent="0.3">
      <c r="A51" s="27" t="s">
        <v>331</v>
      </c>
      <c r="B51" s="46" t="s">
        <v>364</v>
      </c>
      <c r="C51" s="46" t="str">
        <f>'SPL47'!B7</f>
        <v>CHLIBET</v>
      </c>
      <c r="D51" s="46"/>
      <c r="E51" s="46"/>
      <c r="F51" s="27" t="s">
        <v>365</v>
      </c>
      <c r="G51" s="64" t="s">
        <v>514</v>
      </c>
      <c r="H51" s="71">
        <f>'SPL47'!D48</f>
        <v>0.2405917656979451</v>
      </c>
    </row>
    <row r="52" spans="1:8" x14ac:dyDescent="0.3">
      <c r="A52" s="27" t="s">
        <v>521</v>
      </c>
      <c r="B52" s="46" t="s">
        <v>625</v>
      </c>
      <c r="C52" s="46" t="str">
        <f>'SPL27'!B7</f>
        <v>AGOUA</v>
      </c>
      <c r="D52" s="46" t="str">
        <f>'SPL27'!C7</f>
        <v>SINGH</v>
      </c>
      <c r="E52" s="46"/>
      <c r="F52" s="27" t="s">
        <v>626</v>
      </c>
      <c r="G52" s="64" t="s">
        <v>627</v>
      </c>
      <c r="H52" s="71">
        <f>'SPL27'!D48</f>
        <v>0.24624761491870265</v>
      </c>
    </row>
    <row r="53" spans="1:8" x14ac:dyDescent="0.3">
      <c r="A53" s="27" t="s">
        <v>525</v>
      </c>
      <c r="B53" s="46" t="s">
        <v>347</v>
      </c>
      <c r="C53" s="46" t="str">
        <f>'SPL20'!B7</f>
        <v>MBEKA R.</v>
      </c>
      <c r="D53" s="46" t="str">
        <f>'SPL20'!C7</f>
        <v>QUINOL</v>
      </c>
      <c r="E53" s="46"/>
      <c r="F53" s="27" t="s">
        <v>586</v>
      </c>
      <c r="G53" s="64" t="s">
        <v>587</v>
      </c>
      <c r="H53" s="71">
        <f>'SPL20'!D48</f>
        <v>0.2542133419223106</v>
      </c>
    </row>
    <row r="54" spans="1:8" x14ac:dyDescent="0.3">
      <c r="A54" s="27" t="s">
        <v>270</v>
      </c>
      <c r="B54" s="46" t="s">
        <v>230</v>
      </c>
      <c r="C54" s="46" t="str">
        <f>'CM25'!B7</f>
        <v>WAGNER</v>
      </c>
      <c r="D54" s="46"/>
      <c r="E54" s="46"/>
      <c r="F54" s="27" t="s">
        <v>275</v>
      </c>
      <c r="G54" s="64" t="s">
        <v>276</v>
      </c>
      <c r="H54" s="71">
        <f>'CM25'!D48</f>
        <v>0.26162982746124513</v>
      </c>
    </row>
    <row r="55" spans="1:8" x14ac:dyDescent="0.3">
      <c r="A55" s="27" t="s">
        <v>110</v>
      </c>
      <c r="B55" s="46" t="s">
        <v>114</v>
      </c>
      <c r="C55" s="46" t="str">
        <f>'CM9'!B7</f>
        <v>MIC Marius</v>
      </c>
      <c r="D55" s="46" t="str">
        <f>'CM9'!C7</f>
        <v>OUAHABI Mourad</v>
      </c>
      <c r="E55" s="46"/>
      <c r="F55" s="27" t="s">
        <v>115</v>
      </c>
      <c r="G55" s="64" t="s">
        <v>109</v>
      </c>
      <c r="H55" s="71">
        <f>'CM9'!D48</f>
        <v>0.26593398368750354</v>
      </c>
    </row>
    <row r="56" spans="1:8" x14ac:dyDescent="0.3">
      <c r="A56" s="27" t="s">
        <v>523</v>
      </c>
      <c r="B56" s="46" t="s">
        <v>607</v>
      </c>
      <c r="C56" s="46" t="str">
        <f>'SPL25'!B7</f>
        <v>CRISAN G.</v>
      </c>
      <c r="D56" s="46"/>
      <c r="E56" s="46"/>
      <c r="F56" s="27" t="s">
        <v>608</v>
      </c>
      <c r="G56" s="64" t="s">
        <v>609</v>
      </c>
      <c r="H56" s="71">
        <f>'SPL25'!D48</f>
        <v>0.2857966816636307</v>
      </c>
    </row>
    <row r="57" spans="1:8" x14ac:dyDescent="0.3">
      <c r="A57" s="27" t="s">
        <v>305</v>
      </c>
      <c r="B57" s="46" t="s">
        <v>278</v>
      </c>
      <c r="C57" s="46" t="str">
        <f>'CM59'!B7</f>
        <v>MOROAINU Mihail</v>
      </c>
      <c r="D57" s="46"/>
      <c r="E57" s="46"/>
      <c r="F57" s="27" t="s">
        <v>332</v>
      </c>
      <c r="G57" s="64" t="s">
        <v>372</v>
      </c>
      <c r="H57" s="71">
        <f>'CM59'!D48</f>
        <v>0.29274224140205907</v>
      </c>
    </row>
    <row r="58" spans="1:8" x14ac:dyDescent="0.3">
      <c r="A58" s="27" t="s">
        <v>326</v>
      </c>
      <c r="B58" s="46" t="s">
        <v>357</v>
      </c>
      <c r="C58" s="46" t="str">
        <f>'SPL59'!B7</f>
        <v>PHILIBERT</v>
      </c>
      <c r="D58" s="46" t="str">
        <f>'SPL59'!C7</f>
        <v>GONCALVES Kama</v>
      </c>
      <c r="E58" s="46"/>
      <c r="F58" s="27" t="s">
        <v>358</v>
      </c>
      <c r="G58" s="64" t="s">
        <v>480</v>
      </c>
      <c r="H58" s="71">
        <f>'SPL59'!D48</f>
        <v>0.30262597417576237</v>
      </c>
    </row>
    <row r="59" spans="1:8" x14ac:dyDescent="0.3">
      <c r="A59" s="27" t="s">
        <v>309</v>
      </c>
      <c r="B59" s="46" t="s">
        <v>278</v>
      </c>
      <c r="C59" s="46" t="str">
        <f>'CM39'!B7</f>
        <v>ROMAN Alexandru</v>
      </c>
      <c r="D59" s="46"/>
      <c r="E59" s="46"/>
      <c r="F59" s="27" t="s">
        <v>337</v>
      </c>
      <c r="G59" s="64" t="s">
        <v>391</v>
      </c>
      <c r="H59" s="71">
        <f>'CM39'!D48</f>
        <v>0.3057336024466446</v>
      </c>
    </row>
    <row r="60" spans="1:8" x14ac:dyDescent="0.3">
      <c r="A60" s="27" t="s">
        <v>522</v>
      </c>
      <c r="B60" s="46" t="s">
        <v>616</v>
      </c>
      <c r="C60" s="46" t="str">
        <f>'SPL26'!B7</f>
        <v>LEKRICHI</v>
      </c>
      <c r="D60" s="46" t="str">
        <f>'SPL26'!C7</f>
        <v>AZZIZ CHEMLAL</v>
      </c>
      <c r="E60" s="46"/>
      <c r="F60" s="27" t="s">
        <v>617</v>
      </c>
      <c r="G60" s="64" t="s">
        <v>618</v>
      </c>
      <c r="H60" s="71">
        <f>'SPL26'!D48</f>
        <v>0.31106910014951356</v>
      </c>
    </row>
    <row r="61" spans="1:8" x14ac:dyDescent="0.3">
      <c r="A61" s="27" t="s">
        <v>526</v>
      </c>
      <c r="B61" s="46" t="s">
        <v>570</v>
      </c>
      <c r="C61" s="46" t="str">
        <f>'SPL18'!B7</f>
        <v>ROMUALD</v>
      </c>
      <c r="D61" s="46" t="str">
        <f>'SPL18'!C7</f>
        <v>KILIAN</v>
      </c>
      <c r="E61" s="46"/>
      <c r="F61" s="27" t="s">
        <v>571</v>
      </c>
      <c r="G61" s="64" t="s">
        <v>584</v>
      </c>
      <c r="H61" s="71">
        <f>'SPL18'!D49</f>
        <v>0.3161977365599884</v>
      </c>
    </row>
    <row r="62" spans="1:8" x14ac:dyDescent="0.3">
      <c r="A62" s="27" t="s">
        <v>229</v>
      </c>
      <c r="B62" s="46" t="s">
        <v>230</v>
      </c>
      <c r="C62" s="46" t="str">
        <f>'CM19'!B7</f>
        <v>TAHLA</v>
      </c>
      <c r="D62" s="46" t="str">
        <f>'CM19'!C7</f>
        <v>NAILI</v>
      </c>
      <c r="E62" s="46"/>
      <c r="F62" s="27" t="s">
        <v>234</v>
      </c>
      <c r="G62" s="64" t="s">
        <v>231</v>
      </c>
      <c r="H62" s="71">
        <f>'CM19'!D49</f>
        <v>0.34569460345087638</v>
      </c>
    </row>
    <row r="63" spans="1:8" x14ac:dyDescent="0.3">
      <c r="A63" s="27" t="s">
        <v>517</v>
      </c>
      <c r="B63" s="46" t="s">
        <v>660</v>
      </c>
      <c r="C63" s="46" t="str">
        <f>'SPL37'!B7</f>
        <v>KAMAGATE</v>
      </c>
      <c r="D63" s="46"/>
      <c r="E63" s="46"/>
      <c r="F63" s="27" t="s">
        <v>661</v>
      </c>
      <c r="G63" s="64" t="s">
        <v>662</v>
      </c>
      <c r="H63" s="71">
        <f>'SPL37'!D48</f>
        <v>0.34881411287315928</v>
      </c>
    </row>
    <row r="64" spans="1:8" x14ac:dyDescent="0.3">
      <c r="A64" s="27" t="s">
        <v>527</v>
      </c>
      <c r="B64" s="46" t="s">
        <v>347</v>
      </c>
      <c r="C64" s="46" t="str">
        <f>'SPL17'!B7</f>
        <v>PECCATUS</v>
      </c>
      <c r="D64" s="46" t="str">
        <f>'SPL17'!C7</f>
        <v>Moreira Tavares</v>
      </c>
      <c r="E64" s="46"/>
      <c r="F64" s="27" t="s">
        <v>346</v>
      </c>
      <c r="G64" s="64" t="s">
        <v>569</v>
      </c>
      <c r="H64" s="71">
        <f>'SPL17'!D48</f>
        <v>0.35481602519758837</v>
      </c>
    </row>
    <row r="65" spans="1:8" x14ac:dyDescent="0.3">
      <c r="A65" s="27" t="s">
        <v>519</v>
      </c>
      <c r="B65" s="46" t="s">
        <v>347</v>
      </c>
      <c r="C65" s="46" t="str">
        <f>'SPL34'!B7</f>
        <v>BEN SALEM</v>
      </c>
      <c r="D65" s="46" t="str">
        <f>'SPL34'!C7</f>
        <v>COADA TOADER</v>
      </c>
      <c r="E65" s="46"/>
      <c r="F65" s="27" t="s">
        <v>642</v>
      </c>
      <c r="G65" s="64" t="s">
        <v>643</v>
      </c>
      <c r="H65" s="71">
        <f>'SPL34'!D48</f>
        <v>0.35666684749246053</v>
      </c>
    </row>
    <row r="66" spans="1:8" x14ac:dyDescent="0.3">
      <c r="A66" s="27" t="s">
        <v>327</v>
      </c>
      <c r="B66" s="46" t="s">
        <v>347</v>
      </c>
      <c r="C66" s="46" t="str">
        <f>'SPL56'!B7</f>
        <v>DJAFFAR</v>
      </c>
      <c r="D66" s="46" t="str">
        <f>'SPL56'!C7</f>
        <v>MOUSSA TRAORE</v>
      </c>
      <c r="E66" s="46"/>
      <c r="F66" s="27" t="s">
        <v>359</v>
      </c>
      <c r="G66" s="64" t="s">
        <v>489</v>
      </c>
      <c r="H66" s="71">
        <f>'SPL56'!D49</f>
        <v>0.35745638795480805</v>
      </c>
    </row>
    <row r="67" spans="1:8" x14ac:dyDescent="0.3">
      <c r="A67" s="27" t="s">
        <v>203</v>
      </c>
      <c r="B67" s="46" t="s">
        <v>213</v>
      </c>
      <c r="C67" s="46" t="str">
        <f>'CM7'!B7</f>
        <v>JAMES Fabrice</v>
      </c>
      <c r="D67" s="46"/>
      <c r="E67" s="46"/>
      <c r="F67" s="27" t="s">
        <v>206</v>
      </c>
      <c r="G67" s="64" t="s">
        <v>207</v>
      </c>
      <c r="H67" s="71">
        <f>'CM7'!D48</f>
        <v>0.36197110784800807</v>
      </c>
    </row>
    <row r="68" spans="1:8" x14ac:dyDescent="0.3">
      <c r="A68" s="27" t="s">
        <v>321</v>
      </c>
      <c r="B68" s="46" t="s">
        <v>347</v>
      </c>
      <c r="C68" s="46" t="str">
        <f>'SPL70'!B7</f>
        <v>GLISSANT</v>
      </c>
      <c r="D68" s="46"/>
      <c r="E68" s="46"/>
      <c r="F68" s="27" t="s">
        <v>349</v>
      </c>
      <c r="G68" s="64" t="s">
        <v>444</v>
      </c>
      <c r="H68" s="71">
        <f>'SPL70'!D48</f>
        <v>0.36795775592287377</v>
      </c>
    </row>
    <row r="69" spans="1:8" x14ac:dyDescent="0.3">
      <c r="A69" s="27" t="s">
        <v>524</v>
      </c>
      <c r="B69" s="46" t="s">
        <v>601</v>
      </c>
      <c r="C69" s="46" t="str">
        <f>'SPL23'!B7</f>
        <v>TROUDI</v>
      </c>
      <c r="D69" s="46" t="str">
        <f>'SPL23'!C7</f>
        <v>DIOP ASSANE</v>
      </c>
      <c r="E69" s="46"/>
      <c r="F69" s="27" t="s">
        <v>600</v>
      </c>
      <c r="G69" s="64" t="s">
        <v>602</v>
      </c>
      <c r="H69" s="71">
        <f>'SPL23'!D48</f>
        <v>0.37621396741648711</v>
      </c>
    </row>
    <row r="70" spans="1:8" x14ac:dyDescent="0.3">
      <c r="A70" s="27" t="s">
        <v>120</v>
      </c>
      <c r="B70" s="46" t="s">
        <v>122</v>
      </c>
      <c r="C70" s="46" t="str">
        <f>'CM10'!B7</f>
        <v>BEZZAOUYA</v>
      </c>
      <c r="D70" s="46"/>
      <c r="E70" s="46"/>
      <c r="F70" s="27" t="s">
        <v>123</v>
      </c>
      <c r="G70" s="64" t="s">
        <v>121</v>
      </c>
      <c r="H70" s="71">
        <f>'CM10'!D48</f>
        <v>0.39421541108188113</v>
      </c>
    </row>
    <row r="71" spans="1:8" x14ac:dyDescent="0.3">
      <c r="A71" s="27" t="s">
        <v>308</v>
      </c>
      <c r="B71" s="27" t="s">
        <v>278</v>
      </c>
      <c r="C71" s="27" t="str">
        <f>'CM41'!B7</f>
        <v>LAMBERT</v>
      </c>
      <c r="D71" s="27"/>
      <c r="E71" s="27"/>
      <c r="F71" s="27" t="s">
        <v>336</v>
      </c>
      <c r="G71" s="64" t="s">
        <v>386</v>
      </c>
      <c r="H71" s="71">
        <f>'CM41'!D48</f>
        <v>0.39785269816434876</v>
      </c>
    </row>
    <row r="72" spans="1:8" x14ac:dyDescent="0.3">
      <c r="A72" s="27" t="s">
        <v>323</v>
      </c>
      <c r="B72" s="27" t="s">
        <v>351</v>
      </c>
      <c r="C72" s="27" t="str">
        <f>'SPL68'!B7</f>
        <v>DIALLO Maliki</v>
      </c>
      <c r="D72" s="27" t="str">
        <f>'SPL68'!C7</f>
        <v>MOUSSA FALL</v>
      </c>
      <c r="E72" s="27"/>
      <c r="F72" s="27" t="s">
        <v>352</v>
      </c>
      <c r="G72" s="64" t="s">
        <v>460</v>
      </c>
      <c r="H72" s="71">
        <f>'SPL68'!D49</f>
        <v>0.4045417488491802</v>
      </c>
    </row>
  </sheetData>
  <autoFilter ref="A6:H72" xr:uid="{971D4420-5774-4B0F-8DEA-AD1204FBBBEB}"/>
  <sortState xmlns:xlrd2="http://schemas.microsoft.com/office/spreadsheetml/2017/richdata2" ref="A7:H72">
    <sortCondition ref="H7:H72"/>
  </sortState>
  <mergeCells count="1">
    <mergeCell ref="A1:R4"/>
  </mergeCells>
  <phoneticPr fontId="41" type="noConversion"/>
  <conditionalFormatting sqref="H7:H7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G15" location="'CM4'!A1" display="'CM4'!A1" xr:uid="{01866E6F-8310-4D41-8424-B4FD5F234A78}"/>
    <hyperlink ref="G34" location="'CM6'!A1" display="'CM6'!A1" xr:uid="{0D4AA65F-0791-4360-ABB4-C8F66C0F0250}"/>
    <hyperlink ref="G49" location="'CM8'!A1" display="'CM8'!A1" xr:uid="{0120E14C-1226-48FC-92AA-8986C810A0C4}"/>
    <hyperlink ref="G55" location="'CM9'!A1" display="'CM9'!A1" xr:uid="{292B50BF-B187-4EEA-8819-EB0D9BD3488E}"/>
    <hyperlink ref="G70" location="'CM10'!A1" display="'CM10'!A1" xr:uid="{C59E7B49-F1DC-4C39-BB62-64A3DE549A8E}"/>
    <hyperlink ref="G19" location="'CM5'!A1" display="'CM5'!A1" xr:uid="{06A47690-05EC-4E1E-BF03-C44630AD0C05}"/>
    <hyperlink ref="G16" location="'CM44'!A1" display="'CM44'!A1" xr:uid="{24DC07BC-6C35-4BFE-97D7-A010897998CD}"/>
    <hyperlink ref="G30" location="'CM53'!A1" display="'CM53'!A1" xr:uid="{A6941B05-5387-4724-B790-95FE97E850E7}"/>
    <hyperlink ref="G42" location="'SPL72'!A1" display="'SPL72'!A1" xr:uid="{C79925E6-E265-411F-89C5-BC43C9522CFC}"/>
    <hyperlink ref="G7" location="'SPL7'!A1" display="'SPL7'!A1" xr:uid="{995920D2-B7FD-4098-81B0-3D89E3670883}"/>
    <hyperlink ref="G23" location="'SPL22'!A1" display="'SPL22'!A1" xr:uid="{E4CFA7B9-C050-40D8-B0A5-39DA0E1B7A7C}"/>
    <hyperlink ref="G31" location="'SPL33'!A1" display="'SPL33'!A1" xr:uid="{9DE15672-EE41-46C8-9CB8-2AB7F721B187}"/>
    <hyperlink ref="G18" location="'SPL73'!A1" display="'SPL73'!A1" xr:uid="{7EA6740E-5C2D-4C21-AE9D-58222C0C4811}"/>
    <hyperlink ref="G67" location="'CM7'!A1" display="'CM7'!A1" xr:uid="{CCD884F6-E4EB-44E8-9414-4B0FE2875A9A}"/>
    <hyperlink ref="G41" location="'CM14'!A1" display="'CM14'!A1" xr:uid="{E9F90418-7105-4438-B688-D379525AB573}"/>
    <hyperlink ref="G47" location="'CM15'!A1" display="'CM15'!A1" xr:uid="{2B186C0A-C437-4D15-B684-5421E58F8B51}"/>
    <hyperlink ref="G62" location="'CM19'!A1" display="'CM19'!A1" xr:uid="{2DF76662-D434-494F-8A0A-9C0C8D20574F}"/>
    <hyperlink ref="G17" location="'CM23'!A1" display="'CM23'!A1" xr:uid="{F48E62AE-64FE-46FE-819D-D0CEE148F843}"/>
    <hyperlink ref="G54" location="'CM25'!A1" display="'CM25'!A1" xr:uid="{364476EF-F5E8-4935-B922-45C69E4365D5}"/>
    <hyperlink ref="G22" location="'CM26'!A1" display="'CM26'!A1" xr:uid="{8617A15E-2BF8-4406-A836-B72702C7B547}"/>
    <hyperlink ref="G25" location="'SPL8'!A1" display="'SPL8'!A1" xr:uid="{FA5E236B-5BB5-4C77-8C8F-D8BEA63387D4}"/>
    <hyperlink ref="G39" location="'SPL9'!A1" display="'SPL9'!A1" xr:uid="{93608FAD-5718-4ACF-86B8-9CF5033F58AF}"/>
    <hyperlink ref="G57" location="'CM59'!A1" display="'CM59'!A1" xr:uid="{ABAB5167-54A0-4C4A-9766-F7AD9EA327D4}"/>
    <hyperlink ref="G13" location="'CM48'!A1" display=" " xr:uid="{995311A2-9339-42A0-82C7-23B411390416}"/>
    <hyperlink ref="G11" location="'CM42'!A1" display="'CM42'!A1" xr:uid="{3DC5B58F-33DF-41AF-AE87-31E1C6166259}"/>
    <hyperlink ref="G71" location="'CM41'!A1" display="'CM41'!A1" xr:uid="{C6C8F24D-B3FC-423F-B88F-03589E3AB0F4}"/>
    <hyperlink ref="G59" location="'CM39'!A1" display="'CM39'!A1" xr:uid="{2704C2AF-0B1D-4769-A818-D19528E9CEC5}"/>
    <hyperlink ref="G50" location="'CM37'!A1" display="'CM37'!A1" xr:uid="{F7F7A773-BEC0-4C87-BF09-89B0A0CCF971}"/>
    <hyperlink ref="G32" location="'CM34'!A1" display="'CM34'!A1" xr:uid="{C3E227A1-442F-4BD9-AF32-5F7965722FE6}"/>
    <hyperlink ref="G33" location="'CM29'!A1" display="'CM29'!A1" xr:uid="{B9A0E5B4-E1CB-4E37-9D0D-66A381741ACF}"/>
    <hyperlink ref="G14" location="'CM27'!A1" display="'CM27'!A1" xr:uid="{AFD34E66-EA22-4715-8E33-606F681554CA}"/>
    <hyperlink ref="G12" location="'CM24'!A1" display="'CM24'!A1" xr:uid="{67229F20-99D1-48C7-8090-D21FC0E8AEB3}"/>
    <hyperlink ref="G35" location="'CM21'!A1" display="'CM21'!A1" xr:uid="{A2EDB398-A3DD-4F77-A334-909D57266BC3}"/>
    <hyperlink ref="G8" location="'SPL75'!A1" display="'SPL75'!A1" xr:uid="{C9AA61AB-8976-4210-9AD6-35238B3F5185}"/>
    <hyperlink ref="G10" location="'SPL76'!A1" display="'SPL76'!A1" xr:uid="{29DC6F3E-D258-4A0B-BF89-3C5D4B4A27DC}"/>
    <hyperlink ref="G36" location="'SPL77'!A1" display="'SPL77'!A1" xr:uid="{8ECD0C2D-6D72-449D-8CAF-7FC8238A5F95}"/>
    <hyperlink ref="G26" location="'SPL74'!A1" display="'SPL74'!A1" xr:uid="{0228FD6C-4F88-4113-A4AB-8A94710732A8}"/>
    <hyperlink ref="G68" location="'SPL70'!A1" display="'SPL70'!A1" xr:uid="{B1A6BD71-D0AD-4B2C-B581-42E5805580D6}"/>
    <hyperlink ref="G48" location="'SPL69'!A1" display="'SPL69'!A1" xr:uid="{F1538D8E-27E2-446D-9E39-751BDF5FCFEB}"/>
    <hyperlink ref="G72" location="'SPL68'!A1" display="'SPL68'!A1" xr:uid="{5FE6082A-2A96-4786-99A7-4BC7FE971BE4}"/>
    <hyperlink ref="G46" location="'SPL67'!A1" display="'SPL67'!A1" xr:uid="{958D871F-8649-4F34-98B1-7F78477FDDA1}"/>
    <hyperlink ref="G40" location="'SPL62'!A1" display="'SPL62'!A1" xr:uid="{82FBBDE6-8EAC-4C3F-B831-F1CA90F8E540}"/>
    <hyperlink ref="G58" location="'SPL59'!A1" display="'SPL59'!A1" xr:uid="{E8365D65-B109-4342-A86D-248526FC7B35}"/>
    <hyperlink ref="G66" location="'SPL56'!A1" display="'SPL56'!A1" xr:uid="{82AB2436-8F56-4F2B-A5FE-58679165081D}"/>
    <hyperlink ref="G21" location="'SPL54'!A1" display="'SPL54'!A1" xr:uid="{F15701E3-4089-4D7D-8B02-36FC5B74D524}"/>
    <hyperlink ref="G27" location="'SPL53'!A1" display="'SPL53'!A1" xr:uid="{DCAC5AF8-D2FF-4E68-A7C5-E7DAD5D932B6}"/>
    <hyperlink ref="G43" location="'SPL51'!A1" display="'SPL51'!A1" xr:uid="{0B914D9D-21DA-4270-9319-65F049D93BEE}"/>
    <hyperlink ref="G51" location="'SPL47'!A1" display="'SPL47'!A1" xr:uid="{65EF38A4-4EA7-4AA2-A735-44CA4CA57F79}"/>
    <hyperlink ref="G28" location="'SPL13'!A1" display="'SPL13'!A1" xr:uid="{24E46AD0-4F62-44DA-9D01-7ADEDE9E1025}"/>
    <hyperlink ref="G38" location="'SPL14'!A1" display="'SPL14'!A1" xr:uid="{E6144595-C47E-4D87-A795-04E243DF92D8}"/>
    <hyperlink ref="G45" location="'SPL16'!A1" display="'SPL16'!A1" xr:uid="{F2ACED2C-4BBE-4045-B748-E13E5DE61689}"/>
    <hyperlink ref="G64" location="'SPL17'!A1" display="'SPL17'!A1" xr:uid="{40092572-BC04-43CF-91E7-7953F57ED013}"/>
    <hyperlink ref="G61" location="'SPL18'!A1" display="'SPL18'!A1" xr:uid="{8A706BC9-B083-4873-BC96-7D2528948273}"/>
    <hyperlink ref="G53" location="'SPL20'!A1" display="'SPL20'!A1" xr:uid="{4DF51D4C-8EEC-49BB-8B28-91B0CC5397F3}"/>
    <hyperlink ref="G69" location="'SPL23'!A1" display="'SPL23'!A1" xr:uid="{81280AD2-78D0-4AB7-9D67-F96F65CE256D}"/>
    <hyperlink ref="G56" location="'SPL25'!A1" display="'SPL25'!A1" xr:uid="{7C665486-5D18-4506-BD6D-1089323A1713}"/>
    <hyperlink ref="G60" location="'SPL26'!A1" display="'SPL26'!A1" xr:uid="{3E234F4A-9407-4BF4-B4C9-44C5C40B49F7}"/>
    <hyperlink ref="G52" location="'SPL27'!A1" display="'SPL27'!A1" xr:uid="{6F94F930-840E-4AB3-8E15-77C065E39005}"/>
    <hyperlink ref="G44" location="'SPL30'!A1" display="'SPL30'!A1" xr:uid="{ECEF40C9-89F3-4497-B705-C73A4116538C}"/>
    <hyperlink ref="G65" location="'SPL34'!A1" display="'SPL34'!A1" xr:uid="{B439A0EC-D809-429A-8C99-3BEA54DEA2D8}"/>
    <hyperlink ref="G37" location="'SPL36'!A1" display="'SPL36'!A1" xr:uid="{F128442B-D600-46D2-B1B8-CCA561EB0F06}"/>
    <hyperlink ref="G63" location="'SPL37'!A1" display="'SPL37'!A1" xr:uid="{1421BDE6-6900-443B-AA42-39463B8A3A95}"/>
    <hyperlink ref="G9" location="'SPL44'!A1" display="'SPL44'!A1" xr:uid="{E5CECF67-93C1-47C9-BCB2-82AF5E12D86A}"/>
    <hyperlink ref="G20" location="'SPL45'!A1" display="'SPL45'!A1" xr:uid="{FBB6D391-547A-428D-88D5-25001C927831}"/>
    <hyperlink ref="K6" location="'Cumul CM'!A1" display="CUMUL CM" xr:uid="{9620EB2A-76A8-4DD1-8787-A784FAA0CA03}"/>
    <hyperlink ref="K8" location="'CUMUL SPL'!A1" display="'CUMUL SPL" xr:uid="{74135F76-D309-46AA-AE7C-9FB821F21845}"/>
    <hyperlink ref="G24" location="'CM60'!A1" display="'CM60'!A1" xr:uid="{2BCD6937-02C9-4027-8A00-CCD238029C21}"/>
    <hyperlink ref="G29" location="'CM61'!A1" display="'CM61'!A1" xr:uid="{E89D481B-602B-4E70-88ED-34712583B06A}"/>
  </hyperlinks>
  <printOptions horizontalCentered="1"/>
  <pageMargins left="0" right="0" top="0" bottom="0" header="0" footer="0"/>
  <pageSetup paperSize="9" scale="6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  <pageSetUpPr fitToPage="1"/>
  </sheetPr>
  <dimension ref="A1:H48"/>
  <sheetViews>
    <sheetView workbookViewId="0">
      <selection activeCell="D11" sqref="D11"/>
    </sheetView>
  </sheetViews>
  <sheetFormatPr baseColWidth="10" defaultColWidth="11.44140625" defaultRowHeight="13.2" x14ac:dyDescent="0.25"/>
  <cols>
    <col min="1" max="1" width="32.44140625" style="1" customWidth="1"/>
    <col min="2" max="2" width="20.6640625" style="1" customWidth="1"/>
    <col min="3" max="3" width="19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7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7" x14ac:dyDescent="0.25">
      <c r="A3" s="126" t="s">
        <v>5</v>
      </c>
      <c r="B3" s="126"/>
      <c r="C3" s="126"/>
      <c r="D3" s="126"/>
      <c r="E3" s="126"/>
      <c r="F3" s="126"/>
      <c r="G3" s="126"/>
    </row>
    <row r="4" spans="1:7" ht="15" x14ac:dyDescent="0.25">
      <c r="A4" s="2"/>
      <c r="B4" s="5" t="s">
        <v>10</v>
      </c>
      <c r="D4" s="11" t="s">
        <v>12</v>
      </c>
      <c r="F4" s="129" t="s">
        <v>15</v>
      </c>
      <c r="G4" s="130" t="s">
        <v>689</v>
      </c>
    </row>
    <row r="5" spans="1:7" ht="15" x14ac:dyDescent="0.25">
      <c r="A5" s="5" t="s">
        <v>8</v>
      </c>
      <c r="B5" s="10" t="s">
        <v>82</v>
      </c>
      <c r="C5" s="16"/>
      <c r="D5" s="17">
        <v>37.58</v>
      </c>
      <c r="E5" s="6"/>
      <c r="F5" s="129"/>
      <c r="G5" s="131"/>
    </row>
    <row r="6" spans="1:7" ht="15" x14ac:dyDescent="0.25">
      <c r="A6" s="5" t="s">
        <v>9</v>
      </c>
      <c r="B6" s="10" t="s">
        <v>83</v>
      </c>
      <c r="C6" s="10"/>
      <c r="D6" s="6">
        <v>1.9E-2</v>
      </c>
      <c r="F6" s="2"/>
      <c r="G6" s="2"/>
    </row>
    <row r="7" spans="1:7" ht="15" x14ac:dyDescent="0.25">
      <c r="A7" s="5" t="s">
        <v>16</v>
      </c>
      <c r="B7" s="12" t="s">
        <v>84</v>
      </c>
      <c r="C7" s="12"/>
    </row>
    <row r="8" spans="1:7" ht="15" x14ac:dyDescent="0.25">
      <c r="A8" s="11" t="s">
        <v>71</v>
      </c>
      <c r="B8" s="18">
        <v>67.45</v>
      </c>
    </row>
    <row r="9" spans="1:7" x14ac:dyDescent="0.25">
      <c r="A9" s="11" t="s">
        <v>72</v>
      </c>
      <c r="B9" s="77">
        <v>49.69</v>
      </c>
    </row>
    <row r="10" spans="1:7" ht="15" x14ac:dyDescent="0.25">
      <c r="A10" s="5"/>
      <c r="B10" s="11" t="s">
        <v>70</v>
      </c>
      <c r="C10" s="2"/>
      <c r="D10" s="2"/>
      <c r="G10" s="11" t="s">
        <v>61</v>
      </c>
    </row>
    <row r="11" spans="1:7" ht="15" x14ac:dyDescent="0.25">
      <c r="B11" s="17">
        <v>2098</v>
      </c>
      <c r="C11" s="2"/>
      <c r="D11" s="2"/>
      <c r="G11" s="18">
        <v>0</v>
      </c>
    </row>
    <row r="12" spans="1:7" ht="15" x14ac:dyDescent="0.25">
      <c r="A12" s="5" t="s">
        <v>62</v>
      </c>
      <c r="B12" s="17">
        <v>0</v>
      </c>
      <c r="C12" s="2"/>
      <c r="D12" s="2"/>
      <c r="E12" s="2"/>
      <c r="F12" s="53" t="s">
        <v>55</v>
      </c>
      <c r="G12" s="53" t="s">
        <v>56</v>
      </c>
    </row>
    <row r="13" spans="1:7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7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7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7" x14ac:dyDescent="0.25">
      <c r="A16" s="66" t="s">
        <v>87</v>
      </c>
      <c r="B16" s="66" t="s">
        <v>88</v>
      </c>
      <c r="C16" s="66">
        <v>360.2</v>
      </c>
      <c r="D16" s="66">
        <v>5</v>
      </c>
      <c r="E16" s="66">
        <f>C16*D16</f>
        <v>1801</v>
      </c>
      <c r="F16" s="73">
        <v>-4.4400000000000002E-2</v>
      </c>
      <c r="G16" s="68">
        <f>(E16*F16)+E16</f>
        <v>1721.0355999999999</v>
      </c>
    </row>
    <row r="17" spans="1:8" x14ac:dyDescent="0.25">
      <c r="A17" s="66" t="s">
        <v>89</v>
      </c>
      <c r="B17" s="66" t="s">
        <v>90</v>
      </c>
      <c r="C17" s="66">
        <v>2.5021</v>
      </c>
      <c r="D17" s="66">
        <f>92*5</f>
        <v>460</v>
      </c>
      <c r="E17" s="68">
        <f t="shared" ref="E17:E22" si="0">C17*D17</f>
        <v>1150.9659999999999</v>
      </c>
      <c r="F17" s="66">
        <v>0</v>
      </c>
      <c r="G17" s="68">
        <f t="shared" ref="G17:G22" si="1">(E17*F17)+E17</f>
        <v>1150.9659999999999</v>
      </c>
    </row>
    <row r="18" spans="1:8" x14ac:dyDescent="0.25">
      <c r="A18" s="66" t="s">
        <v>253</v>
      </c>
      <c r="B18" s="66" t="s">
        <v>252</v>
      </c>
      <c r="C18" s="66">
        <v>335</v>
      </c>
      <c r="D18" s="66">
        <v>1</v>
      </c>
      <c r="E18" s="66">
        <f t="shared" si="0"/>
        <v>335</v>
      </c>
      <c r="F18" s="66">
        <v>0</v>
      </c>
      <c r="G18" s="68">
        <f t="shared" si="1"/>
        <v>335</v>
      </c>
    </row>
    <row r="19" spans="1:8" x14ac:dyDescent="0.25">
      <c r="A19" s="15"/>
      <c r="B19" s="15"/>
      <c r="C19" s="66"/>
      <c r="D19" s="66"/>
      <c r="E19" s="66">
        <f t="shared" si="0"/>
        <v>0</v>
      </c>
      <c r="F19" s="15"/>
      <c r="G19" s="68">
        <f t="shared" si="1"/>
        <v>0</v>
      </c>
    </row>
    <row r="20" spans="1:8" ht="15" customHeight="1" x14ac:dyDescent="0.25">
      <c r="A20" s="15"/>
      <c r="B20" s="15"/>
      <c r="C20" s="69"/>
      <c r="D20" s="69"/>
      <c r="E20" s="66">
        <f t="shared" si="0"/>
        <v>0</v>
      </c>
      <c r="F20" s="15"/>
      <c r="G20" s="68">
        <f t="shared" si="1"/>
        <v>0</v>
      </c>
    </row>
    <row r="21" spans="1:8" ht="15" customHeight="1" x14ac:dyDescent="0.25">
      <c r="A21" s="15"/>
      <c r="B21" s="15"/>
      <c r="C21" s="69"/>
      <c r="D21" s="69"/>
      <c r="E21" s="66">
        <f t="shared" si="0"/>
        <v>0</v>
      </c>
      <c r="F21" s="15"/>
      <c r="G21" s="68">
        <f t="shared" si="1"/>
        <v>0</v>
      </c>
    </row>
    <row r="22" spans="1:8" ht="15" customHeight="1" x14ac:dyDescent="0.25">
      <c r="A22" s="66"/>
      <c r="B22" s="70"/>
      <c r="C22" s="69"/>
      <c r="D22" s="69"/>
      <c r="E22" s="66">
        <f t="shared" si="0"/>
        <v>0</v>
      </c>
      <c r="F22" s="15"/>
      <c r="G22" s="68">
        <f t="shared" si="1"/>
        <v>0</v>
      </c>
    </row>
    <row r="23" spans="1:8" ht="15" x14ac:dyDescent="0.25">
      <c r="A23" s="2"/>
      <c r="B23" s="2"/>
      <c r="C23" s="2"/>
      <c r="D23" s="2"/>
      <c r="E23" s="2"/>
      <c r="F23" s="2"/>
      <c r="G23" s="2"/>
    </row>
    <row r="24" spans="1:8" ht="30" customHeight="1" x14ac:dyDescent="0.25">
      <c r="A24" s="106" t="s">
        <v>78</v>
      </c>
      <c r="B24" s="132" t="s">
        <v>11</v>
      </c>
      <c r="C24" s="132"/>
      <c r="D24" s="132"/>
      <c r="E24" s="132"/>
      <c r="F24" s="113">
        <f>SUM(G16:G22)</f>
        <v>3207.0015999999996</v>
      </c>
      <c r="G24" s="113"/>
    </row>
    <row r="25" spans="1:8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8" ht="15" x14ac:dyDescent="0.25">
      <c r="A26" s="2"/>
      <c r="B26" s="2"/>
      <c r="C26" s="2"/>
      <c r="D26" s="2"/>
      <c r="E26" s="2"/>
      <c r="F26" s="2"/>
      <c r="G26" s="2"/>
    </row>
    <row r="27" spans="1:8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8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8" ht="15" x14ac:dyDescent="0.25">
      <c r="A29" s="43" t="s">
        <v>7</v>
      </c>
      <c r="B29" s="41" t="s">
        <v>86</v>
      </c>
      <c r="C29" s="40">
        <f>IFERROR(VLOOKUP(B29,Liste!C1:D5,2,FALSE),"")</f>
        <v>2500</v>
      </c>
      <c r="D29" s="54">
        <f>IFERROR(C29/4.33,0)</f>
        <v>577.36720554272517</v>
      </c>
      <c r="H29" s="7"/>
    </row>
    <row r="30" spans="1:8" ht="15" x14ac:dyDescent="0.3">
      <c r="A30" s="43" t="s">
        <v>66</v>
      </c>
      <c r="B30" s="46" t="s">
        <v>43</v>
      </c>
      <c r="C30" s="40">
        <f>IFERROR(VLOOKUP(B30,Liste!$C$7:$D$15,2,FALSE),"")</f>
        <v>400</v>
      </c>
      <c r="D30" s="54">
        <f>IFERROR(C30/4.33,0)</f>
        <v>92.378752886836025</v>
      </c>
      <c r="H30" s="7"/>
    </row>
    <row r="31" spans="1:8" ht="15" x14ac:dyDescent="0.3">
      <c r="A31" s="43" t="s">
        <v>67</v>
      </c>
      <c r="B31" s="46" t="s">
        <v>69</v>
      </c>
      <c r="C31" s="40" t="str">
        <f>IFERROR(VLOOKUP(B31,Liste!$C$7:$D$15,2,FALSE),"")</f>
        <v/>
      </c>
      <c r="D31" s="54">
        <f t="shared" ref="D31:D33" si="2">IFERROR(C31/4.33,0)</f>
        <v>0</v>
      </c>
      <c r="H31" s="7"/>
    </row>
    <row r="32" spans="1:8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2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2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1.3553999999999999</v>
      </c>
      <c r="D34" s="54">
        <f>(B11*D5/100)*C34</f>
        <v>1068.6358533600001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0</v>
      </c>
      <c r="D35" s="54">
        <f>(D5*B11/100)*C35</f>
        <v>0</v>
      </c>
      <c r="H35" s="7"/>
    </row>
    <row r="36" spans="1:8" ht="15" x14ac:dyDescent="0.3">
      <c r="A36" s="43" t="s">
        <v>3</v>
      </c>
      <c r="B36" s="42"/>
      <c r="C36" s="65">
        <v>0.43090000000000001</v>
      </c>
      <c r="D36" s="54">
        <f>(D6*B11)*C36</f>
        <v>17.1765358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83.92</v>
      </c>
      <c r="E38" s="49"/>
      <c r="H38" s="7"/>
    </row>
    <row r="39" spans="1:8" ht="15" x14ac:dyDescent="0.25">
      <c r="A39" s="43" t="s">
        <v>13</v>
      </c>
      <c r="B39" s="41">
        <f>B12</f>
        <v>0</v>
      </c>
      <c r="C39" s="56">
        <v>5</v>
      </c>
      <c r="D39" s="54">
        <f>C39*B39</f>
        <v>0</v>
      </c>
      <c r="H39" s="7"/>
    </row>
    <row r="40" spans="1:8" ht="15" x14ac:dyDescent="0.25">
      <c r="A40" s="43" t="s">
        <v>14</v>
      </c>
      <c r="B40" s="48" t="s">
        <v>56</v>
      </c>
      <c r="C40" s="40">
        <v>1</v>
      </c>
      <c r="D40" s="40">
        <v>1259.6099999999999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3099.0883475895612</v>
      </c>
    </row>
    <row r="46" spans="1:8" x14ac:dyDescent="0.25">
      <c r="C46" s="6" t="s">
        <v>49</v>
      </c>
      <c r="D46" s="47">
        <f>F24-D45</f>
        <v>107.91325241043842</v>
      </c>
    </row>
    <row r="48" spans="1:8" ht="39" customHeight="1" x14ac:dyDescent="0.25">
      <c r="C48" s="58" t="s">
        <v>48</v>
      </c>
      <c r="D48" s="59">
        <f>D46/F24</f>
        <v>3.3649266782541806E-2</v>
      </c>
    </row>
  </sheetData>
  <mergeCells count="6">
    <mergeCell ref="A1:G1"/>
    <mergeCell ref="A3:G3"/>
    <mergeCell ref="A27:G27"/>
    <mergeCell ref="B24:E24"/>
    <mergeCell ref="F4:F5"/>
    <mergeCell ref="G4:G5"/>
  </mergeCells>
  <hyperlinks>
    <hyperlink ref="A25" location="Sommaire!A1" display="SOMMAIRE" xr:uid="{9171424D-327D-4488-8EDB-CE67F0F06F50}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81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52CCE68-2F85-41C1-8FD0-145D30826640}">
          <x14:formula1>
            <xm:f>Liste!$C$2:$C$5</xm:f>
          </x14:formula1>
          <xm:sqref>B29</xm:sqref>
        </x14:dataValidation>
        <x14:dataValidation type="list" allowBlank="1" showInputMessage="1" showErrorMessage="1" xr:uid="{4145DC4D-373F-4AD0-84EA-99A25DD05550}">
          <x14:formula1>
            <xm:f>Liste!$A$21:$A$22</xm:f>
          </x14:formula1>
          <xm:sqref>B40</xm:sqref>
        </x14:dataValidation>
        <x14:dataValidation type="list" allowBlank="1" showInputMessage="1" showErrorMessage="1" xr:uid="{5563620B-4390-4809-B2AA-1A62AB647B9E}">
          <x14:formula1>
            <xm:f>Liste!$A$24:$A$25</xm:f>
          </x14:formula1>
          <xm:sqref>B42</xm:sqref>
        </x14:dataValidation>
        <x14:dataValidation type="list" allowBlank="1" showInputMessage="1" showErrorMessage="1" xr:uid="{DE360BBC-A8AC-411F-AA41-05E6E229BE1D}">
          <x14:formula1>
            <xm:f>Liste!$C$7:$C$16</xm:f>
          </x14:formula1>
          <xm:sqref>B30:B33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51CC6-7CD7-4AE8-A1B6-4EA386C52552}">
  <sheetPr>
    <tabColor theme="4" tint="0.39997558519241921"/>
  </sheetPr>
  <dimension ref="A1:I48"/>
  <sheetViews>
    <sheetView topLeftCell="A29" workbookViewId="0">
      <selection activeCell="K12" sqref="K12"/>
    </sheetView>
  </sheetViews>
  <sheetFormatPr baseColWidth="10" defaultColWidth="11.44140625" defaultRowHeight="13.2" x14ac:dyDescent="0.25"/>
  <cols>
    <col min="1" max="1" width="32.44140625" style="1" customWidth="1"/>
    <col min="2" max="2" width="20.6640625" style="1" customWidth="1"/>
    <col min="3" max="3" width="19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7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7" x14ac:dyDescent="0.25">
      <c r="A3" s="126" t="s">
        <v>5</v>
      </c>
      <c r="B3" s="126"/>
      <c r="C3" s="126"/>
      <c r="D3" s="126"/>
      <c r="E3" s="126"/>
      <c r="F3" s="126"/>
      <c r="G3" s="126"/>
    </row>
    <row r="4" spans="1:7" ht="15" x14ac:dyDescent="0.25">
      <c r="A4" s="2"/>
      <c r="B4" s="5" t="s">
        <v>10</v>
      </c>
      <c r="D4" s="11" t="s">
        <v>12</v>
      </c>
      <c r="F4" s="129" t="s">
        <v>15</v>
      </c>
      <c r="G4" s="130" t="s">
        <v>689</v>
      </c>
    </row>
    <row r="5" spans="1:7" ht="15" x14ac:dyDescent="0.25">
      <c r="A5" s="5" t="s">
        <v>8</v>
      </c>
      <c r="B5" s="10" t="s">
        <v>95</v>
      </c>
      <c r="C5" s="63"/>
      <c r="D5" s="17">
        <v>23.82</v>
      </c>
      <c r="E5" s="6"/>
      <c r="F5" s="129"/>
      <c r="G5" s="131"/>
    </row>
    <row r="6" spans="1:7" ht="15" x14ac:dyDescent="0.25">
      <c r="A6" s="5" t="s">
        <v>9</v>
      </c>
      <c r="B6" s="10" t="s">
        <v>83</v>
      </c>
      <c r="C6" s="10"/>
      <c r="D6" s="6">
        <v>1.9E-2</v>
      </c>
      <c r="F6" s="2"/>
      <c r="G6" s="2"/>
    </row>
    <row r="7" spans="1:7" ht="15" x14ac:dyDescent="0.25">
      <c r="A7" s="5" t="s">
        <v>16</v>
      </c>
      <c r="B7" s="12" t="s">
        <v>677</v>
      </c>
      <c r="C7" s="12"/>
    </row>
    <row r="8" spans="1:7" ht="15" x14ac:dyDescent="0.25">
      <c r="A8" s="11" t="s">
        <v>71</v>
      </c>
      <c r="B8" s="18">
        <v>57.07</v>
      </c>
    </row>
    <row r="9" spans="1:7" x14ac:dyDescent="0.25">
      <c r="A9" s="11" t="s">
        <v>72</v>
      </c>
      <c r="B9" s="77">
        <v>44.82</v>
      </c>
    </row>
    <row r="10" spans="1:7" ht="15" x14ac:dyDescent="0.25">
      <c r="A10" s="5"/>
      <c r="B10" s="11" t="s">
        <v>70</v>
      </c>
      <c r="C10" s="2"/>
      <c r="D10" s="2"/>
      <c r="G10" s="11" t="s">
        <v>61</v>
      </c>
    </row>
    <row r="11" spans="1:7" ht="15" x14ac:dyDescent="0.25">
      <c r="B11" s="17">
        <v>2633</v>
      </c>
      <c r="D11" s="2"/>
      <c r="G11" s="18">
        <v>0</v>
      </c>
    </row>
    <row r="12" spans="1:7" ht="15.6" x14ac:dyDescent="0.3">
      <c r="A12" s="5" t="s">
        <v>62</v>
      </c>
      <c r="B12" s="17">
        <v>34.159999999999997</v>
      </c>
      <c r="C12" s="72" t="s">
        <v>96</v>
      </c>
      <c r="D12" s="2"/>
      <c r="E12" s="2"/>
      <c r="F12" s="53" t="s">
        <v>55</v>
      </c>
      <c r="G12" s="53" t="s">
        <v>56</v>
      </c>
    </row>
    <row r="13" spans="1:7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7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7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7" x14ac:dyDescent="0.25">
      <c r="A16" s="66" t="s">
        <v>97</v>
      </c>
      <c r="B16" s="66" t="s">
        <v>88</v>
      </c>
      <c r="C16" s="66">
        <v>483.3</v>
      </c>
      <c r="D16" s="66">
        <v>5</v>
      </c>
      <c r="E16" s="66">
        <f>C16*D16</f>
        <v>2416.5</v>
      </c>
      <c r="F16" s="73">
        <v>-3.9199999999999999E-2</v>
      </c>
      <c r="G16" s="68">
        <f>(E16*F16)+E16</f>
        <v>2321.7732000000001</v>
      </c>
    </row>
    <row r="17" spans="1:9" x14ac:dyDescent="0.25">
      <c r="A17" s="66" t="s">
        <v>98</v>
      </c>
      <c r="B17" s="66" t="s">
        <v>90</v>
      </c>
      <c r="C17" s="66">
        <v>283</v>
      </c>
      <c r="D17" s="66">
        <v>5</v>
      </c>
      <c r="E17" s="68">
        <f t="shared" ref="E17:E22" si="0">C17*D17</f>
        <v>1415</v>
      </c>
      <c r="F17" s="66">
        <f>13.44*5</f>
        <v>67.2</v>
      </c>
      <c r="G17" s="68">
        <f>(E17+F17)</f>
        <v>1482.2</v>
      </c>
      <c r="I17" s="1" t="s">
        <v>99</v>
      </c>
    </row>
    <row r="18" spans="1:9" x14ac:dyDescent="0.25">
      <c r="A18" s="78" t="s">
        <v>254</v>
      </c>
      <c r="B18" s="15"/>
      <c r="C18" s="66"/>
      <c r="D18" s="66"/>
      <c r="E18" s="66">
        <f t="shared" si="0"/>
        <v>0</v>
      </c>
      <c r="F18" s="15"/>
      <c r="G18" s="68">
        <f t="shared" ref="G18:G22" si="1">(E18*F18)+E18</f>
        <v>0</v>
      </c>
    </row>
    <row r="19" spans="1:9" x14ac:dyDescent="0.25">
      <c r="A19" s="15"/>
      <c r="B19" s="15"/>
      <c r="C19" s="66"/>
      <c r="D19" s="66"/>
      <c r="E19" s="66">
        <f t="shared" si="0"/>
        <v>0</v>
      </c>
      <c r="F19" s="15"/>
      <c r="G19" s="68">
        <f t="shared" si="1"/>
        <v>0</v>
      </c>
    </row>
    <row r="20" spans="1:9" ht="15" customHeight="1" x14ac:dyDescent="0.25">
      <c r="A20" s="15"/>
      <c r="B20" s="15"/>
      <c r="C20" s="69"/>
      <c r="D20" s="69"/>
      <c r="E20" s="66">
        <f t="shared" si="0"/>
        <v>0</v>
      </c>
      <c r="F20" s="15"/>
      <c r="G20" s="68">
        <f t="shared" si="1"/>
        <v>0</v>
      </c>
    </row>
    <row r="21" spans="1:9" ht="15" customHeight="1" x14ac:dyDescent="0.25">
      <c r="A21" s="15"/>
      <c r="B21" s="15"/>
      <c r="C21" s="69"/>
      <c r="D21" s="69"/>
      <c r="E21" s="66">
        <f t="shared" si="0"/>
        <v>0</v>
      </c>
      <c r="F21" s="15"/>
      <c r="G21" s="68">
        <f t="shared" si="1"/>
        <v>0</v>
      </c>
    </row>
    <row r="22" spans="1:9" ht="15" customHeight="1" x14ac:dyDescent="0.25">
      <c r="A22" s="66"/>
      <c r="B22" s="70"/>
      <c r="C22" s="69"/>
      <c r="D22" s="69"/>
      <c r="E22" s="66">
        <f t="shared" si="0"/>
        <v>0</v>
      </c>
      <c r="F22" s="15"/>
      <c r="G22" s="68">
        <f t="shared" si="1"/>
        <v>0</v>
      </c>
    </row>
    <row r="23" spans="1:9" ht="15" x14ac:dyDescent="0.25">
      <c r="A23" s="2"/>
      <c r="B23" s="2"/>
      <c r="C23" s="2"/>
      <c r="D23" s="2"/>
      <c r="E23" s="2"/>
      <c r="F23" s="2"/>
      <c r="G23" s="2"/>
    </row>
    <row r="24" spans="1:9" ht="30" customHeight="1" x14ac:dyDescent="0.25">
      <c r="A24" s="106" t="s">
        <v>91</v>
      </c>
      <c r="B24" s="132" t="s">
        <v>11</v>
      </c>
      <c r="C24" s="132"/>
      <c r="D24" s="132"/>
      <c r="E24" s="132"/>
      <c r="F24" s="113">
        <f>SUM(G16:G22)</f>
        <v>3803.9732000000004</v>
      </c>
      <c r="G24" s="113"/>
    </row>
    <row r="25" spans="1:9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9" ht="15" x14ac:dyDescent="0.25">
      <c r="A26" s="2"/>
      <c r="B26" s="2"/>
      <c r="C26" s="2"/>
      <c r="D26" s="2"/>
      <c r="E26" s="2"/>
      <c r="F26" s="2"/>
      <c r="G26" s="2"/>
    </row>
    <row r="27" spans="1:9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9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9" ht="15" x14ac:dyDescent="0.25">
      <c r="A29" s="43" t="s">
        <v>7</v>
      </c>
      <c r="B29" s="41" t="s">
        <v>86</v>
      </c>
      <c r="C29" s="40">
        <f>IFERROR(VLOOKUP(B29,Liste!C1:D5,2,FALSE),"")</f>
        <v>2500</v>
      </c>
      <c r="D29" s="54">
        <f>IFERROR(C29/4.33,0)</f>
        <v>577.36720554272517</v>
      </c>
      <c r="H29" s="7"/>
    </row>
    <row r="30" spans="1:9" ht="15" x14ac:dyDescent="0.3">
      <c r="A30" s="43" t="s">
        <v>66</v>
      </c>
      <c r="B30" s="46" t="s">
        <v>43</v>
      </c>
      <c r="C30" s="40">
        <f>IFERROR(VLOOKUP(B30,Liste!$C$7:$D$15,2,FALSE),"")</f>
        <v>400</v>
      </c>
      <c r="D30" s="54">
        <f>IFERROR(C30/4.33,0)</f>
        <v>92.378752886836025</v>
      </c>
      <c r="H30" s="7"/>
    </row>
    <row r="31" spans="1:9" ht="15" x14ac:dyDescent="0.3">
      <c r="A31" s="43" t="s">
        <v>67</v>
      </c>
      <c r="B31" s="46" t="s">
        <v>69</v>
      </c>
      <c r="C31" s="40" t="str">
        <f>IFERROR(VLOOKUP(B31,Liste!$C$7:$D$15,2,FALSE),"")</f>
        <v/>
      </c>
      <c r="D31" s="54">
        <f t="shared" ref="D31:D33" si="2">IFERROR(C31/4.33,0)</f>
        <v>0</v>
      </c>
      <c r="H31" s="7"/>
    </row>
    <row r="32" spans="1:9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2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2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1.3553999999999999</v>
      </c>
      <c r="D34" s="54">
        <f>(B11*D5/100)*C34</f>
        <v>850.08058524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0</v>
      </c>
      <c r="D35" s="54">
        <f>(D5*B11/100)*C35</f>
        <v>0</v>
      </c>
      <c r="H35" s="7"/>
    </row>
    <row r="36" spans="1:8" ht="15" x14ac:dyDescent="0.3">
      <c r="A36" s="43" t="s">
        <v>3</v>
      </c>
      <c r="B36" s="42"/>
      <c r="C36" s="65">
        <v>0.43090000000000001</v>
      </c>
      <c r="D36" s="54">
        <f>(D6*B11)*C36</f>
        <v>21.556634300000002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105.32000000000001</v>
      </c>
      <c r="E38" s="49"/>
      <c r="H38" s="7"/>
    </row>
    <row r="39" spans="1:8" ht="15" x14ac:dyDescent="0.25">
      <c r="A39" s="43" t="s">
        <v>13</v>
      </c>
      <c r="B39" s="41">
        <f>B12</f>
        <v>34.159999999999997</v>
      </c>
      <c r="C39" s="56">
        <v>5</v>
      </c>
      <c r="D39" s="54">
        <f>C39*B39</f>
        <v>170.79999999999998</v>
      </c>
      <c r="H39" s="7"/>
    </row>
    <row r="40" spans="1:8" ht="15" x14ac:dyDescent="0.25">
      <c r="A40" s="43" t="s">
        <v>14</v>
      </c>
      <c r="B40" s="48" t="s">
        <v>56</v>
      </c>
      <c r="C40" s="40">
        <v>1</v>
      </c>
      <c r="D40" s="40">
        <v>1437.07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3254.5731779695607</v>
      </c>
    </row>
    <row r="46" spans="1:8" x14ac:dyDescent="0.25">
      <c r="C46" s="6" t="s">
        <v>49</v>
      </c>
      <c r="D46" s="47">
        <f>F24-D45</f>
        <v>549.40002203043969</v>
      </c>
    </row>
    <row r="48" spans="1:8" ht="39" customHeight="1" x14ac:dyDescent="0.25">
      <c r="C48" s="58" t="s">
        <v>48</v>
      </c>
      <c r="D48" s="59">
        <f>D46/F24</f>
        <v>0.1444279423499723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ED0A075B-14DF-45FF-BCD4-9F07219E1523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0B0DC44-FF4A-4133-9379-DAE9E147B969}">
          <x14:formula1>
            <xm:f>Liste!$C$7:$C$16</xm:f>
          </x14:formula1>
          <xm:sqref>B30:B33</xm:sqref>
        </x14:dataValidation>
        <x14:dataValidation type="list" allowBlank="1" showInputMessage="1" showErrorMessage="1" xr:uid="{771FA049-00F6-4376-AE73-27A9A5863AC0}">
          <x14:formula1>
            <xm:f>Liste!$A$24:$A$25</xm:f>
          </x14:formula1>
          <xm:sqref>B42</xm:sqref>
        </x14:dataValidation>
        <x14:dataValidation type="list" allowBlank="1" showInputMessage="1" showErrorMessage="1" xr:uid="{211C44E2-5D87-44A3-B074-5E59693604FD}">
          <x14:formula1>
            <xm:f>Liste!$A$21:$A$22</xm:f>
          </x14:formula1>
          <xm:sqref>B40</xm:sqref>
        </x14:dataValidation>
        <x14:dataValidation type="list" allowBlank="1" showInputMessage="1" showErrorMessage="1" xr:uid="{403BC3F0-9203-4F45-A3F3-69EBC6778C7B}">
          <x14:formula1>
            <xm:f>Liste!$C$2:$C$5</xm:f>
          </x14:formula1>
          <xm:sqref>B29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A343-0236-47E6-8BD9-D1ABDADEE31C}">
  <sheetPr>
    <tabColor theme="4" tint="0.39997558519241921"/>
  </sheetPr>
  <dimension ref="A1:H48"/>
  <sheetViews>
    <sheetView topLeftCell="A38" workbookViewId="0">
      <selection activeCell="E12" sqref="E12"/>
    </sheetView>
  </sheetViews>
  <sheetFormatPr baseColWidth="10" defaultColWidth="11.44140625" defaultRowHeight="13.2" x14ac:dyDescent="0.25"/>
  <cols>
    <col min="1" max="1" width="32.44140625" style="1" customWidth="1"/>
    <col min="2" max="2" width="20.6640625" style="1" customWidth="1"/>
    <col min="3" max="3" width="20.44140625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7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7" x14ac:dyDescent="0.25">
      <c r="A3" s="126" t="s">
        <v>5</v>
      </c>
      <c r="B3" s="126"/>
      <c r="C3" s="126"/>
      <c r="D3" s="126"/>
      <c r="E3" s="126"/>
      <c r="F3" s="126"/>
      <c r="G3" s="126"/>
    </row>
    <row r="4" spans="1:7" ht="15" x14ac:dyDescent="0.25">
      <c r="A4" s="2"/>
      <c r="B4" s="5" t="s">
        <v>10</v>
      </c>
      <c r="D4" s="11" t="s">
        <v>12</v>
      </c>
      <c r="F4" s="129" t="s">
        <v>15</v>
      </c>
      <c r="G4" s="130" t="s">
        <v>688</v>
      </c>
    </row>
    <row r="5" spans="1:7" ht="15" x14ac:dyDescent="0.25">
      <c r="A5" s="5" t="s">
        <v>8</v>
      </c>
      <c r="B5" s="10" t="s">
        <v>104</v>
      </c>
      <c r="C5" s="63"/>
      <c r="D5" s="17">
        <v>28.45</v>
      </c>
      <c r="E5" s="6"/>
      <c r="F5" s="129"/>
      <c r="G5" s="131"/>
    </row>
    <row r="6" spans="1:7" ht="15" x14ac:dyDescent="0.25">
      <c r="A6" s="5" t="s">
        <v>9</v>
      </c>
      <c r="B6" s="10" t="s">
        <v>83</v>
      </c>
      <c r="C6" s="10"/>
      <c r="D6" s="6">
        <v>1.9E-2</v>
      </c>
      <c r="F6" s="2"/>
      <c r="G6" s="2"/>
    </row>
    <row r="7" spans="1:7" ht="15" x14ac:dyDescent="0.25">
      <c r="A7" s="5" t="s">
        <v>16</v>
      </c>
      <c r="B7" s="12" t="s">
        <v>106</v>
      </c>
      <c r="C7" s="12" t="s">
        <v>105</v>
      </c>
    </row>
    <row r="8" spans="1:7" ht="15" x14ac:dyDescent="0.25">
      <c r="A8" s="11" t="s">
        <v>71</v>
      </c>
      <c r="B8" s="18">
        <v>38.840000000000003</v>
      </c>
      <c r="C8" s="18">
        <v>65.47</v>
      </c>
    </row>
    <row r="9" spans="1:7" x14ac:dyDescent="0.25">
      <c r="A9" s="11" t="s">
        <v>72</v>
      </c>
      <c r="B9" s="77">
        <v>32.79</v>
      </c>
      <c r="C9" s="77">
        <v>46.84</v>
      </c>
    </row>
    <row r="10" spans="1:7" ht="15" x14ac:dyDescent="0.25">
      <c r="A10" s="5"/>
      <c r="B10" s="11" t="s">
        <v>70</v>
      </c>
      <c r="C10" s="2"/>
      <c r="D10" s="2"/>
      <c r="G10" s="11" t="s">
        <v>61</v>
      </c>
    </row>
    <row r="11" spans="1:7" ht="15" x14ac:dyDescent="0.25">
      <c r="B11" s="17">
        <v>4328</v>
      </c>
      <c r="D11" s="2"/>
      <c r="G11" s="18">
        <v>0</v>
      </c>
    </row>
    <row r="12" spans="1:7" ht="15" x14ac:dyDescent="0.25">
      <c r="A12" s="5" t="s">
        <v>62</v>
      </c>
      <c r="B12" s="17">
        <v>164</v>
      </c>
      <c r="C12" s="74">
        <v>152.69</v>
      </c>
      <c r="D12" s="2"/>
      <c r="E12" s="2"/>
      <c r="F12" s="53" t="s">
        <v>55</v>
      </c>
      <c r="G12" s="53" t="s">
        <v>56</v>
      </c>
    </row>
    <row r="13" spans="1:7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7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7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7" x14ac:dyDescent="0.25">
      <c r="A16" s="66" t="s">
        <v>107</v>
      </c>
      <c r="B16" s="66" t="s">
        <v>88</v>
      </c>
      <c r="C16" s="66">
        <v>367</v>
      </c>
      <c r="D16" s="66">
        <v>5</v>
      </c>
      <c r="E16" s="66">
        <f>C16*D16</f>
        <v>1835</v>
      </c>
      <c r="F16" s="73">
        <v>7.2900000000000006E-2</v>
      </c>
      <c r="G16" s="68">
        <f>(E16*F16)+E16</f>
        <v>1968.7715000000001</v>
      </c>
    </row>
    <row r="17" spans="1:8" x14ac:dyDescent="0.25">
      <c r="A17" s="66" t="s">
        <v>108</v>
      </c>
      <c r="B17" s="66" t="s">
        <v>88</v>
      </c>
      <c r="C17" s="66">
        <v>907.69</v>
      </c>
      <c r="D17" s="66">
        <v>5</v>
      </c>
      <c r="E17" s="68">
        <f t="shared" ref="E17:E22" si="0">C17*D17</f>
        <v>4538.4500000000007</v>
      </c>
      <c r="F17" s="73">
        <v>0.1072</v>
      </c>
      <c r="G17" s="68">
        <f>((E17-(C12*5))*F17)+E17</f>
        <v>4943.130000000001</v>
      </c>
    </row>
    <row r="18" spans="1:8" x14ac:dyDescent="0.25">
      <c r="A18" s="15"/>
      <c r="B18" s="15"/>
      <c r="C18" s="66"/>
      <c r="D18" s="66"/>
      <c r="E18" s="66">
        <f t="shared" si="0"/>
        <v>0</v>
      </c>
      <c r="F18" s="15"/>
      <c r="G18" s="68">
        <f t="shared" ref="G18:G22" si="1">(E18*F18)+E18</f>
        <v>0</v>
      </c>
    </row>
    <row r="19" spans="1:8" x14ac:dyDescent="0.25">
      <c r="A19" s="78" t="s">
        <v>254</v>
      </c>
      <c r="B19" s="15"/>
      <c r="C19" s="66"/>
      <c r="D19" s="66"/>
      <c r="E19" s="66">
        <f t="shared" si="0"/>
        <v>0</v>
      </c>
      <c r="F19" s="15"/>
      <c r="G19" s="68">
        <f t="shared" si="1"/>
        <v>0</v>
      </c>
    </row>
    <row r="20" spans="1:8" ht="15" customHeight="1" x14ac:dyDescent="0.25">
      <c r="A20" s="15"/>
      <c r="B20" s="15"/>
      <c r="C20" s="69"/>
      <c r="D20" s="69"/>
      <c r="E20" s="66">
        <f t="shared" si="0"/>
        <v>0</v>
      </c>
      <c r="F20" s="15"/>
      <c r="G20" s="68">
        <f t="shared" si="1"/>
        <v>0</v>
      </c>
    </row>
    <row r="21" spans="1:8" ht="15" customHeight="1" x14ac:dyDescent="0.25">
      <c r="A21" s="15"/>
      <c r="B21" s="15"/>
      <c r="C21" s="69"/>
      <c r="D21" s="69"/>
      <c r="E21" s="66">
        <f t="shared" si="0"/>
        <v>0</v>
      </c>
      <c r="F21" s="15"/>
      <c r="G21" s="68">
        <f t="shared" si="1"/>
        <v>0</v>
      </c>
    </row>
    <row r="22" spans="1:8" ht="15" customHeight="1" x14ac:dyDescent="0.25">
      <c r="A22" s="66"/>
      <c r="B22" s="70"/>
      <c r="C22" s="69"/>
      <c r="D22" s="69"/>
      <c r="E22" s="66">
        <f t="shared" si="0"/>
        <v>0</v>
      </c>
      <c r="F22" s="15"/>
      <c r="G22" s="68">
        <f t="shared" si="1"/>
        <v>0</v>
      </c>
    </row>
    <row r="23" spans="1:8" ht="15" x14ac:dyDescent="0.25">
      <c r="A23" s="2"/>
      <c r="B23" s="2"/>
      <c r="C23" s="2"/>
      <c r="D23" s="2"/>
      <c r="E23" s="2"/>
      <c r="F23" s="2"/>
      <c r="G23" s="2"/>
    </row>
    <row r="24" spans="1:8" ht="30" customHeight="1" x14ac:dyDescent="0.25">
      <c r="A24" s="106" t="s">
        <v>100</v>
      </c>
      <c r="B24" s="132" t="s">
        <v>11</v>
      </c>
      <c r="C24" s="132"/>
      <c r="D24" s="132"/>
      <c r="E24" s="132"/>
      <c r="F24" s="113">
        <f>SUM(G16:G22)</f>
        <v>6911.9015000000009</v>
      </c>
      <c r="G24" s="113"/>
    </row>
    <row r="25" spans="1:8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8" ht="15" x14ac:dyDescent="0.25">
      <c r="A26" s="2"/>
      <c r="B26" s="2"/>
      <c r="C26" s="2"/>
      <c r="D26" s="2"/>
      <c r="E26" s="2"/>
      <c r="F26" s="2"/>
      <c r="G26" s="2"/>
    </row>
    <row r="27" spans="1:8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8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8" ht="15" x14ac:dyDescent="0.25">
      <c r="A29" s="43" t="s">
        <v>7</v>
      </c>
      <c r="B29" s="41" t="s">
        <v>86</v>
      </c>
      <c r="C29" s="40">
        <f>IFERROR(VLOOKUP(B29,Liste!C1:D5,2,FALSE),"")</f>
        <v>2500</v>
      </c>
      <c r="D29" s="54">
        <f>IFERROR(C29/4.33,0)</f>
        <v>577.36720554272517</v>
      </c>
      <c r="H29" s="7"/>
    </row>
    <row r="30" spans="1:8" ht="15" x14ac:dyDescent="0.3">
      <c r="A30" s="43" t="s">
        <v>66</v>
      </c>
      <c r="B30" s="46" t="s">
        <v>43</v>
      </c>
      <c r="C30" s="40">
        <f>IFERROR(VLOOKUP(B30,Liste!$C$7:$D$15,2,FALSE),"")</f>
        <v>400</v>
      </c>
      <c r="D30" s="54">
        <f>IFERROR(C30/4.33,0)</f>
        <v>92.378752886836025</v>
      </c>
      <c r="H30" s="7"/>
    </row>
    <row r="31" spans="1:8" ht="15" x14ac:dyDescent="0.3">
      <c r="A31" s="43" t="s">
        <v>67</v>
      </c>
      <c r="B31" s="46" t="s">
        <v>69</v>
      </c>
      <c r="C31" s="40" t="str">
        <f>IFERROR(VLOOKUP(B31,Liste!$C$7:$D$15,2,FALSE),"")</f>
        <v/>
      </c>
      <c r="D31" s="54">
        <f t="shared" ref="D31:D33" si="2">IFERROR(C31/4.33,0)</f>
        <v>0</v>
      </c>
      <c r="H31" s="7"/>
    </row>
    <row r="32" spans="1:8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2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2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1.3553999999999999</v>
      </c>
      <c r="D34" s="54">
        <f>(B11*D5/100)*C34</f>
        <v>1668.9257063999996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0</v>
      </c>
      <c r="D35" s="54">
        <f>(D5*B11/100)*C35</f>
        <v>0</v>
      </c>
      <c r="H35" s="7"/>
    </row>
    <row r="36" spans="1:8" ht="15" x14ac:dyDescent="0.3">
      <c r="A36" s="43" t="s">
        <v>3</v>
      </c>
      <c r="B36" s="42"/>
      <c r="C36" s="65">
        <v>0.43090000000000001</v>
      </c>
      <c r="D36" s="54">
        <f>(D6*B11)*C36</f>
        <v>35.433768800000003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173.12</v>
      </c>
      <c r="E38" s="49"/>
      <c r="H38" s="7"/>
    </row>
    <row r="39" spans="1:8" ht="15" x14ac:dyDescent="0.25">
      <c r="A39" s="43" t="s">
        <v>13</v>
      </c>
      <c r="B39" s="41">
        <f>B12</f>
        <v>164</v>
      </c>
      <c r="C39" s="56">
        <v>5</v>
      </c>
      <c r="D39" s="54">
        <f>C39*B39</f>
        <v>820</v>
      </c>
      <c r="H39" s="7"/>
    </row>
    <row r="40" spans="1:8" ht="15" x14ac:dyDescent="0.25">
      <c r="A40" s="43" t="s">
        <v>14</v>
      </c>
      <c r="B40" s="48" t="s">
        <v>56</v>
      </c>
      <c r="C40" s="40">
        <v>2</v>
      </c>
      <c r="D40" s="40">
        <f>1016.6+975.01</f>
        <v>1991.6100000000001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5358.8354336295606</v>
      </c>
    </row>
    <row r="46" spans="1:8" x14ac:dyDescent="0.25">
      <c r="C46" s="6" t="s">
        <v>49</v>
      </c>
      <c r="D46" s="47">
        <f>F24-D45</f>
        <v>1553.0660663704402</v>
      </c>
    </row>
    <row r="48" spans="1:8" ht="39" customHeight="1" x14ac:dyDescent="0.25">
      <c r="C48" s="58" t="s">
        <v>48</v>
      </c>
      <c r="D48" s="59">
        <f>D46/F24</f>
        <v>0.22469447320255359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3F3D17AA-B5C5-4DDE-BAD5-63B6CEB1F82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E115C36-A0C3-43E6-975F-D5C658E26483}">
          <x14:formula1>
            <xm:f>Liste!$C$2:$C$5</xm:f>
          </x14:formula1>
          <xm:sqref>B29</xm:sqref>
        </x14:dataValidation>
        <x14:dataValidation type="list" allowBlank="1" showInputMessage="1" showErrorMessage="1" xr:uid="{9D4869EB-F186-4AA6-848C-BC46384758C3}">
          <x14:formula1>
            <xm:f>Liste!$A$21:$A$22</xm:f>
          </x14:formula1>
          <xm:sqref>B40</xm:sqref>
        </x14:dataValidation>
        <x14:dataValidation type="list" allowBlank="1" showInputMessage="1" showErrorMessage="1" xr:uid="{A9AE1DDB-725D-493C-9FFD-AAA35042A310}">
          <x14:formula1>
            <xm:f>Liste!$A$24:$A$25</xm:f>
          </x14:formula1>
          <xm:sqref>B42</xm:sqref>
        </x14:dataValidation>
        <x14:dataValidation type="list" allowBlank="1" showInputMessage="1" showErrorMessage="1" xr:uid="{0AEB8A32-12FA-4514-BD01-000E69A2C301}">
          <x14:formula1>
            <xm:f>Liste!$C$7:$C$16</xm:f>
          </x14:formula1>
          <xm:sqref>B30:B33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4D7E6-3229-46F2-A178-25E7DDC950AC}">
  <sheetPr>
    <tabColor theme="4" tint="0.39997558519241921"/>
  </sheetPr>
  <dimension ref="A1:H48"/>
  <sheetViews>
    <sheetView topLeftCell="A29" workbookViewId="0">
      <selection activeCell="F28" sqref="F28"/>
    </sheetView>
  </sheetViews>
  <sheetFormatPr baseColWidth="10" defaultColWidth="11.44140625" defaultRowHeight="13.2" x14ac:dyDescent="0.25"/>
  <cols>
    <col min="1" max="1" width="32.44140625" style="1" customWidth="1"/>
    <col min="2" max="2" width="20.6640625" style="1" customWidth="1"/>
    <col min="3" max="3" width="20.44140625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7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7" x14ac:dyDescent="0.25">
      <c r="A3" s="126" t="s">
        <v>5</v>
      </c>
      <c r="B3" s="126"/>
      <c r="C3" s="126"/>
      <c r="D3" s="126"/>
      <c r="E3" s="126"/>
      <c r="F3" s="126"/>
      <c r="G3" s="126"/>
    </row>
    <row r="4" spans="1:7" ht="15" x14ac:dyDescent="0.25">
      <c r="A4" s="2"/>
      <c r="B4" s="5" t="s">
        <v>10</v>
      </c>
      <c r="D4" s="11" t="s">
        <v>12</v>
      </c>
      <c r="F4" s="129" t="s">
        <v>15</v>
      </c>
      <c r="G4" s="130" t="s">
        <v>688</v>
      </c>
    </row>
    <row r="5" spans="1:7" ht="15" x14ac:dyDescent="0.25">
      <c r="A5" s="5" t="s">
        <v>8</v>
      </c>
      <c r="B5" s="10" t="s">
        <v>111</v>
      </c>
      <c r="C5" s="63"/>
      <c r="D5" s="17">
        <v>26.88</v>
      </c>
      <c r="E5" s="6"/>
      <c r="F5" s="129"/>
      <c r="G5" s="131"/>
    </row>
    <row r="6" spans="1:7" ht="15" x14ac:dyDescent="0.25">
      <c r="A6" s="5" t="s">
        <v>9</v>
      </c>
      <c r="B6" s="10" t="s">
        <v>83</v>
      </c>
      <c r="C6" s="10"/>
      <c r="D6" s="6">
        <v>1.9E-2</v>
      </c>
      <c r="F6" s="2"/>
      <c r="G6" s="2"/>
    </row>
    <row r="7" spans="1:7" ht="15" x14ac:dyDescent="0.25">
      <c r="A7" s="5" t="s">
        <v>16</v>
      </c>
      <c r="B7" s="12" t="s">
        <v>112</v>
      </c>
      <c r="C7" s="12" t="s">
        <v>113</v>
      </c>
    </row>
    <row r="8" spans="1:7" ht="15" x14ac:dyDescent="0.25">
      <c r="A8" s="11" t="s">
        <v>71</v>
      </c>
      <c r="B8" s="18">
        <v>49.09</v>
      </c>
      <c r="C8" s="18">
        <v>52.24</v>
      </c>
    </row>
    <row r="9" spans="1:7" x14ac:dyDescent="0.25">
      <c r="A9" s="11" t="s">
        <v>72</v>
      </c>
      <c r="B9" s="77">
        <v>37.590000000000003</v>
      </c>
      <c r="C9" s="77">
        <v>47.2</v>
      </c>
    </row>
    <row r="10" spans="1:7" ht="15" x14ac:dyDescent="0.25">
      <c r="A10" s="5"/>
      <c r="B10" s="11" t="s">
        <v>70</v>
      </c>
      <c r="C10" s="2"/>
      <c r="D10" s="2"/>
      <c r="G10" s="11" t="s">
        <v>61</v>
      </c>
    </row>
    <row r="11" spans="1:7" ht="15" x14ac:dyDescent="0.25">
      <c r="B11" s="17">
        <f>879+3656</f>
        <v>4535</v>
      </c>
      <c r="D11" s="2"/>
      <c r="G11" s="18">
        <v>0</v>
      </c>
    </row>
    <row r="12" spans="1:7" ht="15" x14ac:dyDescent="0.25">
      <c r="A12" s="5" t="s">
        <v>62</v>
      </c>
      <c r="B12" s="17">
        <v>127.67</v>
      </c>
      <c r="C12" s="74">
        <v>102.99</v>
      </c>
      <c r="D12" s="2"/>
      <c r="E12" s="2"/>
      <c r="F12" s="53" t="s">
        <v>55</v>
      </c>
      <c r="G12" s="53" t="s">
        <v>56</v>
      </c>
    </row>
    <row r="13" spans="1:7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7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7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7" x14ac:dyDescent="0.25">
      <c r="A16" s="66" t="s">
        <v>116</v>
      </c>
      <c r="B16" s="66" t="s">
        <v>88</v>
      </c>
      <c r="C16" s="66">
        <v>367</v>
      </c>
      <c r="D16" s="66">
        <v>5</v>
      </c>
      <c r="E16" s="66">
        <f>C16*D16</f>
        <v>1835</v>
      </c>
      <c r="F16" s="73">
        <v>7.2900000000000006E-2</v>
      </c>
      <c r="G16" s="68">
        <f>(E16*F16)+E16</f>
        <v>1968.7715000000001</v>
      </c>
    </row>
    <row r="17" spans="1:8" x14ac:dyDescent="0.25">
      <c r="A17" s="66" t="s">
        <v>117</v>
      </c>
      <c r="B17" s="66" t="s">
        <v>88</v>
      </c>
      <c r="C17" s="66">
        <v>854.89</v>
      </c>
      <c r="D17" s="66">
        <v>5</v>
      </c>
      <c r="E17" s="68">
        <f t="shared" ref="E17:E22" si="0">C17*D17</f>
        <v>4274.45</v>
      </c>
      <c r="F17" s="73">
        <v>0.1082</v>
      </c>
      <c r="G17" s="68">
        <f>((E17-(C12*5))*F17)+E17</f>
        <v>4681.2278999999999</v>
      </c>
    </row>
    <row r="18" spans="1:8" x14ac:dyDescent="0.25">
      <c r="A18" s="66" t="s">
        <v>118</v>
      </c>
      <c r="B18" s="66" t="s">
        <v>119</v>
      </c>
      <c r="C18" s="66">
        <v>300</v>
      </c>
      <c r="D18" s="66">
        <v>1</v>
      </c>
      <c r="E18" s="66">
        <f t="shared" si="0"/>
        <v>300</v>
      </c>
      <c r="F18" s="68">
        <f>80*0.2922</f>
        <v>23.376000000000001</v>
      </c>
      <c r="G18" s="68">
        <f>(E18+F18)</f>
        <v>323.37599999999998</v>
      </c>
    </row>
    <row r="19" spans="1:8" x14ac:dyDescent="0.25">
      <c r="A19" s="15"/>
      <c r="B19" s="66"/>
      <c r="C19" s="66"/>
      <c r="D19" s="66"/>
      <c r="E19" s="66">
        <f t="shared" si="0"/>
        <v>0</v>
      </c>
      <c r="F19" s="66"/>
      <c r="G19" s="68">
        <f t="shared" ref="G19:G22" si="1">(E19*F19)+E19</f>
        <v>0</v>
      </c>
    </row>
    <row r="20" spans="1:8" ht="15" customHeight="1" x14ac:dyDescent="0.25">
      <c r="A20" s="78" t="s">
        <v>254</v>
      </c>
      <c r="B20" s="66"/>
      <c r="C20" s="69"/>
      <c r="D20" s="69"/>
      <c r="E20" s="66">
        <f t="shared" si="0"/>
        <v>0</v>
      </c>
      <c r="F20" s="66"/>
      <c r="G20" s="68">
        <f t="shared" si="1"/>
        <v>0</v>
      </c>
    </row>
    <row r="21" spans="1:8" ht="15" customHeight="1" x14ac:dyDescent="0.25">
      <c r="A21" s="15"/>
      <c r="B21" s="66"/>
      <c r="C21" s="69"/>
      <c r="D21" s="69"/>
      <c r="E21" s="66">
        <f t="shared" si="0"/>
        <v>0</v>
      </c>
      <c r="F21" s="66"/>
      <c r="G21" s="68">
        <f t="shared" si="1"/>
        <v>0</v>
      </c>
    </row>
    <row r="22" spans="1:8" ht="15" customHeight="1" x14ac:dyDescent="0.25">
      <c r="A22" s="66"/>
      <c r="B22" s="69"/>
      <c r="C22" s="69"/>
      <c r="D22" s="69"/>
      <c r="E22" s="66">
        <f t="shared" si="0"/>
        <v>0</v>
      </c>
      <c r="F22" s="66"/>
      <c r="G22" s="68">
        <f t="shared" si="1"/>
        <v>0</v>
      </c>
    </row>
    <row r="23" spans="1:8" ht="15" x14ac:dyDescent="0.25">
      <c r="A23" s="2"/>
      <c r="B23" s="2"/>
      <c r="C23" s="2"/>
      <c r="D23" s="2"/>
      <c r="E23" s="2"/>
      <c r="F23" s="2"/>
      <c r="G23" s="2"/>
    </row>
    <row r="24" spans="1:8" ht="30" customHeight="1" x14ac:dyDescent="0.25">
      <c r="A24" s="106" t="s">
        <v>110</v>
      </c>
      <c r="B24" s="132" t="s">
        <v>11</v>
      </c>
      <c r="C24" s="132"/>
      <c r="D24" s="132"/>
      <c r="E24" s="132"/>
      <c r="F24" s="113">
        <f>SUM(G16:G22)</f>
        <v>6973.3753999999999</v>
      </c>
      <c r="G24" s="113"/>
    </row>
    <row r="25" spans="1:8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8" ht="15" x14ac:dyDescent="0.25">
      <c r="A26" s="2"/>
      <c r="B26" s="2"/>
      <c r="C26" s="2"/>
      <c r="D26" s="2"/>
      <c r="E26" s="2"/>
      <c r="F26" s="2"/>
      <c r="G26" s="2"/>
    </row>
    <row r="27" spans="1:8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8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8" ht="15" x14ac:dyDescent="0.25">
      <c r="A29" s="43" t="s">
        <v>7</v>
      </c>
      <c r="B29" s="41" t="s">
        <v>86</v>
      </c>
      <c r="C29" s="40">
        <f>IFERROR(VLOOKUP(B29,Liste!C1:D5,2,FALSE),"")</f>
        <v>2500</v>
      </c>
      <c r="D29" s="54">
        <f>IFERROR(C29/4.33,0)</f>
        <v>577.36720554272517</v>
      </c>
      <c r="H29" s="7"/>
    </row>
    <row r="30" spans="1:8" ht="15" x14ac:dyDescent="0.3">
      <c r="A30" s="43" t="s">
        <v>66</v>
      </c>
      <c r="B30" s="46" t="s">
        <v>43</v>
      </c>
      <c r="C30" s="40">
        <f>IFERROR(VLOOKUP(B30,Liste!$C$7:$D$15,2,FALSE),"")</f>
        <v>400</v>
      </c>
      <c r="D30" s="54">
        <f>IFERROR(C30/4.33,0)</f>
        <v>92.378752886836025</v>
      </c>
      <c r="H30" s="7"/>
    </row>
    <row r="31" spans="1:8" ht="15" x14ac:dyDescent="0.3">
      <c r="A31" s="43" t="s">
        <v>67</v>
      </c>
      <c r="B31" s="46" t="s">
        <v>69</v>
      </c>
      <c r="C31" s="40" t="str">
        <f>IFERROR(VLOOKUP(B31,Liste!$C$7:$D$15,2,FALSE),"")</f>
        <v/>
      </c>
      <c r="D31" s="54">
        <f t="shared" ref="D31:D33" si="2">IFERROR(C31/4.33,0)</f>
        <v>0</v>
      </c>
      <c r="H31" s="7"/>
    </row>
    <row r="32" spans="1:8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2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2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1.3553999999999999</v>
      </c>
      <c r="D34" s="54">
        <f>(B11*D5/100)*C34</f>
        <v>1652.2434431999998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0</v>
      </c>
      <c r="D35" s="54">
        <f>(D5*B11/100)*C35</f>
        <v>0</v>
      </c>
      <c r="H35" s="7"/>
    </row>
    <row r="36" spans="1:8" ht="15" x14ac:dyDescent="0.3">
      <c r="A36" s="43" t="s">
        <v>3</v>
      </c>
      <c r="B36" s="42"/>
      <c r="C36" s="65">
        <v>0.43090000000000001</v>
      </c>
      <c r="D36" s="54">
        <f>(D6*B11)*C36</f>
        <v>37.128498499999999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181.4</v>
      </c>
      <c r="E38" s="49"/>
      <c r="H38" s="7"/>
    </row>
    <row r="39" spans="1:8" ht="15" x14ac:dyDescent="0.25">
      <c r="A39" s="43" t="s">
        <v>13</v>
      </c>
      <c r="B39" s="41">
        <f>B12</f>
        <v>127.67</v>
      </c>
      <c r="C39" s="56">
        <v>5</v>
      </c>
      <c r="D39" s="54">
        <f>C39*B39</f>
        <v>638.35</v>
      </c>
      <c r="H39" s="7"/>
    </row>
    <row r="40" spans="1:8" ht="15" x14ac:dyDescent="0.25">
      <c r="A40" s="43" t="s">
        <v>14</v>
      </c>
      <c r="B40" s="48" t="s">
        <v>56</v>
      </c>
      <c r="C40" s="40">
        <v>2</v>
      </c>
      <c r="D40" s="40">
        <f>791.12+1148.93</f>
        <v>1940.0500000000002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5118.9179001295615</v>
      </c>
    </row>
    <row r="46" spans="1:8" x14ac:dyDescent="0.25">
      <c r="C46" s="6" t="s">
        <v>49</v>
      </c>
      <c r="D46" s="47">
        <f>F24-D45</f>
        <v>1854.4574998704384</v>
      </c>
    </row>
    <row r="48" spans="1:8" ht="39" customHeight="1" x14ac:dyDescent="0.25">
      <c r="C48" s="58" t="s">
        <v>48</v>
      </c>
      <c r="D48" s="59">
        <f>D46/F24</f>
        <v>0.26593398368750354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5E6A0491-B791-4243-BB57-CF02F2B0D906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5877CF6-148C-45B6-8AFC-A869CA6C240B}">
          <x14:formula1>
            <xm:f>Liste!$C$7:$C$16</xm:f>
          </x14:formula1>
          <xm:sqref>B30:B33</xm:sqref>
        </x14:dataValidation>
        <x14:dataValidation type="list" allowBlank="1" showInputMessage="1" showErrorMessage="1" xr:uid="{3C38F6DC-13B6-457F-B09C-6C1FD4FF9A10}">
          <x14:formula1>
            <xm:f>Liste!$A$24:$A$25</xm:f>
          </x14:formula1>
          <xm:sqref>B42</xm:sqref>
        </x14:dataValidation>
        <x14:dataValidation type="list" allowBlank="1" showInputMessage="1" showErrorMessage="1" xr:uid="{15782423-4164-4FF9-852E-56EC200BF070}">
          <x14:formula1>
            <xm:f>Liste!$A$21:$A$22</xm:f>
          </x14:formula1>
          <xm:sqref>B40</xm:sqref>
        </x14:dataValidation>
        <x14:dataValidation type="list" allowBlank="1" showInputMessage="1" showErrorMessage="1" xr:uid="{58C26817-F619-4288-A71F-ED9ED95AF290}">
          <x14:formula1>
            <xm:f>Liste!$C$2:$C$5</xm:f>
          </x14:formula1>
          <xm:sqref>B29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56FF5-67ED-45D4-A905-BB1FFBFF0F16}">
  <sheetPr>
    <tabColor theme="4" tint="0.39997558519241921"/>
  </sheetPr>
  <dimension ref="A1:I48"/>
  <sheetViews>
    <sheetView topLeftCell="A27" workbookViewId="0">
      <selection activeCell="A25" sqref="A25"/>
    </sheetView>
  </sheetViews>
  <sheetFormatPr baseColWidth="10" defaultColWidth="11.44140625" defaultRowHeight="13.2" x14ac:dyDescent="0.25"/>
  <cols>
    <col min="1" max="1" width="32.44140625" style="1" customWidth="1"/>
    <col min="2" max="2" width="20.6640625" style="1" customWidth="1"/>
    <col min="3" max="3" width="20.44140625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7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7" x14ac:dyDescent="0.25">
      <c r="A3" s="126" t="s">
        <v>5</v>
      </c>
      <c r="B3" s="126"/>
      <c r="C3" s="126"/>
      <c r="D3" s="126"/>
      <c r="E3" s="126"/>
      <c r="F3" s="126"/>
      <c r="G3" s="126"/>
    </row>
    <row r="4" spans="1:7" ht="15" x14ac:dyDescent="0.25">
      <c r="A4" s="2"/>
      <c r="B4" s="5" t="s">
        <v>10</v>
      </c>
      <c r="D4" s="11" t="s">
        <v>12</v>
      </c>
      <c r="F4" s="129" t="s">
        <v>15</v>
      </c>
      <c r="G4" s="130" t="s">
        <v>688</v>
      </c>
    </row>
    <row r="5" spans="1:7" ht="15" x14ac:dyDescent="0.25">
      <c r="A5" s="5" t="s">
        <v>8</v>
      </c>
      <c r="B5" s="10" t="s">
        <v>124</v>
      </c>
      <c r="C5" s="63"/>
      <c r="D5" s="17">
        <v>34.24</v>
      </c>
      <c r="E5" s="6"/>
      <c r="F5" s="129"/>
      <c r="G5" s="131"/>
    </row>
    <row r="6" spans="1:7" ht="15" x14ac:dyDescent="0.25">
      <c r="A6" s="5" t="s">
        <v>9</v>
      </c>
      <c r="B6" s="10" t="s">
        <v>83</v>
      </c>
      <c r="C6" s="10"/>
      <c r="D6" s="6">
        <v>1.9E-2</v>
      </c>
      <c r="F6" s="2"/>
      <c r="G6" s="2"/>
    </row>
    <row r="7" spans="1:7" ht="15" x14ac:dyDescent="0.25">
      <c r="A7" s="5" t="s">
        <v>16</v>
      </c>
      <c r="B7" s="12" t="s">
        <v>125</v>
      </c>
      <c r="C7" s="12"/>
    </row>
    <row r="8" spans="1:7" ht="15" x14ac:dyDescent="0.25">
      <c r="A8" s="11" t="s">
        <v>71</v>
      </c>
      <c r="B8" s="18">
        <v>69.069999999999993</v>
      </c>
    </row>
    <row r="9" spans="1:7" x14ac:dyDescent="0.25">
      <c r="A9" s="11" t="s">
        <v>72</v>
      </c>
      <c r="B9" s="77">
        <v>59.7</v>
      </c>
    </row>
    <row r="10" spans="1:7" ht="15" x14ac:dyDescent="0.25">
      <c r="A10" s="5"/>
      <c r="B10" s="11" t="s">
        <v>70</v>
      </c>
      <c r="C10" s="2"/>
      <c r="D10" s="2"/>
      <c r="G10" s="11" t="s">
        <v>61</v>
      </c>
    </row>
    <row r="11" spans="1:7" ht="15" x14ac:dyDescent="0.25">
      <c r="B11" s="17">
        <v>2263</v>
      </c>
      <c r="D11" s="2"/>
      <c r="G11" s="18">
        <v>0</v>
      </c>
    </row>
    <row r="12" spans="1:7" ht="15.6" x14ac:dyDescent="0.3">
      <c r="A12" s="5" t="s">
        <v>62</v>
      </c>
      <c r="B12" s="17">
        <v>21</v>
      </c>
      <c r="C12" s="72" t="s">
        <v>96</v>
      </c>
      <c r="D12" s="2"/>
      <c r="E12" s="2"/>
      <c r="F12" s="53" t="s">
        <v>55</v>
      </c>
      <c r="G12" s="53" t="s">
        <v>56</v>
      </c>
    </row>
    <row r="13" spans="1:7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7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7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7" x14ac:dyDescent="0.25">
      <c r="A16" s="66" t="s">
        <v>126</v>
      </c>
      <c r="B16" s="66" t="s">
        <v>88</v>
      </c>
      <c r="C16" s="66">
        <v>565</v>
      </c>
      <c r="D16" s="66">
        <v>5</v>
      </c>
      <c r="E16" s="66">
        <f>C16*D16</f>
        <v>2825</v>
      </c>
      <c r="F16" s="73">
        <v>2.0799999999999999E-2</v>
      </c>
      <c r="G16" s="68">
        <f>(E16*F16)+E16</f>
        <v>2883.76</v>
      </c>
    </row>
    <row r="17" spans="1:9" x14ac:dyDescent="0.25">
      <c r="A17" s="66" t="s">
        <v>127</v>
      </c>
      <c r="B17" s="66" t="s">
        <v>90</v>
      </c>
      <c r="C17" s="66">
        <v>265</v>
      </c>
      <c r="D17" s="66">
        <v>5</v>
      </c>
      <c r="E17" s="68">
        <f t="shared" ref="E17:E22" si="0">C17*D17</f>
        <v>1325</v>
      </c>
      <c r="F17" s="68">
        <f>(70*5)*0.2922</f>
        <v>102.27000000000001</v>
      </c>
      <c r="G17" s="68">
        <f>(E17+F17)</f>
        <v>1427.27</v>
      </c>
    </row>
    <row r="18" spans="1:9" x14ac:dyDescent="0.25">
      <c r="A18" s="66" t="s">
        <v>690</v>
      </c>
      <c r="B18" s="66" t="s">
        <v>252</v>
      </c>
      <c r="C18" s="66">
        <v>96.85</v>
      </c>
      <c r="D18" s="66">
        <v>1</v>
      </c>
      <c r="E18" s="66">
        <f t="shared" si="0"/>
        <v>96.85</v>
      </c>
      <c r="F18" s="73">
        <v>4.2709999999999998E-2</v>
      </c>
      <c r="G18" s="68">
        <f t="shared" ref="G18" si="1">(E18*F18)+E18</f>
        <v>100.9864635</v>
      </c>
      <c r="I18" s="1" t="s">
        <v>255</v>
      </c>
    </row>
    <row r="19" spans="1:9" x14ac:dyDescent="0.25">
      <c r="A19" s="66" t="s">
        <v>691</v>
      </c>
      <c r="B19" s="66" t="s">
        <v>252</v>
      </c>
      <c r="C19" s="66">
        <f>210.67+160.79</f>
        <v>371.46</v>
      </c>
      <c r="D19" s="66">
        <v>1</v>
      </c>
      <c r="E19" s="66">
        <f t="shared" si="0"/>
        <v>371.46</v>
      </c>
      <c r="F19" s="73">
        <v>3.9774999999999998E-2</v>
      </c>
      <c r="G19" s="68">
        <f t="shared" ref="G19:G22" si="2">(E19*F19)+E19</f>
        <v>386.23482149999995</v>
      </c>
    </row>
    <row r="20" spans="1:9" ht="15" customHeight="1" x14ac:dyDescent="0.25">
      <c r="A20" s="15"/>
      <c r="B20" s="66"/>
      <c r="C20" s="69"/>
      <c r="D20" s="69"/>
      <c r="E20" s="66">
        <f t="shared" si="0"/>
        <v>0</v>
      </c>
      <c r="F20" s="66"/>
      <c r="G20" s="68">
        <f t="shared" si="2"/>
        <v>0</v>
      </c>
    </row>
    <row r="21" spans="1:9" ht="15" customHeight="1" x14ac:dyDescent="0.25">
      <c r="A21" s="15"/>
      <c r="B21" s="66"/>
      <c r="C21" s="69"/>
      <c r="D21" s="69"/>
      <c r="E21" s="66">
        <f t="shared" si="0"/>
        <v>0</v>
      </c>
      <c r="F21" s="66"/>
      <c r="G21" s="68">
        <f t="shared" si="2"/>
        <v>0</v>
      </c>
    </row>
    <row r="22" spans="1:9" ht="15" customHeight="1" x14ac:dyDescent="0.25">
      <c r="A22" s="66"/>
      <c r="B22" s="69"/>
      <c r="C22" s="69"/>
      <c r="D22" s="69"/>
      <c r="E22" s="66">
        <f t="shared" si="0"/>
        <v>0</v>
      </c>
      <c r="F22" s="66"/>
      <c r="G22" s="68">
        <f t="shared" si="2"/>
        <v>0</v>
      </c>
    </row>
    <row r="23" spans="1:9" ht="15" x14ac:dyDescent="0.25">
      <c r="A23" s="2"/>
      <c r="B23" s="2"/>
      <c r="C23" s="2"/>
      <c r="D23" s="2"/>
      <c r="E23" s="2"/>
      <c r="F23" s="2"/>
      <c r="G23" s="2"/>
    </row>
    <row r="24" spans="1:9" ht="30" customHeight="1" x14ac:dyDescent="0.25">
      <c r="A24" s="106" t="s">
        <v>120</v>
      </c>
      <c r="B24" s="132" t="s">
        <v>11</v>
      </c>
      <c r="C24" s="132"/>
      <c r="D24" s="132"/>
      <c r="E24" s="132"/>
      <c r="F24" s="113">
        <f>SUM(G16:G22)</f>
        <v>4798.2512850000012</v>
      </c>
      <c r="G24" s="113"/>
    </row>
    <row r="25" spans="1:9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9" ht="15" x14ac:dyDescent="0.25">
      <c r="A26" s="2"/>
      <c r="B26" s="2"/>
      <c r="C26" s="2"/>
      <c r="D26" s="2"/>
      <c r="E26" s="2"/>
      <c r="F26" s="2"/>
      <c r="G26" s="2"/>
    </row>
    <row r="27" spans="1:9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9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9" ht="15" x14ac:dyDescent="0.25">
      <c r="A29" s="43" t="s">
        <v>7</v>
      </c>
      <c r="B29" s="41" t="s">
        <v>86</v>
      </c>
      <c r="C29" s="40">
        <f>IFERROR(VLOOKUP(B29,Liste!C1:D5,2,FALSE),"")</f>
        <v>2500</v>
      </c>
      <c r="D29" s="54">
        <f>IFERROR(C29/4.33,0)</f>
        <v>577.36720554272517</v>
      </c>
      <c r="H29" s="7"/>
    </row>
    <row r="30" spans="1:9" ht="15" x14ac:dyDescent="0.3">
      <c r="A30" s="43" t="s">
        <v>66</v>
      </c>
      <c r="B30" s="46" t="s">
        <v>43</v>
      </c>
      <c r="C30" s="40">
        <f>IFERROR(VLOOKUP(B30,Liste!$C$7:$D$15,2,FALSE),"")</f>
        <v>400</v>
      </c>
      <c r="D30" s="54">
        <f>IFERROR(C30/4.33,0)</f>
        <v>92.378752886836025</v>
      </c>
      <c r="H30" s="7"/>
    </row>
    <row r="31" spans="1:9" ht="15" x14ac:dyDescent="0.3">
      <c r="A31" s="43" t="s">
        <v>67</v>
      </c>
      <c r="B31" s="46" t="s">
        <v>69</v>
      </c>
      <c r="C31" s="40" t="str">
        <f>IFERROR(VLOOKUP(B31,Liste!$C$7:$D$15,2,FALSE),"")</f>
        <v/>
      </c>
      <c r="D31" s="54">
        <f t="shared" ref="D31:D33" si="3">IFERROR(C31/4.33,0)</f>
        <v>0</v>
      </c>
      <c r="H31" s="7"/>
    </row>
    <row r="32" spans="1:9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3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3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1.3553999999999999</v>
      </c>
      <c r="D34" s="54">
        <f>(B11*D5/100)*C34</f>
        <v>1050.23331648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0</v>
      </c>
      <c r="D35" s="54">
        <f>(D5*B11/100)*C35</f>
        <v>0</v>
      </c>
      <c r="H35" s="7"/>
    </row>
    <row r="36" spans="1:8" ht="15" x14ac:dyDescent="0.3">
      <c r="A36" s="43" t="s">
        <v>3</v>
      </c>
      <c r="B36" s="42"/>
      <c r="C36" s="65">
        <v>0.43090000000000001</v>
      </c>
      <c r="D36" s="54">
        <f>(D6*B11)*C36</f>
        <v>18.5274073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90.52</v>
      </c>
      <c r="E38" s="49"/>
      <c r="H38" s="7"/>
    </row>
    <row r="39" spans="1:8" ht="15" x14ac:dyDescent="0.25">
      <c r="A39" s="43" t="s">
        <v>13</v>
      </c>
      <c r="B39" s="41">
        <f>B12</f>
        <v>21</v>
      </c>
      <c r="C39" s="56">
        <v>5</v>
      </c>
      <c r="D39" s="54">
        <f>C39*B39</f>
        <v>105</v>
      </c>
      <c r="H39" s="7"/>
    </row>
    <row r="40" spans="1:8" ht="15" x14ac:dyDescent="0.25">
      <c r="A40" s="43" t="s">
        <v>14</v>
      </c>
      <c r="B40" s="48" t="s">
        <v>56</v>
      </c>
      <c r="C40" s="40">
        <v>1</v>
      </c>
      <c r="D40" s="40">
        <v>972.68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2906.7066822095612</v>
      </c>
    </row>
    <row r="46" spans="1:8" x14ac:dyDescent="0.25">
      <c r="C46" s="6" t="s">
        <v>49</v>
      </c>
      <c r="D46" s="47">
        <f>F24-D45</f>
        <v>1891.54460279044</v>
      </c>
    </row>
    <row r="48" spans="1:8" ht="39" customHeight="1" x14ac:dyDescent="0.25">
      <c r="C48" s="58" t="s">
        <v>48</v>
      </c>
      <c r="D48" s="59">
        <f>D46/F24</f>
        <v>0.39421541108188113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468EE836-AB94-47A4-A08F-970FAEE6ED8B}"/>
  </hyperlink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7C25364-B231-4443-A769-F45C9A65F184}">
          <x14:formula1>
            <xm:f>Liste!$C$2:$C$5</xm:f>
          </x14:formula1>
          <xm:sqref>B29</xm:sqref>
        </x14:dataValidation>
        <x14:dataValidation type="list" allowBlank="1" showInputMessage="1" showErrorMessage="1" xr:uid="{696A70AA-1DCE-4BFB-9774-92DCD833DF81}">
          <x14:formula1>
            <xm:f>Liste!$A$21:$A$22</xm:f>
          </x14:formula1>
          <xm:sqref>B40</xm:sqref>
        </x14:dataValidation>
        <x14:dataValidation type="list" allowBlank="1" showInputMessage="1" showErrorMessage="1" xr:uid="{4A9DA07A-B2E1-4DF0-A516-62FD79F82DAC}">
          <x14:formula1>
            <xm:f>Liste!$A$24:$A$25</xm:f>
          </x14:formula1>
          <xm:sqref>B42</xm:sqref>
        </x14:dataValidation>
        <x14:dataValidation type="list" allowBlank="1" showInputMessage="1" showErrorMessage="1" xr:uid="{16265818-BB13-44E7-B17C-7365FF64A5F3}">
          <x14:formula1>
            <xm:f>Liste!$C$7:$C$16</xm:f>
          </x14:formula1>
          <xm:sqref>B30:B33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1493B-729B-45DF-AC1B-96C31CE1AE8B}">
  <sheetPr>
    <tabColor theme="4" tint="0.39997558519241921"/>
  </sheetPr>
  <dimension ref="A1:H49"/>
  <sheetViews>
    <sheetView topLeftCell="A15" workbookViewId="0">
      <selection activeCell="J17" sqref="J17"/>
    </sheetView>
  </sheetViews>
  <sheetFormatPr baseColWidth="10" defaultColWidth="11.44140625" defaultRowHeight="13.2" x14ac:dyDescent="0.25"/>
  <cols>
    <col min="1" max="1" width="32.44140625" style="1" customWidth="1"/>
    <col min="2" max="2" width="20.6640625" style="1" customWidth="1"/>
    <col min="3" max="3" width="19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7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7" x14ac:dyDescent="0.25">
      <c r="A3" s="126" t="s">
        <v>5</v>
      </c>
      <c r="B3" s="126"/>
      <c r="C3" s="126"/>
      <c r="D3" s="126"/>
      <c r="E3" s="126"/>
      <c r="F3" s="126"/>
      <c r="G3" s="126"/>
    </row>
    <row r="4" spans="1:7" ht="15" x14ac:dyDescent="0.25">
      <c r="A4" s="2"/>
      <c r="B4" s="5" t="s">
        <v>10</v>
      </c>
      <c r="D4" s="11" t="s">
        <v>12</v>
      </c>
      <c r="F4" s="129" t="s">
        <v>15</v>
      </c>
      <c r="G4" s="130" t="s">
        <v>688</v>
      </c>
    </row>
    <row r="5" spans="1:7" ht="15" x14ac:dyDescent="0.25">
      <c r="A5" s="5" t="s">
        <v>8</v>
      </c>
      <c r="B5" s="10" t="s">
        <v>131</v>
      </c>
      <c r="C5" s="10" t="s">
        <v>132</v>
      </c>
      <c r="D5" s="17">
        <v>30.82</v>
      </c>
      <c r="E5" s="6"/>
      <c r="F5" s="129"/>
      <c r="G5" s="131"/>
    </row>
    <row r="6" spans="1:7" ht="15" x14ac:dyDescent="0.25">
      <c r="A6" s="5" t="s">
        <v>9</v>
      </c>
      <c r="B6" s="10" t="s">
        <v>83</v>
      </c>
      <c r="C6" s="10" t="s">
        <v>83</v>
      </c>
      <c r="D6" s="6">
        <v>1.9E-2</v>
      </c>
      <c r="F6" s="2"/>
      <c r="G6" s="2"/>
    </row>
    <row r="7" spans="1:7" ht="15" x14ac:dyDescent="0.25">
      <c r="A7" s="5" t="s">
        <v>16</v>
      </c>
      <c r="B7" s="12" t="s">
        <v>137</v>
      </c>
      <c r="C7" s="12" t="s">
        <v>138</v>
      </c>
      <c r="D7" s="63" t="s">
        <v>139</v>
      </c>
    </row>
    <row r="8" spans="1:7" ht="15" x14ac:dyDescent="0.25">
      <c r="A8" s="11" t="s">
        <v>71</v>
      </c>
      <c r="B8" s="18">
        <v>50.62</v>
      </c>
      <c r="C8" s="18">
        <v>36.71</v>
      </c>
      <c r="D8" s="18">
        <v>43.05</v>
      </c>
    </row>
    <row r="9" spans="1:7" x14ac:dyDescent="0.25">
      <c r="A9" s="11" t="s">
        <v>72</v>
      </c>
      <c r="B9" s="77">
        <v>40.65</v>
      </c>
      <c r="C9" s="77">
        <v>31.83</v>
      </c>
      <c r="D9" s="77">
        <v>37.270000000000003</v>
      </c>
    </row>
    <row r="10" spans="1:7" ht="15" x14ac:dyDescent="0.25">
      <c r="A10" s="5"/>
      <c r="B10" s="11" t="s">
        <v>70</v>
      </c>
      <c r="C10" s="2"/>
      <c r="D10" s="2"/>
      <c r="G10" s="11" t="s">
        <v>61</v>
      </c>
    </row>
    <row r="11" spans="1:7" ht="15" x14ac:dyDescent="0.25">
      <c r="B11" s="17">
        <f>2404+2153+1248</f>
        <v>5805</v>
      </c>
      <c r="C11" s="2"/>
      <c r="D11" s="2"/>
      <c r="G11" s="18">
        <v>0</v>
      </c>
    </row>
    <row r="12" spans="1:7" ht="15" x14ac:dyDescent="0.25">
      <c r="A12" s="5" t="s">
        <v>62</v>
      </c>
      <c r="B12" s="17">
        <v>191</v>
      </c>
      <c r="C12" s="74">
        <v>152.86000000000001</v>
      </c>
      <c r="D12" s="2"/>
      <c r="E12" s="2"/>
      <c r="F12" s="53" t="s">
        <v>55</v>
      </c>
      <c r="G12" s="53" t="s">
        <v>56</v>
      </c>
    </row>
    <row r="13" spans="1:7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7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7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7" x14ac:dyDescent="0.25">
      <c r="A16" s="15" t="s">
        <v>135</v>
      </c>
      <c r="B16" s="66" t="s">
        <v>88</v>
      </c>
      <c r="C16" s="66">
        <v>1164.26</v>
      </c>
      <c r="D16" s="66">
        <v>5</v>
      </c>
      <c r="E16" s="66">
        <f>C16*D16</f>
        <v>5821.3</v>
      </c>
      <c r="F16" s="81">
        <v>6.1400000000000003E-2</v>
      </c>
      <c r="G16" s="68">
        <f>((E16-(C12*5))*F16)+E16</f>
        <v>6131.7997999999998</v>
      </c>
    </row>
    <row r="17" spans="1:8" x14ac:dyDescent="0.25">
      <c r="A17" s="15" t="s">
        <v>136</v>
      </c>
      <c r="B17" s="66" t="s">
        <v>90</v>
      </c>
      <c r="C17" s="66">
        <v>4.1631</v>
      </c>
      <c r="D17" s="66">
        <f>10*5</f>
        <v>50</v>
      </c>
      <c r="E17" s="68">
        <f t="shared" ref="E17:E22" si="0">C17*D17</f>
        <v>208.155</v>
      </c>
      <c r="F17" s="82">
        <v>0</v>
      </c>
      <c r="G17" s="68">
        <f t="shared" ref="G17:G22" si="1">(E17*F17)+E17</f>
        <v>208.155</v>
      </c>
    </row>
    <row r="18" spans="1:8" x14ac:dyDescent="0.25">
      <c r="A18" s="15" t="s">
        <v>107</v>
      </c>
      <c r="B18" s="66" t="s">
        <v>88</v>
      </c>
      <c r="C18" s="66">
        <v>367</v>
      </c>
      <c r="D18" s="66">
        <v>5</v>
      </c>
      <c r="E18" s="66">
        <f t="shared" si="0"/>
        <v>1835</v>
      </c>
      <c r="F18" s="81">
        <v>7.2900000000000006E-2</v>
      </c>
      <c r="G18" s="68">
        <f t="shared" si="1"/>
        <v>1968.7715000000001</v>
      </c>
    </row>
    <row r="19" spans="1:8" x14ac:dyDescent="0.25">
      <c r="A19" s="79" t="s">
        <v>256</v>
      </c>
      <c r="B19" s="15"/>
      <c r="C19" s="66"/>
      <c r="D19" s="66"/>
      <c r="E19" s="66">
        <f t="shared" si="0"/>
        <v>0</v>
      </c>
      <c r="F19" s="82"/>
      <c r="G19" s="68">
        <f t="shared" si="1"/>
        <v>0</v>
      </c>
    </row>
    <row r="20" spans="1:8" ht="15" customHeight="1" x14ac:dyDescent="0.25">
      <c r="A20" s="15" t="s">
        <v>259</v>
      </c>
      <c r="B20" s="66" t="s">
        <v>252</v>
      </c>
      <c r="C20" s="80">
        <v>160</v>
      </c>
      <c r="D20" s="66">
        <v>1</v>
      </c>
      <c r="E20" s="66">
        <f t="shared" si="0"/>
        <v>160</v>
      </c>
      <c r="F20" s="81">
        <v>-9.1000000000000004E-3</v>
      </c>
      <c r="G20" s="68">
        <f t="shared" si="1"/>
        <v>158.54400000000001</v>
      </c>
    </row>
    <row r="21" spans="1:8" ht="15" customHeight="1" x14ac:dyDescent="0.25">
      <c r="A21" s="15" t="s">
        <v>260</v>
      </c>
      <c r="B21" s="66" t="s">
        <v>252</v>
      </c>
      <c r="C21" s="80">
        <v>190</v>
      </c>
      <c r="D21" s="80">
        <v>1</v>
      </c>
      <c r="E21" s="66">
        <f t="shared" si="0"/>
        <v>190</v>
      </c>
      <c r="F21" s="81">
        <v>-3.0099999999999998E-2</v>
      </c>
      <c r="G21" s="68">
        <f t="shared" si="1"/>
        <v>184.28100000000001</v>
      </c>
    </row>
    <row r="22" spans="1:8" ht="15" customHeight="1" x14ac:dyDescent="0.25">
      <c r="A22" s="90" t="s">
        <v>692</v>
      </c>
      <c r="B22" s="66" t="s">
        <v>252</v>
      </c>
      <c r="C22" s="80">
        <v>132.5</v>
      </c>
      <c r="D22" s="80">
        <v>1</v>
      </c>
      <c r="E22" s="66">
        <f t="shared" si="0"/>
        <v>132.5</v>
      </c>
      <c r="F22" s="73">
        <v>-9.1000000000000004E-3</v>
      </c>
      <c r="G22" s="68">
        <f t="shared" si="1"/>
        <v>131.29425000000001</v>
      </c>
    </row>
    <row r="23" spans="1:8" ht="15" x14ac:dyDescent="0.25">
      <c r="A23" s="2"/>
      <c r="B23" s="2"/>
      <c r="C23" s="2"/>
      <c r="D23" s="2"/>
      <c r="E23" s="2"/>
      <c r="F23" s="2"/>
      <c r="G23" s="2"/>
    </row>
    <row r="24" spans="1:8" ht="30" customHeight="1" x14ac:dyDescent="0.25">
      <c r="A24" s="106" t="s">
        <v>128</v>
      </c>
      <c r="B24" s="132" t="s">
        <v>11</v>
      </c>
      <c r="C24" s="132"/>
      <c r="D24" s="132"/>
      <c r="E24" s="132"/>
      <c r="F24" s="113">
        <f>SUM(G16:G22)</f>
        <v>8782.8455500000018</v>
      </c>
      <c r="G24" s="113"/>
    </row>
    <row r="25" spans="1:8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8" ht="15" x14ac:dyDescent="0.25">
      <c r="A26" s="2"/>
      <c r="B26" s="2"/>
      <c r="C26" s="2"/>
      <c r="D26" s="2"/>
      <c r="E26" s="2"/>
      <c r="F26" s="2"/>
      <c r="G26" s="2"/>
    </row>
    <row r="27" spans="1:8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8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8" ht="15" x14ac:dyDescent="0.25">
      <c r="A29" s="43" t="s">
        <v>134</v>
      </c>
      <c r="B29" s="41" t="s">
        <v>86</v>
      </c>
      <c r="C29" s="40">
        <f>IFERROR(VLOOKUP(B29,Liste!C1:D5,2,FALSE),"")</f>
        <v>2500</v>
      </c>
      <c r="D29" s="54">
        <f>IFERROR(C29/4.33,0)</f>
        <v>577.36720554272517</v>
      </c>
      <c r="H29" s="7"/>
    </row>
    <row r="30" spans="1:8" ht="15" x14ac:dyDescent="0.25">
      <c r="A30" s="43" t="s">
        <v>133</v>
      </c>
      <c r="B30" s="41" t="s">
        <v>86</v>
      </c>
      <c r="C30" s="40">
        <f>IFERROR(VLOOKUP(B30,Liste!C2:D6,2,FALSE),"")</f>
        <v>2500</v>
      </c>
      <c r="D30" s="54">
        <f>IFERROR(C30/4.33,0)</f>
        <v>577.36720554272517</v>
      </c>
      <c r="H30" s="7"/>
    </row>
    <row r="31" spans="1:8" ht="15" x14ac:dyDescent="0.3">
      <c r="A31" s="43" t="s">
        <v>66</v>
      </c>
      <c r="B31" s="46" t="s">
        <v>43</v>
      </c>
      <c r="C31" s="40">
        <f>IFERROR(VLOOKUP(B31,Liste!$C$7:$D$15,2,FALSE),"")</f>
        <v>400</v>
      </c>
      <c r="D31" s="54">
        <f>IFERROR(C31/4.33,0)</f>
        <v>92.378752886836025</v>
      </c>
      <c r="H31" s="7"/>
    </row>
    <row r="32" spans="1:8" ht="15" x14ac:dyDescent="0.3">
      <c r="A32" s="43" t="s">
        <v>67</v>
      </c>
      <c r="B32" s="46" t="s">
        <v>43</v>
      </c>
      <c r="C32" s="40">
        <f>IFERROR(VLOOKUP(B32,Liste!$C$7:$D$15,2,FALSE),"")</f>
        <v>400</v>
      </c>
      <c r="D32" s="54">
        <f t="shared" ref="D32:D34" si="2">IFERROR(C32/4.33,0)</f>
        <v>92.378752886836025</v>
      </c>
      <c r="H32" s="7"/>
    </row>
    <row r="33" spans="1:8" ht="15" x14ac:dyDescent="0.3">
      <c r="A33" s="43" t="s">
        <v>68</v>
      </c>
      <c r="B33" s="46" t="s">
        <v>69</v>
      </c>
      <c r="C33" s="40" t="str">
        <f>IFERROR(VLOOKUP(B33,Liste!$C$7:$D$15,2,FALSE),"")</f>
        <v/>
      </c>
      <c r="D33" s="54">
        <f t="shared" si="2"/>
        <v>0</v>
      </c>
      <c r="H33" s="7"/>
    </row>
    <row r="34" spans="1:8" ht="15" x14ac:dyDescent="0.3">
      <c r="A34" s="43" t="s">
        <v>73</v>
      </c>
      <c r="B34" s="46" t="s">
        <v>69</v>
      </c>
      <c r="C34" s="40" t="str">
        <f>IFERROR(VLOOKUP(B34,Liste!$C$7:$D$15,2,FALSE),"")</f>
        <v/>
      </c>
      <c r="D34" s="54">
        <f t="shared" si="2"/>
        <v>0</v>
      </c>
      <c r="H34" s="7"/>
    </row>
    <row r="35" spans="1:8" ht="15" x14ac:dyDescent="0.25">
      <c r="A35" s="43" t="s">
        <v>2</v>
      </c>
      <c r="B35" s="41" t="s">
        <v>32</v>
      </c>
      <c r="C35" s="65">
        <v>1.3553999999999999</v>
      </c>
      <c r="D35" s="54">
        <f>(B11*D5/100)*C35</f>
        <v>2424.9474954000002</v>
      </c>
      <c r="E35" s="49"/>
      <c r="H35" s="7"/>
    </row>
    <row r="36" spans="1:8" ht="15" x14ac:dyDescent="0.25">
      <c r="A36" s="43" t="s">
        <v>2</v>
      </c>
      <c r="B36" s="41" t="s">
        <v>34</v>
      </c>
      <c r="C36" s="48">
        <v>0</v>
      </c>
      <c r="D36" s="54">
        <f>(D5*B11/100)*C36</f>
        <v>0</v>
      </c>
      <c r="H36" s="7"/>
    </row>
    <row r="37" spans="1:8" ht="15" x14ac:dyDescent="0.3">
      <c r="A37" s="43" t="s">
        <v>3</v>
      </c>
      <c r="B37" s="42"/>
      <c r="C37" s="65">
        <v>0.43090000000000001</v>
      </c>
      <c r="D37" s="54">
        <f>(D6*B11)*C37</f>
        <v>47.526115500000003</v>
      </c>
      <c r="H37" s="7"/>
    </row>
    <row r="38" spans="1:8" ht="15" x14ac:dyDescent="0.3">
      <c r="A38" s="43" t="s">
        <v>4</v>
      </c>
      <c r="B38" s="42"/>
      <c r="C38" s="48">
        <v>1.1225000000000001</v>
      </c>
      <c r="D38" s="55"/>
      <c r="H38" s="7"/>
    </row>
    <row r="39" spans="1:8" ht="30" x14ac:dyDescent="0.3">
      <c r="A39" s="43" t="s">
        <v>52</v>
      </c>
      <c r="B39" s="42"/>
      <c r="C39" s="44">
        <v>0.04</v>
      </c>
      <c r="D39" s="54">
        <f>C39*B11</f>
        <v>232.20000000000002</v>
      </c>
      <c r="E39" s="49"/>
      <c r="H39" s="7"/>
    </row>
    <row r="40" spans="1:8" ht="15" x14ac:dyDescent="0.25">
      <c r="A40" s="43" t="s">
        <v>13</v>
      </c>
      <c r="B40" s="41">
        <f>B12</f>
        <v>191</v>
      </c>
      <c r="C40" s="56">
        <v>5</v>
      </c>
      <c r="D40" s="54">
        <f>C40*B40</f>
        <v>955</v>
      </c>
      <c r="H40" s="7"/>
    </row>
    <row r="41" spans="1:8" ht="15" x14ac:dyDescent="0.25">
      <c r="A41" s="43" t="s">
        <v>14</v>
      </c>
      <c r="B41" s="48" t="s">
        <v>56</v>
      </c>
      <c r="C41" s="40">
        <v>3</v>
      </c>
      <c r="D41" s="40">
        <f>1039.77+1002.21+1097.15</f>
        <v>3139.13</v>
      </c>
      <c r="E41" s="49"/>
      <c r="H41" s="7"/>
    </row>
    <row r="42" spans="1:8" ht="15" x14ac:dyDescent="0.3">
      <c r="A42" s="43" t="s">
        <v>60</v>
      </c>
      <c r="B42" s="42"/>
      <c r="C42" s="42"/>
      <c r="D42" s="54">
        <f>G11</f>
        <v>0</v>
      </c>
      <c r="E42" s="49"/>
      <c r="H42" s="7"/>
    </row>
    <row r="43" spans="1:8" ht="15" x14ac:dyDescent="0.25">
      <c r="A43" s="43" t="s">
        <v>1</v>
      </c>
      <c r="B43" s="48" t="s">
        <v>65</v>
      </c>
      <c r="C43" s="40">
        <f>IF(B43=Liste!A24,Liste!B18,0)</f>
        <v>0</v>
      </c>
      <c r="D43" s="54">
        <f>C43/4.33</f>
        <v>0</v>
      </c>
      <c r="H43" s="7"/>
    </row>
    <row r="44" spans="1:8" ht="15" x14ac:dyDescent="0.3">
      <c r="A44" s="45" t="s">
        <v>50</v>
      </c>
      <c r="B44" s="42"/>
      <c r="C44" s="40">
        <v>0</v>
      </c>
      <c r="D44" s="54">
        <v>0</v>
      </c>
      <c r="H44" s="7"/>
    </row>
    <row r="45" spans="1:8" ht="15" customHeight="1" x14ac:dyDescent="0.25">
      <c r="A45" s="50"/>
      <c r="B45" s="51"/>
      <c r="C45" s="52"/>
    </row>
    <row r="46" spans="1:8" x14ac:dyDescent="0.25">
      <c r="C46" s="6" t="s">
        <v>47</v>
      </c>
      <c r="D46" s="47">
        <f>SUM(D29:D44)</f>
        <v>8138.2955277591227</v>
      </c>
    </row>
    <row r="47" spans="1:8" x14ac:dyDescent="0.25">
      <c r="C47" s="6" t="s">
        <v>49</v>
      </c>
      <c r="D47" s="47">
        <f>F24-D46</f>
        <v>644.55002224087912</v>
      </c>
    </row>
    <row r="49" spans="3:4" ht="39" customHeight="1" x14ac:dyDescent="0.25">
      <c r="C49" s="58" t="s">
        <v>48</v>
      </c>
      <c r="D49" s="59">
        <f>D47/F24</f>
        <v>7.3387379815745363E-2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FA4C4600-E23F-4DDE-B3D9-35A0ACD80E68}"/>
  </hyperlink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A636CDC-6A97-4EC1-B0BA-6C69C18FBDA4}">
          <x14:formula1>
            <xm:f>Liste!$C$7:$C$16</xm:f>
          </x14:formula1>
          <xm:sqref>B31:B34</xm:sqref>
        </x14:dataValidation>
        <x14:dataValidation type="list" allowBlank="1" showInputMessage="1" showErrorMessage="1" xr:uid="{943E3674-5F7F-461F-8A27-27EA31B7754A}">
          <x14:formula1>
            <xm:f>Liste!$A$24:$A$25</xm:f>
          </x14:formula1>
          <xm:sqref>B43</xm:sqref>
        </x14:dataValidation>
        <x14:dataValidation type="list" allowBlank="1" showInputMessage="1" showErrorMessage="1" xr:uid="{F86910E1-8452-4CC7-BC76-7B06857A7003}">
          <x14:formula1>
            <xm:f>Liste!$A$21:$A$22</xm:f>
          </x14:formula1>
          <xm:sqref>B41</xm:sqref>
        </x14:dataValidation>
        <x14:dataValidation type="list" allowBlank="1" showInputMessage="1" showErrorMessage="1" xr:uid="{E9CF0AD9-DC64-438B-8451-AC10AA79DD79}">
          <x14:formula1>
            <xm:f>Liste!$C$2:$C$5</xm:f>
          </x14:formula1>
          <xm:sqref>B29:B30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788E5-8BFF-453F-B6AD-733438731C97}">
  <sheetPr>
    <tabColor theme="4" tint="0.39997558519241921"/>
  </sheetPr>
  <dimension ref="A1:H49"/>
  <sheetViews>
    <sheetView topLeftCell="A10" workbookViewId="0">
      <selection activeCell="J9" sqref="J9"/>
    </sheetView>
  </sheetViews>
  <sheetFormatPr baseColWidth="10" defaultColWidth="11.44140625" defaultRowHeight="13.2" x14ac:dyDescent="0.25"/>
  <cols>
    <col min="1" max="1" width="39.109375" style="1" bestFit="1" customWidth="1"/>
    <col min="2" max="2" width="20.6640625" style="1" customWidth="1"/>
    <col min="3" max="3" width="19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7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7" x14ac:dyDescent="0.25">
      <c r="A3" s="126" t="s">
        <v>5</v>
      </c>
      <c r="B3" s="126"/>
      <c r="C3" s="126"/>
      <c r="D3" s="126"/>
      <c r="E3" s="126"/>
      <c r="F3" s="126"/>
      <c r="G3" s="126"/>
    </row>
    <row r="4" spans="1:7" ht="15" x14ac:dyDescent="0.25">
      <c r="A4" s="2"/>
      <c r="B4" s="5" t="s">
        <v>10</v>
      </c>
      <c r="D4" s="11" t="s">
        <v>12</v>
      </c>
      <c r="F4" s="129" t="s">
        <v>15</v>
      </c>
      <c r="G4" s="130" t="s">
        <v>688</v>
      </c>
    </row>
    <row r="5" spans="1:7" ht="15" x14ac:dyDescent="0.25">
      <c r="A5" s="5" t="s">
        <v>8</v>
      </c>
      <c r="B5" s="10" t="s">
        <v>144</v>
      </c>
      <c r="C5" s="10" t="s">
        <v>145</v>
      </c>
      <c r="D5" s="17">
        <v>30.5</v>
      </c>
      <c r="E5" s="6"/>
      <c r="F5" s="129"/>
      <c r="G5" s="131"/>
    </row>
    <row r="6" spans="1:7" ht="15" x14ac:dyDescent="0.25">
      <c r="A6" s="5" t="s">
        <v>9</v>
      </c>
      <c r="B6" s="10" t="s">
        <v>83</v>
      </c>
      <c r="C6" s="10" t="s">
        <v>83</v>
      </c>
      <c r="D6" s="6">
        <v>1.9E-2</v>
      </c>
      <c r="F6" s="2"/>
      <c r="G6" s="2"/>
    </row>
    <row r="7" spans="1:7" ht="15" x14ac:dyDescent="0.25">
      <c r="A7" s="5" t="s">
        <v>16</v>
      </c>
      <c r="B7" s="12" t="s">
        <v>146</v>
      </c>
      <c r="C7" s="12" t="s">
        <v>147</v>
      </c>
      <c r="D7" s="63"/>
    </row>
    <row r="8" spans="1:7" ht="15" x14ac:dyDescent="0.25">
      <c r="A8" s="11" t="s">
        <v>71</v>
      </c>
      <c r="B8" s="18">
        <v>55.22</v>
      </c>
      <c r="C8" s="18">
        <v>47.82</v>
      </c>
    </row>
    <row r="9" spans="1:7" x14ac:dyDescent="0.25">
      <c r="A9" s="11" t="s">
        <v>72</v>
      </c>
      <c r="B9" s="77">
        <v>48.73</v>
      </c>
      <c r="C9" s="77">
        <v>43.79</v>
      </c>
    </row>
    <row r="10" spans="1:7" ht="15" x14ac:dyDescent="0.25">
      <c r="A10" s="5"/>
      <c r="B10" s="11" t="s">
        <v>70</v>
      </c>
      <c r="C10" s="2"/>
      <c r="D10" s="2"/>
      <c r="G10" s="11" t="s">
        <v>61</v>
      </c>
    </row>
    <row r="11" spans="1:7" ht="15" x14ac:dyDescent="0.25">
      <c r="B11" s="17">
        <f>2458+2776</f>
        <v>5234</v>
      </c>
      <c r="C11" s="2"/>
      <c r="D11" s="2"/>
      <c r="G11" s="18">
        <v>0</v>
      </c>
    </row>
    <row r="12" spans="1:7" ht="15" x14ac:dyDescent="0.25">
      <c r="A12" s="5" t="s">
        <v>62</v>
      </c>
      <c r="B12" s="17">
        <v>178.66</v>
      </c>
      <c r="C12" s="74">
        <v>150.61000000000001</v>
      </c>
      <c r="D12" s="2"/>
      <c r="E12" s="2"/>
      <c r="F12" s="53" t="s">
        <v>55</v>
      </c>
      <c r="G12" s="53" t="s">
        <v>56</v>
      </c>
    </row>
    <row r="13" spans="1:7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7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7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7" x14ac:dyDescent="0.25">
      <c r="A16" s="15" t="s">
        <v>148</v>
      </c>
      <c r="B16" s="66" t="s">
        <v>88</v>
      </c>
      <c r="C16" s="66">
        <v>1320.84</v>
      </c>
      <c r="D16" s="66">
        <v>5</v>
      </c>
      <c r="E16" s="66">
        <f>C16*D16</f>
        <v>6604.2</v>
      </c>
      <c r="F16" s="73">
        <v>-4.0599999999999997E-2</v>
      </c>
      <c r="G16" s="68">
        <f>((E16-(C12*5))*F16)+E16</f>
        <v>6366.6433099999995</v>
      </c>
    </row>
    <row r="17" spans="1:8" x14ac:dyDescent="0.25">
      <c r="A17" s="15" t="s">
        <v>149</v>
      </c>
      <c r="B17" s="66" t="s">
        <v>150</v>
      </c>
      <c r="C17" s="66">
        <v>2.5043000000000002</v>
      </c>
      <c r="D17" s="66">
        <f>56*2</f>
        <v>112</v>
      </c>
      <c r="E17" s="68">
        <f t="shared" ref="E17:E22" si="0">C17*D17</f>
        <v>280.48160000000001</v>
      </c>
      <c r="F17" s="66"/>
      <c r="G17" s="68">
        <f t="shared" ref="G17:G22" si="1">(E17*F17)+E17</f>
        <v>280.48160000000001</v>
      </c>
    </row>
    <row r="18" spans="1:8" x14ac:dyDescent="0.25">
      <c r="A18" s="79" t="s">
        <v>257</v>
      </c>
      <c r="B18" s="66"/>
      <c r="C18" s="66"/>
      <c r="D18" s="66"/>
      <c r="E18" s="66">
        <f t="shared" si="0"/>
        <v>0</v>
      </c>
      <c r="F18" s="73"/>
      <c r="G18" s="68">
        <f t="shared" si="1"/>
        <v>0</v>
      </c>
    </row>
    <row r="19" spans="1:8" x14ac:dyDescent="0.25">
      <c r="A19" s="15" t="s">
        <v>261</v>
      </c>
      <c r="B19" s="66" t="s">
        <v>258</v>
      </c>
      <c r="C19" s="66">
        <v>2.4411</v>
      </c>
      <c r="D19" s="66">
        <v>50</v>
      </c>
      <c r="E19" s="68">
        <f t="shared" ref="E19" si="2">C19*D19</f>
        <v>122.05500000000001</v>
      </c>
      <c r="F19" s="66"/>
      <c r="G19" s="68">
        <f t="shared" ref="G19" si="3">(E19*F19)+E19</f>
        <v>122.05500000000001</v>
      </c>
    </row>
    <row r="20" spans="1:8" ht="15" customHeight="1" x14ac:dyDescent="0.25">
      <c r="A20" s="66" t="s">
        <v>693</v>
      </c>
      <c r="B20" s="66" t="s">
        <v>258</v>
      </c>
      <c r="C20" s="80">
        <v>65</v>
      </c>
      <c r="D20" s="80">
        <v>1</v>
      </c>
      <c r="E20" s="66">
        <f t="shared" si="0"/>
        <v>65</v>
      </c>
      <c r="F20" s="66">
        <f>14*0.2922</f>
        <v>4.0907999999999998</v>
      </c>
      <c r="G20" s="68">
        <f>F20+E20</f>
        <v>69.090800000000002</v>
      </c>
    </row>
    <row r="21" spans="1:8" ht="15" customHeight="1" x14ac:dyDescent="0.25">
      <c r="A21" s="15"/>
      <c r="B21" s="15"/>
      <c r="C21" s="69"/>
      <c r="D21" s="69"/>
      <c r="E21" s="66">
        <f t="shared" si="0"/>
        <v>0</v>
      </c>
      <c r="F21" s="15"/>
      <c r="G21" s="68">
        <f t="shared" si="1"/>
        <v>0</v>
      </c>
    </row>
    <row r="22" spans="1:8" ht="15" customHeight="1" x14ac:dyDescent="0.25">
      <c r="A22" s="66"/>
      <c r="B22" s="70"/>
      <c r="C22" s="69"/>
      <c r="D22" s="69"/>
      <c r="E22" s="66">
        <f t="shared" si="0"/>
        <v>0</v>
      </c>
      <c r="F22" s="15"/>
      <c r="G22" s="68">
        <f t="shared" si="1"/>
        <v>0</v>
      </c>
    </row>
    <row r="23" spans="1:8" ht="15" x14ac:dyDescent="0.25">
      <c r="A23" s="2"/>
      <c r="B23" s="2"/>
      <c r="C23" s="2"/>
      <c r="D23" s="2"/>
      <c r="E23" s="2"/>
      <c r="F23" s="2"/>
      <c r="G23" s="2"/>
    </row>
    <row r="24" spans="1:8" ht="30" customHeight="1" x14ac:dyDescent="0.25">
      <c r="A24" s="106" t="s">
        <v>141</v>
      </c>
      <c r="B24" s="132" t="s">
        <v>11</v>
      </c>
      <c r="C24" s="132"/>
      <c r="D24" s="132"/>
      <c r="E24" s="132"/>
      <c r="F24" s="113">
        <f>SUM(G16:G22)</f>
        <v>6838.2707099999998</v>
      </c>
      <c r="G24" s="113"/>
    </row>
    <row r="25" spans="1:8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8" ht="15" x14ac:dyDescent="0.25">
      <c r="A26" s="2"/>
      <c r="B26" s="2"/>
      <c r="C26" s="2"/>
      <c r="D26" s="2"/>
      <c r="E26" s="2"/>
      <c r="F26" s="2"/>
      <c r="G26" s="2"/>
    </row>
    <row r="27" spans="1:8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8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8" ht="15" x14ac:dyDescent="0.25">
      <c r="A29" s="43" t="s">
        <v>134</v>
      </c>
      <c r="B29" s="41" t="s">
        <v>86</v>
      </c>
      <c r="C29" s="40">
        <f>IFERROR(VLOOKUP(B29,Liste!C1:D5,2,FALSE),"")</f>
        <v>2500</v>
      </c>
      <c r="D29" s="54">
        <f>IFERROR(C29/4.33,0)</f>
        <v>577.36720554272517</v>
      </c>
      <c r="H29" s="7"/>
    </row>
    <row r="30" spans="1:8" ht="15" x14ac:dyDescent="0.25">
      <c r="A30" s="43" t="s">
        <v>133</v>
      </c>
      <c r="B30" s="41" t="s">
        <v>86</v>
      </c>
      <c r="C30" s="40">
        <f>IFERROR(VLOOKUP(B30,Liste!C2:D6,2,FALSE),"")</f>
        <v>2500</v>
      </c>
      <c r="D30" s="54">
        <f>IFERROR(C30/4.33,0)</f>
        <v>577.36720554272517</v>
      </c>
      <c r="H30" s="7"/>
    </row>
    <row r="31" spans="1:8" ht="15" x14ac:dyDescent="0.3">
      <c r="A31" s="43" t="s">
        <v>66</v>
      </c>
      <c r="B31" s="46" t="s">
        <v>43</v>
      </c>
      <c r="C31" s="40">
        <f>IFERROR(VLOOKUP(B31,Liste!$C$7:$D$15,2,FALSE),"")</f>
        <v>400</v>
      </c>
      <c r="D31" s="54">
        <f>IFERROR(C31/4.33,0)</f>
        <v>92.378752886836025</v>
      </c>
      <c r="H31" s="7"/>
    </row>
    <row r="32" spans="1:8" ht="15" x14ac:dyDescent="0.3">
      <c r="A32" s="43" t="s">
        <v>67</v>
      </c>
      <c r="B32" s="46" t="s">
        <v>43</v>
      </c>
      <c r="C32" s="40">
        <f>IFERROR(VLOOKUP(B32,Liste!$C$7:$D$15,2,FALSE),"")</f>
        <v>400</v>
      </c>
      <c r="D32" s="54">
        <f t="shared" ref="D32:D34" si="4">IFERROR(C32/4.33,0)</f>
        <v>92.378752886836025</v>
      </c>
      <c r="H32" s="7"/>
    </row>
    <row r="33" spans="1:8" ht="15" x14ac:dyDescent="0.3">
      <c r="A33" s="43" t="s">
        <v>68</v>
      </c>
      <c r="B33" s="46" t="s">
        <v>69</v>
      </c>
      <c r="C33" s="40" t="str">
        <f>IFERROR(VLOOKUP(B33,Liste!$C$7:$D$15,2,FALSE),"")</f>
        <v/>
      </c>
      <c r="D33" s="54">
        <f t="shared" si="4"/>
        <v>0</v>
      </c>
      <c r="H33" s="7"/>
    </row>
    <row r="34" spans="1:8" ht="15" x14ac:dyDescent="0.3">
      <c r="A34" s="43" t="s">
        <v>73</v>
      </c>
      <c r="B34" s="46" t="s">
        <v>69</v>
      </c>
      <c r="C34" s="40" t="str">
        <f>IFERROR(VLOOKUP(B34,Liste!$C$7:$D$15,2,FALSE),"")</f>
        <v/>
      </c>
      <c r="D34" s="54">
        <f t="shared" si="4"/>
        <v>0</v>
      </c>
      <c r="H34" s="7"/>
    </row>
    <row r="35" spans="1:8" ht="15" x14ac:dyDescent="0.25">
      <c r="A35" s="43" t="s">
        <v>2</v>
      </c>
      <c r="B35" s="41" t="s">
        <v>32</v>
      </c>
      <c r="C35" s="65">
        <v>1.3553999999999999</v>
      </c>
      <c r="D35" s="54">
        <f>(B11*D5/100)*C35</f>
        <v>2163.7198979999998</v>
      </c>
      <c r="E35" s="49"/>
      <c r="H35" s="7"/>
    </row>
    <row r="36" spans="1:8" ht="15" x14ac:dyDescent="0.25">
      <c r="A36" s="43" t="s">
        <v>2</v>
      </c>
      <c r="B36" s="41" t="s">
        <v>34</v>
      </c>
      <c r="C36" s="48">
        <v>0</v>
      </c>
      <c r="D36" s="54">
        <f>(D5*B11/100)*C36</f>
        <v>0</v>
      </c>
      <c r="H36" s="7"/>
    </row>
    <row r="37" spans="1:8" ht="15" x14ac:dyDescent="0.3">
      <c r="A37" s="43" t="s">
        <v>3</v>
      </c>
      <c r="B37" s="42"/>
      <c r="C37" s="65">
        <v>0.43090000000000001</v>
      </c>
      <c r="D37" s="54">
        <f>(D6*B11)*C37</f>
        <v>42.851281399999998</v>
      </c>
      <c r="H37" s="7"/>
    </row>
    <row r="38" spans="1:8" ht="15" x14ac:dyDescent="0.3">
      <c r="A38" s="43" t="s">
        <v>4</v>
      </c>
      <c r="B38" s="42"/>
      <c r="C38" s="48">
        <v>1.1225000000000001</v>
      </c>
      <c r="D38" s="55"/>
      <c r="H38" s="7"/>
    </row>
    <row r="39" spans="1:8" ht="30" x14ac:dyDescent="0.3">
      <c r="A39" s="43" t="s">
        <v>52</v>
      </c>
      <c r="B39" s="42"/>
      <c r="C39" s="44">
        <v>0.04</v>
      </c>
      <c r="D39" s="54">
        <f>C39*B11</f>
        <v>209.36</v>
      </c>
      <c r="E39" s="49"/>
      <c r="H39" s="7"/>
    </row>
    <row r="40" spans="1:8" ht="15" x14ac:dyDescent="0.25">
      <c r="A40" s="43" t="s">
        <v>13</v>
      </c>
      <c r="B40" s="41">
        <f>B12</f>
        <v>178.66</v>
      </c>
      <c r="C40" s="56">
        <v>5</v>
      </c>
      <c r="D40" s="54">
        <f>C40*B40</f>
        <v>893.3</v>
      </c>
      <c r="H40" s="7"/>
    </row>
    <row r="41" spans="1:8" ht="15" x14ac:dyDescent="0.25">
      <c r="A41" s="43" t="s">
        <v>14</v>
      </c>
      <c r="B41" s="48" t="s">
        <v>56</v>
      </c>
      <c r="C41" s="40">
        <v>2</v>
      </c>
      <c r="D41" s="40">
        <f>1037.7+845.11</f>
        <v>1882.81</v>
      </c>
      <c r="E41" s="49"/>
      <c r="H41" s="7"/>
    </row>
    <row r="42" spans="1:8" ht="15" x14ac:dyDescent="0.3">
      <c r="A42" s="43" t="s">
        <v>60</v>
      </c>
      <c r="B42" s="42"/>
      <c r="C42" s="42"/>
      <c r="D42" s="54">
        <f>G11</f>
        <v>0</v>
      </c>
      <c r="E42" s="49"/>
      <c r="H42" s="7"/>
    </row>
    <row r="43" spans="1:8" ht="15" x14ac:dyDescent="0.25">
      <c r="A43" s="43" t="s">
        <v>1</v>
      </c>
      <c r="B43" s="48" t="s">
        <v>65</v>
      </c>
      <c r="C43" s="40">
        <f>IF(B43=Liste!A24,Liste!B18,0)</f>
        <v>0</v>
      </c>
      <c r="D43" s="54">
        <f>C43/4.33</f>
        <v>0</v>
      </c>
      <c r="H43" s="7"/>
    </row>
    <row r="44" spans="1:8" ht="15" x14ac:dyDescent="0.3">
      <c r="A44" s="45" t="s">
        <v>50</v>
      </c>
      <c r="B44" s="42"/>
      <c r="C44" s="40">
        <v>0</v>
      </c>
      <c r="D44" s="54">
        <v>0</v>
      </c>
      <c r="H44" s="7"/>
    </row>
    <row r="45" spans="1:8" ht="15" customHeight="1" x14ac:dyDescent="0.25">
      <c r="A45" s="50"/>
      <c r="B45" s="51"/>
      <c r="C45" s="52"/>
    </row>
    <row r="46" spans="1:8" x14ac:dyDescent="0.25">
      <c r="C46" s="6" t="s">
        <v>47</v>
      </c>
      <c r="D46" s="47">
        <f>SUM(D29:D44)</f>
        <v>6531.5330962591233</v>
      </c>
    </row>
    <row r="47" spans="1:8" x14ac:dyDescent="0.25">
      <c r="C47" s="6" t="s">
        <v>49</v>
      </c>
      <c r="D47" s="47">
        <f>F24-D46</f>
        <v>306.73761374087644</v>
      </c>
    </row>
    <row r="49" spans="3:4" ht="39" customHeight="1" x14ac:dyDescent="0.25">
      <c r="C49" s="58" t="s">
        <v>48</v>
      </c>
      <c r="D49" s="59">
        <f>D47/F24</f>
        <v>4.4856020878541153E-2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63CC0FB4-C66F-4B28-B4F4-0E1B32CF364E}"/>
  </hyperlink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9411A29-3565-48A4-B094-A0B416DE0545}">
          <x14:formula1>
            <xm:f>Liste!$C$2:$C$5</xm:f>
          </x14:formula1>
          <xm:sqref>B29:B30</xm:sqref>
        </x14:dataValidation>
        <x14:dataValidation type="list" allowBlank="1" showInputMessage="1" showErrorMessage="1" xr:uid="{994F2264-DAE5-49CC-8B3E-A692603FE64C}">
          <x14:formula1>
            <xm:f>Liste!$A$21:$A$22</xm:f>
          </x14:formula1>
          <xm:sqref>B41</xm:sqref>
        </x14:dataValidation>
        <x14:dataValidation type="list" allowBlank="1" showInputMessage="1" showErrorMessage="1" xr:uid="{B8D95A39-694D-4A2F-ADCB-8973C51771BE}">
          <x14:formula1>
            <xm:f>Liste!$A$24:$A$25</xm:f>
          </x14:formula1>
          <xm:sqref>B43</xm:sqref>
        </x14:dataValidation>
        <x14:dataValidation type="list" allowBlank="1" showInputMessage="1" showErrorMessage="1" xr:uid="{A0E3C776-48D8-4BBB-9FCD-FAC0A4ABF15D}">
          <x14:formula1>
            <xm:f>Liste!$C$7:$C$16</xm:f>
          </x14:formula1>
          <xm:sqref>B31:B34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BD3D6-0E59-492D-BC38-35B2C7C39F44}">
  <sheetPr>
    <tabColor theme="4" tint="0.39997558519241921"/>
  </sheetPr>
  <dimension ref="A1:H49"/>
  <sheetViews>
    <sheetView topLeftCell="A31" workbookViewId="0">
      <selection activeCell="F31" sqref="F31"/>
    </sheetView>
  </sheetViews>
  <sheetFormatPr baseColWidth="10" defaultColWidth="11.44140625" defaultRowHeight="13.2" x14ac:dyDescent="0.25"/>
  <cols>
    <col min="1" max="1" width="34.6640625" style="1" bestFit="1" customWidth="1"/>
    <col min="2" max="2" width="20.6640625" style="1" customWidth="1"/>
    <col min="3" max="3" width="19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7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7" x14ac:dyDescent="0.25">
      <c r="A3" s="126" t="s">
        <v>5</v>
      </c>
      <c r="B3" s="126"/>
      <c r="C3" s="126"/>
      <c r="D3" s="126"/>
      <c r="E3" s="126"/>
      <c r="F3" s="126"/>
      <c r="G3" s="126"/>
    </row>
    <row r="4" spans="1:7" ht="15" x14ac:dyDescent="0.25">
      <c r="A4" s="2"/>
      <c r="B4" s="5" t="s">
        <v>10</v>
      </c>
      <c r="D4" s="11" t="s">
        <v>12</v>
      </c>
      <c r="F4" s="129" t="s">
        <v>15</v>
      </c>
      <c r="G4" s="130" t="s">
        <v>688</v>
      </c>
    </row>
    <row r="5" spans="1:7" ht="15" x14ac:dyDescent="0.25">
      <c r="A5" s="5" t="s">
        <v>8</v>
      </c>
      <c r="B5" s="10" t="s">
        <v>155</v>
      </c>
      <c r="C5" s="10" t="s">
        <v>156</v>
      </c>
      <c r="D5" s="17">
        <v>28.6</v>
      </c>
      <c r="E5" s="6"/>
      <c r="F5" s="129"/>
      <c r="G5" s="131"/>
    </row>
    <row r="6" spans="1:7" ht="15" x14ac:dyDescent="0.25">
      <c r="A6" s="5" t="s">
        <v>9</v>
      </c>
      <c r="B6" s="10" t="s">
        <v>83</v>
      </c>
      <c r="C6" s="10" t="s">
        <v>83</v>
      </c>
      <c r="D6" s="6">
        <v>1.9E-2</v>
      </c>
      <c r="F6" s="2"/>
      <c r="G6" s="2"/>
    </row>
    <row r="7" spans="1:7" ht="15" x14ac:dyDescent="0.25">
      <c r="A7" s="5" t="s">
        <v>16</v>
      </c>
      <c r="B7" s="12" t="s">
        <v>157</v>
      </c>
      <c r="C7" s="12" t="s">
        <v>158</v>
      </c>
      <c r="D7" s="63"/>
    </row>
    <row r="8" spans="1:7" ht="15" x14ac:dyDescent="0.25">
      <c r="A8" s="11" t="s">
        <v>71</v>
      </c>
      <c r="B8" s="18">
        <v>62.66</v>
      </c>
      <c r="C8" s="18"/>
    </row>
    <row r="9" spans="1:7" x14ac:dyDescent="0.25">
      <c r="A9" s="11" t="s">
        <v>72</v>
      </c>
      <c r="B9" s="77">
        <v>52.38</v>
      </c>
      <c r="C9" s="77"/>
    </row>
    <row r="10" spans="1:7" ht="15" x14ac:dyDescent="0.25">
      <c r="A10" s="5"/>
      <c r="B10" s="11" t="s">
        <v>70</v>
      </c>
      <c r="C10" s="2"/>
      <c r="D10" s="2"/>
      <c r="G10" s="11" t="s">
        <v>61</v>
      </c>
    </row>
    <row r="11" spans="1:7" ht="15" x14ac:dyDescent="0.25">
      <c r="B11" s="17">
        <f>2912+2389</f>
        <v>5301</v>
      </c>
      <c r="C11" s="2"/>
      <c r="D11" s="2"/>
      <c r="G11" s="18">
        <v>0</v>
      </c>
    </row>
    <row r="12" spans="1:7" ht="15" x14ac:dyDescent="0.25">
      <c r="A12" s="5" t="s">
        <v>62</v>
      </c>
      <c r="B12" s="17">
        <v>213.43</v>
      </c>
      <c r="C12" s="74">
        <v>195.31</v>
      </c>
      <c r="D12" s="2"/>
      <c r="E12" s="2"/>
      <c r="F12" s="53" t="s">
        <v>55</v>
      </c>
      <c r="G12" s="53" t="s">
        <v>56</v>
      </c>
    </row>
    <row r="13" spans="1:7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7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7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7" x14ac:dyDescent="0.25">
      <c r="A16" s="15" t="s">
        <v>154</v>
      </c>
      <c r="B16" s="66" t="s">
        <v>88</v>
      </c>
      <c r="C16" s="66">
        <v>1395.31</v>
      </c>
      <c r="D16" s="66">
        <v>5</v>
      </c>
      <c r="E16" s="66">
        <f>C16*D16</f>
        <v>6976.5499999999993</v>
      </c>
      <c r="F16" s="67">
        <v>-3.6499999999999998E-2</v>
      </c>
      <c r="G16" s="68">
        <f>((E16-(C12*5))*F16)+E16</f>
        <v>6757.5499999999993</v>
      </c>
    </row>
    <row r="17" spans="1:8" x14ac:dyDescent="0.25">
      <c r="A17" s="15" t="s">
        <v>153</v>
      </c>
      <c r="B17" s="66" t="s">
        <v>90</v>
      </c>
      <c r="C17" s="66">
        <v>2.5021</v>
      </c>
      <c r="D17" s="66">
        <f>70*5</f>
        <v>350</v>
      </c>
      <c r="E17" s="68">
        <f t="shared" ref="E17:E22" si="0">C17*D17</f>
        <v>875.73500000000001</v>
      </c>
      <c r="F17" s="66"/>
      <c r="G17" s="68">
        <f t="shared" ref="G17:G22" si="1">(E17*F17)+E17</f>
        <v>875.73500000000001</v>
      </c>
    </row>
    <row r="18" spans="1:8" x14ac:dyDescent="0.25">
      <c r="A18" s="15"/>
      <c r="B18" s="66"/>
      <c r="C18" s="66"/>
      <c r="D18" s="66"/>
      <c r="E18" s="66">
        <f t="shared" si="0"/>
        <v>0</v>
      </c>
      <c r="F18" s="67"/>
      <c r="G18" s="68">
        <f t="shared" si="1"/>
        <v>0</v>
      </c>
    </row>
    <row r="19" spans="1:8" x14ac:dyDescent="0.25">
      <c r="A19" s="15" t="s">
        <v>694</v>
      </c>
      <c r="B19" s="66" t="s">
        <v>252</v>
      </c>
      <c r="C19" s="66">
        <f>179.42+104.98</f>
        <v>284.39999999999998</v>
      </c>
      <c r="D19" s="66">
        <v>1</v>
      </c>
      <c r="E19" s="66">
        <f t="shared" ref="E19" si="2">C19*D19</f>
        <v>284.39999999999998</v>
      </c>
      <c r="F19" s="67">
        <v>4.7730000000000002E-2</v>
      </c>
      <c r="G19" s="68">
        <f t="shared" ref="G19" si="3">(E19*F19)+E19</f>
        <v>297.97441199999997</v>
      </c>
    </row>
    <row r="20" spans="1:8" ht="15" customHeight="1" x14ac:dyDescent="0.25">
      <c r="A20" s="15" t="s">
        <v>695</v>
      </c>
      <c r="B20" s="66" t="s">
        <v>252</v>
      </c>
      <c r="C20" s="66">
        <v>195.33</v>
      </c>
      <c r="D20" s="66">
        <v>1</v>
      </c>
      <c r="E20" s="66">
        <f t="shared" si="0"/>
        <v>195.33</v>
      </c>
      <c r="F20" s="67">
        <v>3.9774999999999998E-2</v>
      </c>
      <c r="G20" s="68">
        <f t="shared" si="1"/>
        <v>203.09925075000001</v>
      </c>
    </row>
    <row r="21" spans="1:8" ht="15" customHeight="1" x14ac:dyDescent="0.25">
      <c r="A21" s="15"/>
      <c r="B21" s="15"/>
      <c r="C21" s="69"/>
      <c r="D21" s="69"/>
      <c r="E21" s="66">
        <f t="shared" si="0"/>
        <v>0</v>
      </c>
      <c r="F21" s="15"/>
      <c r="G21" s="68">
        <f t="shared" si="1"/>
        <v>0</v>
      </c>
    </row>
    <row r="22" spans="1:8" ht="15" customHeight="1" x14ac:dyDescent="0.25">
      <c r="A22" s="66"/>
      <c r="B22" s="70"/>
      <c r="C22" s="69"/>
      <c r="D22" s="69"/>
      <c r="E22" s="66">
        <f t="shared" si="0"/>
        <v>0</v>
      </c>
      <c r="F22" s="15"/>
      <c r="G22" s="68">
        <f t="shared" si="1"/>
        <v>0</v>
      </c>
    </row>
    <row r="23" spans="1:8" ht="15" x14ac:dyDescent="0.25">
      <c r="A23" s="2"/>
      <c r="B23" s="2"/>
      <c r="C23" s="2"/>
      <c r="D23" s="2"/>
      <c r="E23" s="2"/>
      <c r="F23" s="2"/>
      <c r="G23" s="2"/>
    </row>
    <row r="24" spans="1:8" ht="30" customHeight="1" x14ac:dyDescent="0.25">
      <c r="A24" s="106" t="s">
        <v>151</v>
      </c>
      <c r="B24" s="132" t="s">
        <v>11</v>
      </c>
      <c r="C24" s="132"/>
      <c r="D24" s="132"/>
      <c r="E24" s="132"/>
      <c r="F24" s="113">
        <f>SUM(G16:G22)</f>
        <v>8134.358662749999</v>
      </c>
      <c r="G24" s="113"/>
    </row>
    <row r="25" spans="1:8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8" ht="15" x14ac:dyDescent="0.25">
      <c r="A26" s="2"/>
      <c r="B26" s="2"/>
      <c r="C26" s="2"/>
      <c r="D26" s="2"/>
      <c r="E26" s="2"/>
      <c r="F26" s="2"/>
      <c r="G26" s="2"/>
    </row>
    <row r="27" spans="1:8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8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8" ht="15" x14ac:dyDescent="0.25">
      <c r="A29" s="43" t="s">
        <v>134</v>
      </c>
      <c r="B29" s="41" t="s">
        <v>86</v>
      </c>
      <c r="C29" s="40">
        <f>IFERROR(VLOOKUP(B29,Liste!C1:D5,2,FALSE),"")</f>
        <v>2500</v>
      </c>
      <c r="D29" s="54">
        <f>IFERROR(C29/4.33,0)</f>
        <v>577.36720554272517</v>
      </c>
      <c r="H29" s="7"/>
    </row>
    <row r="30" spans="1:8" ht="15" x14ac:dyDescent="0.25">
      <c r="A30" s="43" t="s">
        <v>133</v>
      </c>
      <c r="B30" s="41" t="s">
        <v>86</v>
      </c>
      <c r="C30" s="40">
        <f>IFERROR(VLOOKUP(B30,Liste!C2:D6,2,FALSE),"")</f>
        <v>2500</v>
      </c>
      <c r="D30" s="54">
        <f>IFERROR(C30/4.33,0)</f>
        <v>577.36720554272517</v>
      </c>
      <c r="H30" s="7"/>
    </row>
    <row r="31" spans="1:8" ht="15" x14ac:dyDescent="0.3">
      <c r="A31" s="43" t="s">
        <v>66</v>
      </c>
      <c r="B31" s="46" t="s">
        <v>43</v>
      </c>
      <c r="C31" s="40">
        <f>IFERROR(VLOOKUP(B31,Liste!$C$7:$D$15,2,FALSE),"")</f>
        <v>400</v>
      </c>
      <c r="D31" s="54">
        <f>IFERROR(C31/4.33,0)</f>
        <v>92.378752886836025</v>
      </c>
      <c r="H31" s="7"/>
    </row>
    <row r="32" spans="1:8" ht="15" x14ac:dyDescent="0.3">
      <c r="A32" s="43" t="s">
        <v>67</v>
      </c>
      <c r="B32" s="46" t="s">
        <v>43</v>
      </c>
      <c r="C32" s="40">
        <f>IFERROR(VLOOKUP(B32,Liste!$C$7:$D$15,2,FALSE),"")</f>
        <v>400</v>
      </c>
      <c r="D32" s="54">
        <f t="shared" ref="D32:D34" si="4">IFERROR(C32/4.33,0)</f>
        <v>92.378752886836025</v>
      </c>
      <c r="H32" s="7"/>
    </row>
    <row r="33" spans="1:8" ht="15" x14ac:dyDescent="0.3">
      <c r="A33" s="43" t="s">
        <v>68</v>
      </c>
      <c r="B33" s="46" t="s">
        <v>69</v>
      </c>
      <c r="C33" s="40" t="str">
        <f>IFERROR(VLOOKUP(B33,Liste!$C$7:$D$15,2,FALSE),"")</f>
        <v/>
      </c>
      <c r="D33" s="54">
        <f t="shared" si="4"/>
        <v>0</v>
      </c>
      <c r="H33" s="7"/>
    </row>
    <row r="34" spans="1:8" ht="15" x14ac:dyDescent="0.3">
      <c r="A34" s="43" t="s">
        <v>73</v>
      </c>
      <c r="B34" s="46" t="s">
        <v>69</v>
      </c>
      <c r="C34" s="40" t="str">
        <f>IFERROR(VLOOKUP(B34,Liste!$C$7:$D$15,2,FALSE),"")</f>
        <v/>
      </c>
      <c r="D34" s="54">
        <f t="shared" si="4"/>
        <v>0</v>
      </c>
      <c r="H34" s="7"/>
    </row>
    <row r="35" spans="1:8" ht="15" x14ac:dyDescent="0.25">
      <c r="A35" s="43" t="s">
        <v>2</v>
      </c>
      <c r="B35" s="41" t="s">
        <v>32</v>
      </c>
      <c r="C35" s="65">
        <v>1.3553999999999999</v>
      </c>
      <c r="D35" s="54">
        <f>(B11*D5/100)*C35</f>
        <v>2054.9029643999997</v>
      </c>
      <c r="E35" s="49"/>
      <c r="H35" s="7"/>
    </row>
    <row r="36" spans="1:8" ht="15" x14ac:dyDescent="0.25">
      <c r="A36" s="43" t="s">
        <v>2</v>
      </c>
      <c r="B36" s="41" t="s">
        <v>34</v>
      </c>
      <c r="C36" s="48">
        <v>0</v>
      </c>
      <c r="D36" s="54">
        <f>(D5*B11/100)*C36</f>
        <v>0</v>
      </c>
      <c r="H36" s="7"/>
    </row>
    <row r="37" spans="1:8" ht="15" x14ac:dyDescent="0.3">
      <c r="A37" s="43" t="s">
        <v>3</v>
      </c>
      <c r="B37" s="42"/>
      <c r="C37" s="65">
        <v>0.43090000000000001</v>
      </c>
      <c r="D37" s="54">
        <f>(D6*B11)*C37</f>
        <v>43.3998171</v>
      </c>
      <c r="H37" s="7"/>
    </row>
    <row r="38" spans="1:8" ht="15" x14ac:dyDescent="0.3">
      <c r="A38" s="43" t="s">
        <v>4</v>
      </c>
      <c r="B38" s="42"/>
      <c r="C38" s="48">
        <v>1.1225000000000001</v>
      </c>
      <c r="D38" s="55"/>
      <c r="H38" s="7"/>
    </row>
    <row r="39" spans="1:8" ht="30" x14ac:dyDescent="0.3">
      <c r="A39" s="43" t="s">
        <v>52</v>
      </c>
      <c r="B39" s="42"/>
      <c r="C39" s="44">
        <v>0.04</v>
      </c>
      <c r="D39" s="54">
        <f>C39*B11</f>
        <v>212.04</v>
      </c>
      <c r="E39" s="49"/>
      <c r="H39" s="7"/>
    </row>
    <row r="40" spans="1:8" ht="15" x14ac:dyDescent="0.25">
      <c r="A40" s="43" t="s">
        <v>13</v>
      </c>
      <c r="B40" s="41">
        <f>B12</f>
        <v>213.43</v>
      </c>
      <c r="C40" s="56">
        <v>5</v>
      </c>
      <c r="D40" s="54">
        <f>C40*B40</f>
        <v>1067.1500000000001</v>
      </c>
      <c r="H40" s="7"/>
    </row>
    <row r="41" spans="1:8" ht="15" x14ac:dyDescent="0.25">
      <c r="A41" s="43" t="s">
        <v>14</v>
      </c>
      <c r="B41" s="48" t="s">
        <v>56</v>
      </c>
      <c r="C41" s="40">
        <v>2</v>
      </c>
      <c r="D41" s="40">
        <f>1451.93+957.88</f>
        <v>2409.81</v>
      </c>
      <c r="E41" s="49"/>
      <c r="H41" s="7"/>
    </row>
    <row r="42" spans="1:8" ht="15" x14ac:dyDescent="0.3">
      <c r="A42" s="43" t="s">
        <v>60</v>
      </c>
      <c r="B42" s="42"/>
      <c r="C42" s="42"/>
      <c r="D42" s="54">
        <f>G11</f>
        <v>0</v>
      </c>
      <c r="E42" s="49"/>
      <c r="H42" s="7"/>
    </row>
    <row r="43" spans="1:8" ht="15" x14ac:dyDescent="0.25">
      <c r="A43" s="43" t="s">
        <v>1</v>
      </c>
      <c r="B43" s="48" t="s">
        <v>65</v>
      </c>
      <c r="C43" s="40">
        <f>IF(B43=Liste!A24,Liste!B18,0)</f>
        <v>0</v>
      </c>
      <c r="D43" s="54">
        <f>C43/4.33</f>
        <v>0</v>
      </c>
      <c r="H43" s="7"/>
    </row>
    <row r="44" spans="1:8" ht="15" x14ac:dyDescent="0.3">
      <c r="A44" s="45" t="s">
        <v>50</v>
      </c>
      <c r="B44" s="42"/>
      <c r="C44" s="40">
        <v>0</v>
      </c>
      <c r="D44" s="54">
        <v>0</v>
      </c>
      <c r="H44" s="7"/>
    </row>
    <row r="45" spans="1:8" ht="15" customHeight="1" x14ac:dyDescent="0.25">
      <c r="A45" s="50"/>
      <c r="B45" s="51"/>
      <c r="C45" s="52"/>
    </row>
    <row r="46" spans="1:8" x14ac:dyDescent="0.25">
      <c r="C46" s="6" t="s">
        <v>47</v>
      </c>
      <c r="D46" s="47">
        <f>SUM(D29:D44)</f>
        <v>7126.7946983591228</v>
      </c>
    </row>
    <row r="47" spans="1:8" x14ac:dyDescent="0.25">
      <c r="C47" s="6" t="s">
        <v>49</v>
      </c>
      <c r="D47" s="47">
        <f>F24-D46</f>
        <v>1007.5639643908762</v>
      </c>
    </row>
    <row r="49" spans="3:4" ht="39" customHeight="1" x14ac:dyDescent="0.25">
      <c r="C49" s="58" t="s">
        <v>48</v>
      </c>
      <c r="D49" s="59">
        <f>D47/F24</f>
        <v>0.12386520021607297</v>
      </c>
    </row>
  </sheetData>
  <mergeCells count="6">
    <mergeCell ref="A27:G27"/>
    <mergeCell ref="A1:G1"/>
    <mergeCell ref="A3:G3"/>
    <mergeCell ref="F4:F5"/>
    <mergeCell ref="G4:G5"/>
    <mergeCell ref="B24:E24"/>
  </mergeCells>
  <phoneticPr fontId="41" type="noConversion"/>
  <hyperlinks>
    <hyperlink ref="A25" location="Sommaire!A1" display="SOMMAIRE" xr:uid="{380ECAE6-2DD5-4160-A406-C33DEED1CCFE}"/>
  </hyperlink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1690455-7FFC-462C-B1B9-0A3EC2D165FB}">
          <x14:formula1>
            <xm:f>Liste!$C$7:$C$16</xm:f>
          </x14:formula1>
          <xm:sqref>B31:B34</xm:sqref>
        </x14:dataValidation>
        <x14:dataValidation type="list" allowBlank="1" showInputMessage="1" showErrorMessage="1" xr:uid="{A7D2238E-998D-432B-B2F8-9A69D2C0984D}">
          <x14:formula1>
            <xm:f>Liste!$A$24:$A$25</xm:f>
          </x14:formula1>
          <xm:sqref>B43</xm:sqref>
        </x14:dataValidation>
        <x14:dataValidation type="list" allowBlank="1" showInputMessage="1" showErrorMessage="1" xr:uid="{C109DC74-067D-422A-A817-61BCED2C9D58}">
          <x14:formula1>
            <xm:f>Liste!$A$21:$A$22</xm:f>
          </x14:formula1>
          <xm:sqref>B41</xm:sqref>
        </x14:dataValidation>
        <x14:dataValidation type="list" allowBlank="1" showInputMessage="1" showErrorMessage="1" xr:uid="{FF5F8480-09F8-466E-82BA-72BC4E5F8C14}">
          <x14:formula1>
            <xm:f>Liste!$C$2:$C$5</xm:f>
          </x14:formula1>
          <xm:sqref>B29:B30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B606D-24B4-49B8-B144-09A6941EE0D4}">
  <sheetPr>
    <tabColor theme="4" tint="0.39997558519241921"/>
  </sheetPr>
  <dimension ref="A1:M48"/>
  <sheetViews>
    <sheetView topLeftCell="A13" workbookViewId="0">
      <selection activeCell="M18" sqref="M18"/>
    </sheetView>
  </sheetViews>
  <sheetFormatPr baseColWidth="10" defaultColWidth="11.44140625" defaultRowHeight="13.2" x14ac:dyDescent="0.25"/>
  <cols>
    <col min="1" max="1" width="32.44140625" style="1" customWidth="1"/>
    <col min="2" max="2" width="20.6640625" style="1" customWidth="1"/>
    <col min="3" max="3" width="20.44140625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7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7" x14ac:dyDescent="0.25">
      <c r="A3" s="126" t="s">
        <v>5</v>
      </c>
      <c r="B3" s="126"/>
      <c r="C3" s="126"/>
      <c r="D3" s="126"/>
      <c r="E3" s="126"/>
      <c r="F3" s="126"/>
      <c r="G3" s="126"/>
    </row>
    <row r="4" spans="1:7" ht="15" x14ac:dyDescent="0.25">
      <c r="A4" s="2"/>
      <c r="B4" s="5" t="s">
        <v>10</v>
      </c>
      <c r="D4" s="11" t="s">
        <v>12</v>
      </c>
      <c r="F4" s="129" t="s">
        <v>15</v>
      </c>
      <c r="G4" s="130" t="s">
        <v>688</v>
      </c>
    </row>
    <row r="5" spans="1:7" ht="15" x14ac:dyDescent="0.25">
      <c r="A5" s="5" t="s">
        <v>8</v>
      </c>
      <c r="B5" s="10" t="s">
        <v>204</v>
      </c>
      <c r="C5" s="63"/>
      <c r="D5" s="17">
        <v>32</v>
      </c>
      <c r="E5" s="6"/>
      <c r="F5" s="129"/>
      <c r="G5" s="131"/>
    </row>
    <row r="6" spans="1:7" ht="15" x14ac:dyDescent="0.25">
      <c r="A6" s="5" t="s">
        <v>9</v>
      </c>
      <c r="B6" s="10" t="s">
        <v>83</v>
      </c>
      <c r="C6" s="10"/>
      <c r="D6" s="6">
        <v>1.9E-2</v>
      </c>
      <c r="F6" s="2"/>
      <c r="G6" s="2"/>
    </row>
    <row r="7" spans="1:7" ht="15" x14ac:dyDescent="0.25">
      <c r="A7" s="5" t="s">
        <v>16</v>
      </c>
      <c r="B7" s="12" t="s">
        <v>205</v>
      </c>
      <c r="C7" s="12"/>
    </row>
    <row r="8" spans="1:7" ht="15" x14ac:dyDescent="0.25">
      <c r="A8" s="11" t="s">
        <v>71</v>
      </c>
      <c r="B8" s="18">
        <v>61.13</v>
      </c>
    </row>
    <row r="9" spans="1:7" x14ac:dyDescent="0.25">
      <c r="A9" s="11" t="s">
        <v>72</v>
      </c>
      <c r="B9" s="77">
        <v>52.78</v>
      </c>
    </row>
    <row r="10" spans="1:7" ht="15" x14ac:dyDescent="0.25">
      <c r="B10" s="11" t="s">
        <v>70</v>
      </c>
      <c r="C10" s="2"/>
      <c r="D10" s="2"/>
      <c r="G10" s="11" t="s">
        <v>61</v>
      </c>
    </row>
    <row r="11" spans="1:7" ht="15" x14ac:dyDescent="0.25">
      <c r="B11" s="17">
        <v>2889</v>
      </c>
      <c r="D11" s="2"/>
      <c r="G11" s="18">
        <v>0</v>
      </c>
    </row>
    <row r="12" spans="1:7" ht="15.6" x14ac:dyDescent="0.3">
      <c r="A12" s="5" t="s">
        <v>62</v>
      </c>
      <c r="B12" s="17">
        <v>0</v>
      </c>
      <c r="C12" s="72"/>
      <c r="D12" s="2"/>
      <c r="E12" s="2"/>
      <c r="F12" s="53" t="s">
        <v>55</v>
      </c>
      <c r="G12" s="53" t="s">
        <v>56</v>
      </c>
    </row>
    <row r="13" spans="1:7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7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7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7" x14ac:dyDescent="0.25">
      <c r="A16" s="66" t="s">
        <v>209</v>
      </c>
      <c r="B16" s="66" t="s">
        <v>208</v>
      </c>
      <c r="C16" s="66">
        <v>480</v>
      </c>
      <c r="D16" s="66">
        <v>5</v>
      </c>
      <c r="E16" s="68">
        <f>C16*D16</f>
        <v>2400</v>
      </c>
      <c r="F16" s="73">
        <v>0</v>
      </c>
      <c r="G16" s="68">
        <f>(E16*F16)+E16</f>
        <v>2400</v>
      </c>
    </row>
    <row r="17" spans="1:13" x14ac:dyDescent="0.25">
      <c r="A17" s="66" t="s">
        <v>209</v>
      </c>
      <c r="B17" s="66" t="s">
        <v>208</v>
      </c>
      <c r="C17" s="66">
        <v>480</v>
      </c>
      <c r="D17" s="66">
        <v>5</v>
      </c>
      <c r="E17" s="68">
        <f t="shared" ref="E17:E22" si="0">C17*D17</f>
        <v>2400</v>
      </c>
      <c r="F17" s="73">
        <v>0</v>
      </c>
      <c r="G17" s="68">
        <f t="shared" ref="G17:G20" si="1">(E17*F17)+E17</f>
        <v>2400</v>
      </c>
    </row>
    <row r="18" spans="1:13" x14ac:dyDescent="0.25">
      <c r="A18" s="66"/>
      <c r="B18" s="66"/>
      <c r="C18" s="66"/>
      <c r="D18" s="66"/>
      <c r="E18" s="68"/>
      <c r="F18" s="66"/>
      <c r="G18" s="68"/>
      <c r="M18" s="1" t="s">
        <v>784</v>
      </c>
    </row>
    <row r="19" spans="1:13" x14ac:dyDescent="0.25">
      <c r="A19" s="15"/>
      <c r="B19" s="66"/>
      <c r="C19" s="66"/>
      <c r="D19" s="66"/>
      <c r="E19" s="66">
        <f t="shared" si="0"/>
        <v>0</v>
      </c>
      <c r="F19" s="66"/>
      <c r="G19" s="68">
        <f t="shared" si="1"/>
        <v>0</v>
      </c>
    </row>
    <row r="20" spans="1:13" ht="15" customHeight="1" x14ac:dyDescent="0.25">
      <c r="A20" s="15"/>
      <c r="B20" s="66"/>
      <c r="C20" s="69"/>
      <c r="D20" s="69"/>
      <c r="E20" s="66">
        <f t="shared" si="0"/>
        <v>0</v>
      </c>
      <c r="F20" s="66"/>
      <c r="G20" s="68">
        <f t="shared" si="1"/>
        <v>0</v>
      </c>
    </row>
    <row r="21" spans="1:13" ht="15" customHeight="1" x14ac:dyDescent="0.25">
      <c r="A21" s="15"/>
      <c r="B21" s="66"/>
      <c r="C21" s="69"/>
      <c r="D21" s="69"/>
      <c r="E21" s="66">
        <f t="shared" si="0"/>
        <v>0</v>
      </c>
      <c r="F21" s="66"/>
      <c r="G21" s="68">
        <f t="shared" ref="G21:G22" si="2">(E21*F21)+E21</f>
        <v>0</v>
      </c>
    </row>
    <row r="22" spans="1:13" ht="15" customHeight="1" x14ac:dyDescent="0.25">
      <c r="A22" s="66"/>
      <c r="B22" s="69"/>
      <c r="C22" s="69"/>
      <c r="D22" s="69"/>
      <c r="E22" s="66">
        <f t="shared" si="0"/>
        <v>0</v>
      </c>
      <c r="F22" s="66"/>
      <c r="G22" s="68">
        <f t="shared" si="2"/>
        <v>0</v>
      </c>
    </row>
    <row r="23" spans="1:13" ht="15" x14ac:dyDescent="0.25">
      <c r="A23" s="2"/>
      <c r="B23" s="2"/>
      <c r="C23" s="2"/>
      <c r="D23" s="2"/>
      <c r="E23" s="2"/>
      <c r="F23" s="2"/>
      <c r="G23" s="2"/>
    </row>
    <row r="24" spans="1:13" ht="30" customHeight="1" x14ac:dyDescent="0.25">
      <c r="A24" s="106" t="s">
        <v>203</v>
      </c>
      <c r="B24" s="132" t="s">
        <v>11</v>
      </c>
      <c r="C24" s="132"/>
      <c r="D24" s="132"/>
      <c r="E24" s="132"/>
      <c r="F24" s="113">
        <f>SUM(G16:G22)</f>
        <v>4800</v>
      </c>
      <c r="G24" s="113"/>
    </row>
    <row r="25" spans="1:13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13" ht="15" x14ac:dyDescent="0.25">
      <c r="A26" s="2"/>
      <c r="B26" s="2"/>
      <c r="C26" s="2"/>
      <c r="D26" s="2"/>
      <c r="E26" s="2"/>
      <c r="F26" s="2"/>
      <c r="G26" s="2"/>
    </row>
    <row r="27" spans="1:13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13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13" ht="15" x14ac:dyDescent="0.25">
      <c r="A29" s="43" t="s">
        <v>7</v>
      </c>
      <c r="B29" s="41" t="s">
        <v>86</v>
      </c>
      <c r="C29" s="40">
        <f>IFERROR(VLOOKUP(B29,Liste!C1:D5,2,FALSE),"")</f>
        <v>2500</v>
      </c>
      <c r="D29" s="54">
        <f>IFERROR(C29/4.33,0)</f>
        <v>577.36720554272517</v>
      </c>
      <c r="H29" s="7"/>
    </row>
    <row r="30" spans="1:13" ht="15" x14ac:dyDescent="0.3">
      <c r="A30" s="43" t="s">
        <v>66</v>
      </c>
      <c r="B30" s="46" t="s">
        <v>43</v>
      </c>
      <c r="C30" s="40">
        <f>IFERROR(VLOOKUP(B30,Liste!$C$7:$D$15,2,FALSE),"")</f>
        <v>400</v>
      </c>
      <c r="D30" s="54">
        <f>IFERROR(C30/4.33,0)</f>
        <v>92.378752886836025</v>
      </c>
      <c r="H30" s="7"/>
    </row>
    <row r="31" spans="1:13" ht="15" x14ac:dyDescent="0.3">
      <c r="A31" s="43" t="s">
        <v>67</v>
      </c>
      <c r="B31" s="46" t="s">
        <v>69</v>
      </c>
      <c r="C31" s="40" t="str">
        <f>IFERROR(VLOOKUP(B31,Liste!$C$7:$D$15,2,FALSE),"")</f>
        <v/>
      </c>
      <c r="D31" s="54">
        <f t="shared" ref="D31:D33" si="3">IFERROR(C31/4.33,0)</f>
        <v>0</v>
      </c>
      <c r="H31" s="7"/>
    </row>
    <row r="32" spans="1:13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3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3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1.3553999999999999</v>
      </c>
      <c r="D34" s="54">
        <f>(B11*D5/100)*C34</f>
        <v>1253.0401919999999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0</v>
      </c>
      <c r="D35" s="54">
        <f>(D5*B11/100)*C35</f>
        <v>0</v>
      </c>
      <c r="H35" s="7"/>
    </row>
    <row r="36" spans="1:8" ht="15" x14ac:dyDescent="0.3">
      <c r="A36" s="43" t="s">
        <v>3</v>
      </c>
      <c r="B36" s="42"/>
      <c r="C36" s="65">
        <v>0.43090000000000001</v>
      </c>
      <c r="D36" s="54">
        <f>(D6*B11)*C36</f>
        <v>23.6525319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115.56</v>
      </c>
      <c r="E38" s="49"/>
      <c r="H38" s="7"/>
    </row>
    <row r="39" spans="1:8" ht="15" x14ac:dyDescent="0.25">
      <c r="A39" s="43" t="s">
        <v>13</v>
      </c>
      <c r="B39" s="41">
        <f>B12</f>
        <v>0</v>
      </c>
      <c r="C39" s="56">
        <v>5</v>
      </c>
      <c r="D39" s="54">
        <f>C39*B39</f>
        <v>0</v>
      </c>
      <c r="H39" s="7"/>
    </row>
    <row r="40" spans="1:8" ht="15" x14ac:dyDescent="0.25">
      <c r="A40" s="43" t="s">
        <v>14</v>
      </c>
      <c r="B40" s="48" t="s">
        <v>56</v>
      </c>
      <c r="C40" s="40">
        <v>1</v>
      </c>
      <c r="D40" s="40">
        <v>1000.54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3062.5386823295612</v>
      </c>
    </row>
    <row r="46" spans="1:8" x14ac:dyDescent="0.25">
      <c r="C46" s="6" t="s">
        <v>49</v>
      </c>
      <c r="D46" s="47">
        <f>F24-D45</f>
        <v>1737.4613176704388</v>
      </c>
    </row>
    <row r="48" spans="1:8" ht="39" customHeight="1" x14ac:dyDescent="0.25">
      <c r="C48" s="58" t="s">
        <v>48</v>
      </c>
      <c r="D48" s="59">
        <f>D46/F24</f>
        <v>0.36197110784800807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758FA849-C302-474F-B738-FBF5D3772F42}"/>
  </hyperlink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550A899-C868-4AED-9B66-00FA2410C155}">
          <x14:formula1>
            <xm:f>Liste!$C$7:$C$16</xm:f>
          </x14:formula1>
          <xm:sqref>B30:B33</xm:sqref>
        </x14:dataValidation>
        <x14:dataValidation type="list" allowBlank="1" showInputMessage="1" showErrorMessage="1" xr:uid="{51158834-6B71-462B-A57B-9804D08610DC}">
          <x14:formula1>
            <xm:f>Liste!$A$24:$A$25</xm:f>
          </x14:formula1>
          <xm:sqref>B42</xm:sqref>
        </x14:dataValidation>
        <x14:dataValidation type="list" allowBlank="1" showInputMessage="1" showErrorMessage="1" xr:uid="{4FFC8162-9440-4D55-AC27-2529128BF719}">
          <x14:formula1>
            <xm:f>Liste!$A$21:$A$22</xm:f>
          </x14:formula1>
          <xm:sqref>B40</xm:sqref>
        </x14:dataValidation>
        <x14:dataValidation type="list" allowBlank="1" showInputMessage="1" showErrorMessage="1" xr:uid="{EB34DA9D-696B-4396-978D-6A7997504171}">
          <x14:formula1>
            <xm:f>Liste!$C$2:$C$5</xm:f>
          </x14:formula1>
          <xm:sqref>B29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8BC44-E680-45EF-9BE6-1C1052556EFA}">
  <sheetPr>
    <tabColor theme="4" tint="0.39997558519241921"/>
  </sheetPr>
  <dimension ref="A1:H48"/>
  <sheetViews>
    <sheetView topLeftCell="A34" workbookViewId="0">
      <selection activeCell="A25" sqref="A25"/>
    </sheetView>
  </sheetViews>
  <sheetFormatPr baseColWidth="10" defaultColWidth="11.44140625" defaultRowHeight="13.2" x14ac:dyDescent="0.25"/>
  <cols>
    <col min="1" max="1" width="32.44140625" style="1" customWidth="1"/>
    <col min="2" max="2" width="20.6640625" style="1" customWidth="1"/>
    <col min="3" max="3" width="20.44140625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7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7" x14ac:dyDescent="0.25">
      <c r="A3" s="126" t="s">
        <v>5</v>
      </c>
      <c r="B3" s="126"/>
      <c r="C3" s="126"/>
      <c r="D3" s="126"/>
      <c r="E3" s="126"/>
      <c r="F3" s="126"/>
      <c r="G3" s="126"/>
    </row>
    <row r="4" spans="1:7" ht="15" x14ac:dyDescent="0.25">
      <c r="A4" s="2"/>
      <c r="B4" s="5" t="s">
        <v>10</v>
      </c>
      <c r="D4" s="11" t="s">
        <v>12</v>
      </c>
      <c r="F4" s="129" t="s">
        <v>15</v>
      </c>
      <c r="G4" s="130" t="s">
        <v>688</v>
      </c>
    </row>
    <row r="5" spans="1:7" ht="15" x14ac:dyDescent="0.25">
      <c r="A5" s="5" t="s">
        <v>8</v>
      </c>
      <c r="B5" s="10" t="s">
        <v>696</v>
      </c>
      <c r="C5" s="63"/>
      <c r="D5" s="17">
        <v>30.53</v>
      </c>
      <c r="E5" s="6"/>
      <c r="F5" s="129"/>
      <c r="G5" s="131"/>
    </row>
    <row r="6" spans="1:7" ht="15" x14ac:dyDescent="0.25">
      <c r="A6" s="5" t="s">
        <v>9</v>
      </c>
      <c r="B6" s="10" t="s">
        <v>83</v>
      </c>
      <c r="C6" s="10"/>
      <c r="D6" s="6">
        <v>1.9E-2</v>
      </c>
      <c r="F6" s="2"/>
      <c r="G6" s="2"/>
    </row>
    <row r="7" spans="1:7" ht="15" x14ac:dyDescent="0.25">
      <c r="A7" s="5" t="s">
        <v>16</v>
      </c>
      <c r="B7" s="12" t="s">
        <v>211</v>
      </c>
      <c r="C7" s="12" t="s">
        <v>212</v>
      </c>
    </row>
    <row r="8" spans="1:7" ht="15" x14ac:dyDescent="0.25">
      <c r="A8" s="11" t="s">
        <v>71</v>
      </c>
      <c r="B8" s="18">
        <v>65.31</v>
      </c>
      <c r="C8" s="18">
        <v>51.48</v>
      </c>
    </row>
    <row r="9" spans="1:7" x14ac:dyDescent="0.25">
      <c r="A9" s="11" t="s">
        <v>72</v>
      </c>
      <c r="B9" s="77">
        <v>43.96</v>
      </c>
      <c r="C9" s="77">
        <v>45.53</v>
      </c>
    </row>
    <row r="10" spans="1:7" ht="15" x14ac:dyDescent="0.25">
      <c r="A10" s="5"/>
      <c r="B10" s="11" t="s">
        <v>70</v>
      </c>
      <c r="C10" s="2"/>
      <c r="D10" s="2"/>
      <c r="G10" s="11" t="s">
        <v>61</v>
      </c>
    </row>
    <row r="11" spans="1:7" ht="15" x14ac:dyDescent="0.25">
      <c r="B11" s="17">
        <f>2939+1157</f>
        <v>4096</v>
      </c>
      <c r="D11" s="2"/>
      <c r="G11" s="18">
        <v>0</v>
      </c>
    </row>
    <row r="12" spans="1:7" ht="15.6" x14ac:dyDescent="0.3">
      <c r="A12" s="5" t="s">
        <v>62</v>
      </c>
      <c r="B12" s="17">
        <v>136.16</v>
      </c>
      <c r="C12" s="72"/>
      <c r="D12" s="2"/>
      <c r="E12" s="2"/>
      <c r="F12" s="53" t="s">
        <v>55</v>
      </c>
      <c r="G12" s="53" t="s">
        <v>56</v>
      </c>
    </row>
    <row r="13" spans="1:7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7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7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7" x14ac:dyDescent="0.25">
      <c r="A16" s="66" t="s">
        <v>216</v>
      </c>
      <c r="B16" s="66" t="s">
        <v>88</v>
      </c>
      <c r="C16" s="66">
        <v>614</v>
      </c>
      <c r="D16" s="66">
        <v>5</v>
      </c>
      <c r="E16" s="68">
        <f>C16*D16</f>
        <v>3070</v>
      </c>
      <c r="F16" s="68">
        <f>(0.2922*452)*5</f>
        <v>660.37199999999996</v>
      </c>
      <c r="G16" s="68">
        <f>E16+F16</f>
        <v>3730.3719999999998</v>
      </c>
    </row>
    <row r="17" spans="1:8" x14ac:dyDescent="0.25">
      <c r="A17" s="66" t="s">
        <v>218</v>
      </c>
      <c r="B17" s="66" t="s">
        <v>88</v>
      </c>
      <c r="C17" s="66">
        <v>2.4411</v>
      </c>
      <c r="D17" s="66">
        <f>(60+50+42)*5</f>
        <v>760</v>
      </c>
      <c r="E17" s="68">
        <f t="shared" ref="E17:E22" si="0">C17*D17</f>
        <v>1855.2360000000001</v>
      </c>
      <c r="F17" s="73">
        <v>0</v>
      </c>
      <c r="G17" s="68">
        <f t="shared" ref="G17:G22" si="1">(E17*F17)+E17</f>
        <v>1855.2360000000001</v>
      </c>
    </row>
    <row r="18" spans="1:8" x14ac:dyDescent="0.25">
      <c r="A18" s="82" t="s">
        <v>697</v>
      </c>
      <c r="B18" s="82" t="s">
        <v>252</v>
      </c>
      <c r="C18" s="82">
        <f>208.26+268.88</f>
        <v>477.14</v>
      </c>
      <c r="D18" s="82">
        <v>1</v>
      </c>
      <c r="E18" s="82">
        <f t="shared" si="0"/>
        <v>477.14</v>
      </c>
      <c r="F18" s="73">
        <v>3.9774999999999998E-2</v>
      </c>
      <c r="G18" s="54">
        <f t="shared" si="1"/>
        <v>496.11824350000001</v>
      </c>
    </row>
    <row r="19" spans="1:8" x14ac:dyDescent="0.25">
      <c r="A19" s="82" t="s">
        <v>262</v>
      </c>
      <c r="B19" s="66" t="s">
        <v>258</v>
      </c>
      <c r="C19" s="66">
        <v>2.4411</v>
      </c>
      <c r="D19" s="66">
        <f>60+66</f>
        <v>126</v>
      </c>
      <c r="E19" s="68">
        <f t="shared" si="0"/>
        <v>307.57859999999999</v>
      </c>
      <c r="F19" s="66"/>
      <c r="G19" s="68">
        <f t="shared" ref="G19" si="2">(E19*F19)+E19</f>
        <v>307.57859999999999</v>
      </c>
    </row>
    <row r="20" spans="1:8" ht="15" customHeight="1" x14ac:dyDescent="0.25">
      <c r="A20" s="82"/>
      <c r="B20" s="82"/>
      <c r="C20" s="69"/>
      <c r="D20" s="69"/>
      <c r="E20" s="82">
        <f t="shared" si="0"/>
        <v>0</v>
      </c>
      <c r="F20" s="82"/>
      <c r="G20" s="54">
        <f t="shared" si="1"/>
        <v>0</v>
      </c>
    </row>
    <row r="21" spans="1:8" ht="15" customHeight="1" x14ac:dyDescent="0.25">
      <c r="A21" s="82"/>
      <c r="B21" s="82"/>
      <c r="C21" s="69"/>
      <c r="D21" s="69"/>
      <c r="E21" s="82">
        <f t="shared" si="0"/>
        <v>0</v>
      </c>
      <c r="F21" s="82"/>
      <c r="G21" s="54">
        <f t="shared" si="1"/>
        <v>0</v>
      </c>
    </row>
    <row r="22" spans="1:8" ht="15" customHeight="1" x14ac:dyDescent="0.25">
      <c r="A22" s="82"/>
      <c r="B22" s="69"/>
      <c r="C22" s="69"/>
      <c r="D22" s="69"/>
      <c r="E22" s="82">
        <f t="shared" si="0"/>
        <v>0</v>
      </c>
      <c r="F22" s="82"/>
      <c r="G22" s="54">
        <f t="shared" si="1"/>
        <v>0</v>
      </c>
    </row>
    <row r="23" spans="1:8" ht="15" x14ac:dyDescent="0.25">
      <c r="A23" s="2"/>
      <c r="B23" s="2"/>
      <c r="C23" s="2"/>
      <c r="D23" s="2"/>
      <c r="E23" s="2"/>
      <c r="F23" s="2"/>
      <c r="G23" s="2"/>
    </row>
    <row r="24" spans="1:8" ht="30" customHeight="1" x14ac:dyDescent="0.25">
      <c r="A24" s="106" t="s">
        <v>210</v>
      </c>
      <c r="B24" s="132" t="s">
        <v>11</v>
      </c>
      <c r="C24" s="132"/>
      <c r="D24" s="132"/>
      <c r="E24" s="132"/>
      <c r="F24" s="113">
        <f>SUM(G16:G22)</f>
        <v>6389.3048435000001</v>
      </c>
      <c r="G24" s="113"/>
    </row>
    <row r="25" spans="1:8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8" ht="15" x14ac:dyDescent="0.25">
      <c r="A26" s="2"/>
      <c r="B26" s="2"/>
      <c r="C26" s="2"/>
      <c r="D26" s="2"/>
      <c r="E26" s="2"/>
      <c r="F26" s="2"/>
      <c r="G26" s="2"/>
    </row>
    <row r="27" spans="1:8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8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8" ht="15" x14ac:dyDescent="0.25">
      <c r="A29" s="43" t="s">
        <v>7</v>
      </c>
      <c r="B29" s="41" t="s">
        <v>368</v>
      </c>
      <c r="C29" s="40">
        <f>IFERROR(VLOOKUP(B29,Liste!C1:D5,2,FALSE),"")</f>
        <v>3000</v>
      </c>
      <c r="D29" s="54">
        <f>IFERROR(C29/4.33,0)</f>
        <v>692.84064665127016</v>
      </c>
      <c r="H29" s="7"/>
    </row>
    <row r="30" spans="1:8" ht="15" x14ac:dyDescent="0.3">
      <c r="A30" s="43" t="s">
        <v>66</v>
      </c>
      <c r="B30" s="46" t="s">
        <v>43</v>
      </c>
      <c r="C30" s="40">
        <f>IFERROR(VLOOKUP(B30,Liste!$C$7:$D$15,2,FALSE),"")</f>
        <v>400</v>
      </c>
      <c r="D30" s="54">
        <f>IFERROR(C30/4.33,0)</f>
        <v>92.378752886836025</v>
      </c>
      <c r="H30" s="7"/>
    </row>
    <row r="31" spans="1:8" ht="15" x14ac:dyDescent="0.3">
      <c r="A31" s="43" t="s">
        <v>67</v>
      </c>
      <c r="B31" s="46" t="s">
        <v>69</v>
      </c>
      <c r="C31" s="40" t="str">
        <f>IFERROR(VLOOKUP(B31,Liste!$C$7:$D$15,2,FALSE),"")</f>
        <v/>
      </c>
      <c r="D31" s="54">
        <f t="shared" ref="D31:D33" si="3">IFERROR(C31/4.33,0)</f>
        <v>0</v>
      </c>
      <c r="H31" s="7"/>
    </row>
    <row r="32" spans="1:8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3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3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0</v>
      </c>
      <c r="D34" s="54">
        <f>(B11*D5/100)*C34</f>
        <v>0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1.365</v>
      </c>
      <c r="D35" s="54">
        <f>(D5*B11/100)*C35</f>
        <v>1706.944512</v>
      </c>
      <c r="H35" s="7"/>
    </row>
    <row r="36" spans="1:8" ht="15" x14ac:dyDescent="0.3">
      <c r="A36" s="43" t="s">
        <v>3</v>
      </c>
      <c r="B36" s="42"/>
      <c r="C36" s="65">
        <v>0</v>
      </c>
      <c r="D36" s="54">
        <f>(D6*B11)*C36</f>
        <v>0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163.84</v>
      </c>
      <c r="E38" s="49"/>
      <c r="H38" s="7"/>
    </row>
    <row r="39" spans="1:8" ht="15" x14ac:dyDescent="0.25">
      <c r="A39" s="43" t="s">
        <v>13</v>
      </c>
      <c r="B39" s="41">
        <f>B12</f>
        <v>136.16</v>
      </c>
      <c r="C39" s="56">
        <v>5</v>
      </c>
      <c r="D39" s="54">
        <f>C39*B39</f>
        <v>680.8</v>
      </c>
      <c r="H39" s="7"/>
    </row>
    <row r="40" spans="1:8" ht="15" x14ac:dyDescent="0.25">
      <c r="A40" s="43" t="s">
        <v>14</v>
      </c>
      <c r="B40" s="48" t="s">
        <v>56</v>
      </c>
      <c r="C40" s="40">
        <v>2</v>
      </c>
      <c r="D40" s="40">
        <f>948.83+1030.95</f>
        <v>1979.7800000000002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5316.5839115381059</v>
      </c>
    </row>
    <row r="46" spans="1:8" x14ac:dyDescent="0.25">
      <c r="C46" s="6" t="s">
        <v>49</v>
      </c>
      <c r="D46" s="47">
        <f>F24-D45</f>
        <v>1072.7209319618942</v>
      </c>
    </row>
    <row r="48" spans="1:8" ht="39" customHeight="1" x14ac:dyDescent="0.25">
      <c r="C48" s="58" t="s">
        <v>48</v>
      </c>
      <c r="D48" s="59">
        <f>D46/F24</f>
        <v>0.16789321502685853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4DE968FF-EF64-496F-86B9-D6DBC576ECE4}"/>
  </hyperlink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3BC4593-8DB1-4108-B5AD-3687064D5B88}">
          <x14:formula1>
            <xm:f>Liste!$C$2:$C$5</xm:f>
          </x14:formula1>
          <xm:sqref>B29</xm:sqref>
        </x14:dataValidation>
        <x14:dataValidation type="list" allowBlank="1" showInputMessage="1" showErrorMessage="1" xr:uid="{5489E4FE-EBAF-4193-9F35-143A1BA82CF0}">
          <x14:formula1>
            <xm:f>Liste!$A$21:$A$22</xm:f>
          </x14:formula1>
          <xm:sqref>B40</xm:sqref>
        </x14:dataValidation>
        <x14:dataValidation type="list" allowBlank="1" showInputMessage="1" showErrorMessage="1" xr:uid="{118AF615-E3C8-45C5-B11F-8F64E55620A9}">
          <x14:formula1>
            <xm:f>Liste!$A$24:$A$25</xm:f>
          </x14:formula1>
          <xm:sqref>B42</xm:sqref>
        </x14:dataValidation>
        <x14:dataValidation type="list" allowBlank="1" showInputMessage="1" showErrorMessage="1" xr:uid="{4014F650-23D4-4722-8461-4574B55A0B6E}">
          <x14:formula1>
            <xm:f>Liste!$C$7:$C$16</xm:f>
          </x14:formula1>
          <xm:sqref>B30:B33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C3B41-8686-41CA-916C-5DD2BBF0C81C}">
  <sheetPr>
    <tabColor theme="4" tint="0.39997558519241921"/>
  </sheetPr>
  <dimension ref="A1:I48"/>
  <sheetViews>
    <sheetView topLeftCell="A10" workbookViewId="0">
      <selection activeCell="F29" sqref="F29"/>
    </sheetView>
  </sheetViews>
  <sheetFormatPr baseColWidth="10" defaultColWidth="11.44140625" defaultRowHeight="13.2" x14ac:dyDescent="0.25"/>
  <cols>
    <col min="1" max="1" width="32.44140625" style="1" customWidth="1"/>
    <col min="2" max="2" width="20.6640625" style="1" customWidth="1"/>
    <col min="3" max="3" width="20.44140625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7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7" x14ac:dyDescent="0.25">
      <c r="A3" s="126" t="s">
        <v>5</v>
      </c>
      <c r="B3" s="126"/>
      <c r="C3" s="126"/>
      <c r="D3" s="126"/>
      <c r="E3" s="126"/>
      <c r="F3" s="126"/>
      <c r="G3" s="126"/>
    </row>
    <row r="4" spans="1:7" ht="15" x14ac:dyDescent="0.25">
      <c r="A4" s="2"/>
      <c r="B4" s="5" t="s">
        <v>10</v>
      </c>
      <c r="D4" s="11" t="s">
        <v>12</v>
      </c>
      <c r="F4" s="129" t="s">
        <v>15</v>
      </c>
      <c r="G4" s="130" t="s">
        <v>688</v>
      </c>
    </row>
    <row r="5" spans="1:7" ht="15" x14ac:dyDescent="0.25">
      <c r="A5" s="5" t="s">
        <v>8</v>
      </c>
      <c r="B5" s="10" t="s">
        <v>223</v>
      </c>
      <c r="C5" s="63"/>
      <c r="D5" s="17">
        <v>24.17</v>
      </c>
      <c r="E5" s="6"/>
      <c r="F5" s="129"/>
      <c r="G5" s="131"/>
    </row>
    <row r="6" spans="1:7" ht="15" x14ac:dyDescent="0.25">
      <c r="A6" s="5" t="s">
        <v>9</v>
      </c>
      <c r="B6" s="10" t="s">
        <v>83</v>
      </c>
      <c r="C6" s="10"/>
      <c r="D6" s="6">
        <v>1.9E-2</v>
      </c>
      <c r="F6" s="2"/>
      <c r="G6" s="2"/>
    </row>
    <row r="7" spans="1:7" ht="15" x14ac:dyDescent="0.25">
      <c r="A7" s="5" t="s">
        <v>16</v>
      </c>
      <c r="B7" s="12" t="s">
        <v>224</v>
      </c>
      <c r="C7" s="12"/>
    </row>
    <row r="8" spans="1:7" ht="15" x14ac:dyDescent="0.25">
      <c r="A8" s="11" t="s">
        <v>71</v>
      </c>
      <c r="B8" s="18">
        <v>71.05</v>
      </c>
      <c r="C8" s="18"/>
    </row>
    <row r="9" spans="1:7" ht="15" x14ac:dyDescent="0.25">
      <c r="A9" s="11" t="s">
        <v>72</v>
      </c>
      <c r="B9" s="77">
        <v>33.51</v>
      </c>
      <c r="C9" s="18"/>
    </row>
    <row r="10" spans="1:7" ht="15" x14ac:dyDescent="0.25">
      <c r="A10" s="5"/>
      <c r="B10" s="11" t="s">
        <v>70</v>
      </c>
      <c r="C10" s="2"/>
      <c r="D10" s="2"/>
      <c r="G10" s="11" t="s">
        <v>61</v>
      </c>
    </row>
    <row r="11" spans="1:7" ht="15" x14ac:dyDescent="0.25">
      <c r="B11" s="17">
        <v>1303</v>
      </c>
      <c r="D11" s="2"/>
      <c r="G11" s="18">
        <v>0</v>
      </c>
    </row>
    <row r="12" spans="1:7" ht="15.6" x14ac:dyDescent="0.3">
      <c r="A12" s="5" t="s">
        <v>62</v>
      </c>
      <c r="B12" s="17">
        <v>0</v>
      </c>
      <c r="C12" s="72"/>
      <c r="D12" s="2"/>
      <c r="E12" s="2"/>
      <c r="F12" s="53" t="s">
        <v>55</v>
      </c>
      <c r="G12" s="53" t="s">
        <v>56</v>
      </c>
    </row>
    <row r="13" spans="1:7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7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7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7" x14ac:dyDescent="0.25">
      <c r="A16" s="66" t="s">
        <v>225</v>
      </c>
      <c r="B16" s="66" t="s">
        <v>226</v>
      </c>
      <c r="C16" s="66">
        <v>275</v>
      </c>
      <c r="D16" s="66">
        <v>5</v>
      </c>
      <c r="E16" s="68">
        <f>C16*D16</f>
        <v>1375</v>
      </c>
      <c r="F16" s="73">
        <v>-2.2599999999999999E-2</v>
      </c>
      <c r="G16" s="68">
        <f t="shared" ref="G16:G22" si="0">(E16*F16)+E16</f>
        <v>1343.925</v>
      </c>
    </row>
    <row r="17" spans="1:9" x14ac:dyDescent="0.25">
      <c r="A17" s="66" t="s">
        <v>227</v>
      </c>
      <c r="B17" s="66" t="s">
        <v>226</v>
      </c>
      <c r="C17" s="66">
        <v>198</v>
      </c>
      <c r="D17" s="66">
        <v>5</v>
      </c>
      <c r="E17" s="68">
        <f t="shared" ref="E17:E22" si="1">C17*D17</f>
        <v>990</v>
      </c>
      <c r="F17" s="68">
        <f>(87*5)*0.2922</f>
        <v>127.10700000000001</v>
      </c>
      <c r="G17" s="68">
        <f>(E17+F17)</f>
        <v>1117.107</v>
      </c>
      <c r="I17" s="1" t="s">
        <v>228</v>
      </c>
    </row>
    <row r="18" spans="1:9" x14ac:dyDescent="0.25">
      <c r="A18" s="66" t="s">
        <v>263</v>
      </c>
      <c r="B18" s="66" t="s">
        <v>252</v>
      </c>
      <c r="C18" s="66">
        <v>4.1631</v>
      </c>
      <c r="D18" s="66">
        <v>10</v>
      </c>
      <c r="E18" s="68">
        <f t="shared" si="1"/>
        <v>41.631</v>
      </c>
      <c r="F18" s="66"/>
      <c r="G18" s="68">
        <f t="shared" ref="G18" si="2">(E18*F18)+E18</f>
        <v>41.631</v>
      </c>
    </row>
    <row r="19" spans="1:9" x14ac:dyDescent="0.25">
      <c r="A19" s="66" t="s">
        <v>264</v>
      </c>
      <c r="B19" s="66" t="s">
        <v>252</v>
      </c>
      <c r="C19" s="66">
        <v>2.4933000000000001</v>
      </c>
      <c r="D19" s="66">
        <v>74</v>
      </c>
      <c r="E19" s="68">
        <f t="shared" ref="E19" si="3">C19*D19</f>
        <v>184.5042</v>
      </c>
      <c r="F19" s="66"/>
      <c r="G19" s="68">
        <f t="shared" ref="G19" si="4">(E19*F19)+E19</f>
        <v>184.5042</v>
      </c>
    </row>
    <row r="20" spans="1:9" ht="15" customHeight="1" x14ac:dyDescent="0.25">
      <c r="A20" s="15"/>
      <c r="B20" s="66"/>
      <c r="C20" s="69"/>
      <c r="D20" s="69"/>
      <c r="E20" s="66">
        <f t="shared" si="1"/>
        <v>0</v>
      </c>
      <c r="F20" s="66"/>
      <c r="G20" s="68">
        <f t="shared" si="0"/>
        <v>0</v>
      </c>
    </row>
    <row r="21" spans="1:9" ht="15" customHeight="1" x14ac:dyDescent="0.25">
      <c r="A21" s="15"/>
      <c r="B21" s="66"/>
      <c r="C21" s="69"/>
      <c r="D21" s="69"/>
      <c r="E21" s="66">
        <f t="shared" si="1"/>
        <v>0</v>
      </c>
      <c r="F21" s="66"/>
      <c r="G21" s="68">
        <f t="shared" si="0"/>
        <v>0</v>
      </c>
    </row>
    <row r="22" spans="1:9" ht="15" customHeight="1" x14ac:dyDescent="0.25">
      <c r="A22" s="66"/>
      <c r="B22" s="69"/>
      <c r="C22" s="69"/>
      <c r="D22" s="69"/>
      <c r="E22" s="66">
        <f t="shared" si="1"/>
        <v>0</v>
      </c>
      <c r="F22" s="66"/>
      <c r="G22" s="68">
        <f t="shared" si="0"/>
        <v>0</v>
      </c>
    </row>
    <row r="23" spans="1:9" ht="15" x14ac:dyDescent="0.25">
      <c r="A23" s="2"/>
      <c r="B23" s="2"/>
      <c r="C23" s="2"/>
      <c r="D23" s="2"/>
      <c r="E23" s="2"/>
      <c r="F23" s="2"/>
      <c r="G23" s="2"/>
    </row>
    <row r="24" spans="1:9" ht="30" customHeight="1" x14ac:dyDescent="0.25">
      <c r="A24" s="106" t="s">
        <v>219</v>
      </c>
      <c r="B24" s="132" t="s">
        <v>11</v>
      </c>
      <c r="C24" s="132"/>
      <c r="D24" s="132"/>
      <c r="E24" s="132"/>
      <c r="F24" s="113">
        <f>SUM(G16:G22)</f>
        <v>2687.1671999999999</v>
      </c>
      <c r="G24" s="113"/>
    </row>
    <row r="25" spans="1:9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9" ht="15" x14ac:dyDescent="0.25">
      <c r="A26" s="2"/>
      <c r="B26" s="2"/>
      <c r="C26" s="2"/>
      <c r="D26" s="2"/>
      <c r="E26" s="2"/>
      <c r="F26" s="2"/>
      <c r="G26" s="2"/>
    </row>
    <row r="27" spans="1:9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9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9" ht="15" x14ac:dyDescent="0.25">
      <c r="A29" s="43" t="s">
        <v>7</v>
      </c>
      <c r="B29" s="41" t="s">
        <v>86</v>
      </c>
      <c r="C29" s="40">
        <f>IFERROR(VLOOKUP(B29,Liste!C1:D5,2,FALSE),"")</f>
        <v>2500</v>
      </c>
      <c r="D29" s="54">
        <f>IFERROR(C29/4.33,0)</f>
        <v>577.36720554272517</v>
      </c>
      <c r="H29" s="7"/>
    </row>
    <row r="30" spans="1:9" ht="15" x14ac:dyDescent="0.3">
      <c r="A30" s="43" t="s">
        <v>66</v>
      </c>
      <c r="B30" s="46" t="s">
        <v>43</v>
      </c>
      <c r="C30" s="40">
        <f>IFERROR(VLOOKUP(B30,Liste!$C$7:$D$15,2,FALSE),"")</f>
        <v>400</v>
      </c>
      <c r="D30" s="54">
        <f>IFERROR(C30/4.33,0)</f>
        <v>92.378752886836025</v>
      </c>
      <c r="H30" s="7"/>
    </row>
    <row r="31" spans="1:9" ht="15" x14ac:dyDescent="0.3">
      <c r="A31" s="43" t="s">
        <v>67</v>
      </c>
      <c r="B31" s="46" t="s">
        <v>69</v>
      </c>
      <c r="C31" s="40" t="str">
        <f>IFERROR(VLOOKUP(B31,Liste!$C$7:$D$15,2,FALSE),"")</f>
        <v/>
      </c>
      <c r="D31" s="54">
        <f t="shared" ref="D31:D33" si="5">IFERROR(C31/4.33,0)</f>
        <v>0</v>
      </c>
      <c r="H31" s="7"/>
    </row>
    <row r="32" spans="1:9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5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5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1.3553999999999999</v>
      </c>
      <c r="D34" s="54">
        <f>(B11*D5/100)*C34</f>
        <v>426.86303454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/>
      <c r="D35" s="54">
        <f>(D5*B11/100)*C35</f>
        <v>0</v>
      </c>
      <c r="H35" s="7"/>
    </row>
    <row r="36" spans="1:8" ht="15" x14ac:dyDescent="0.3">
      <c r="A36" s="43" t="s">
        <v>3</v>
      </c>
      <c r="B36" s="42"/>
      <c r="C36" s="65">
        <v>0.43090000000000001</v>
      </c>
      <c r="D36" s="54">
        <f>(D6*B11)*C36</f>
        <v>10.667791299999999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52.120000000000005</v>
      </c>
      <c r="E38" s="49"/>
      <c r="H38" s="7"/>
    </row>
    <row r="39" spans="1:8" ht="15" x14ac:dyDescent="0.25">
      <c r="A39" s="43" t="s">
        <v>13</v>
      </c>
      <c r="B39" s="41">
        <f>B12</f>
        <v>0</v>
      </c>
      <c r="C39" s="56">
        <v>5</v>
      </c>
      <c r="D39" s="54">
        <f>C39*B39</f>
        <v>0</v>
      </c>
      <c r="H39" s="7"/>
    </row>
    <row r="40" spans="1:8" ht="15" x14ac:dyDescent="0.25">
      <c r="A40" s="43" t="s">
        <v>14</v>
      </c>
      <c r="B40" s="48" t="s">
        <v>56</v>
      </c>
      <c r="C40" s="40">
        <v>1</v>
      </c>
      <c r="D40" s="40">
        <v>935.4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2094.7967842695612</v>
      </c>
    </row>
    <row r="46" spans="1:8" x14ac:dyDescent="0.25">
      <c r="C46" s="6" t="s">
        <v>49</v>
      </c>
      <c r="D46" s="47">
        <f>F24-D45</f>
        <v>592.37041573043871</v>
      </c>
    </row>
    <row r="48" spans="1:8" ht="39" customHeight="1" x14ac:dyDescent="0.25">
      <c r="C48" s="58" t="s">
        <v>48</v>
      </c>
      <c r="D48" s="59">
        <f>D46/F24</f>
        <v>0.22044419704528945</v>
      </c>
    </row>
  </sheetData>
  <mergeCells count="6">
    <mergeCell ref="A27:G27"/>
    <mergeCell ref="A1:G1"/>
    <mergeCell ref="A3:G3"/>
    <mergeCell ref="F4:F5"/>
    <mergeCell ref="G4:G5"/>
    <mergeCell ref="B24:E24"/>
  </mergeCells>
  <phoneticPr fontId="41" type="noConversion"/>
  <hyperlinks>
    <hyperlink ref="A25" location="Sommaire!A1" display="SOMMAIRE" xr:uid="{18D355EF-EA5E-4B22-A591-DD1A195F8BBF}"/>
  </hyperlink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1153D4B-8CC2-4EB0-BA2C-3430B9CF9170}">
          <x14:formula1>
            <xm:f>Liste!$C$7:$C$16</xm:f>
          </x14:formula1>
          <xm:sqref>B30:B33</xm:sqref>
        </x14:dataValidation>
        <x14:dataValidation type="list" allowBlank="1" showInputMessage="1" showErrorMessage="1" xr:uid="{146A0FDF-2E22-4C78-955D-7A80E84412E2}">
          <x14:formula1>
            <xm:f>Liste!$A$24:$A$25</xm:f>
          </x14:formula1>
          <xm:sqref>B42</xm:sqref>
        </x14:dataValidation>
        <x14:dataValidation type="list" allowBlank="1" showInputMessage="1" showErrorMessage="1" xr:uid="{22576ABC-146A-441C-BE6A-7A6D3BDDF6F5}">
          <x14:formula1>
            <xm:f>Liste!$A$21:$A$22</xm:f>
          </x14:formula1>
          <xm:sqref>B40</xm:sqref>
        </x14:dataValidation>
        <x14:dataValidation type="list" allowBlank="1" showInputMessage="1" showErrorMessage="1" xr:uid="{9EC2D136-EB25-4D84-8508-9B86ACAD23F8}">
          <x14:formula1>
            <xm:f>Liste!$C$2:$C$5</xm:f>
          </x14:formula1>
          <xm:sqref>B29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C52B8-3F9C-4795-B6A1-6E486E258ECA}">
  <sheetPr>
    <tabColor theme="4" tint="0.39997558519241921"/>
  </sheetPr>
  <dimension ref="A1:I49"/>
  <sheetViews>
    <sheetView topLeftCell="A34" workbookViewId="0">
      <selection activeCell="G37" sqref="G37"/>
    </sheetView>
  </sheetViews>
  <sheetFormatPr baseColWidth="10" defaultColWidth="11.44140625" defaultRowHeight="13.2" x14ac:dyDescent="0.25"/>
  <cols>
    <col min="1" max="1" width="32.44140625" style="1" customWidth="1"/>
    <col min="2" max="2" width="20.6640625" style="1" customWidth="1"/>
    <col min="3" max="3" width="20.44140625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9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9" x14ac:dyDescent="0.25">
      <c r="A3" s="126" t="s">
        <v>5</v>
      </c>
      <c r="B3" s="126"/>
      <c r="C3" s="126"/>
      <c r="D3" s="126"/>
      <c r="E3" s="126"/>
      <c r="F3" s="126"/>
      <c r="G3" s="126"/>
    </row>
    <row r="4" spans="1:9" ht="15" x14ac:dyDescent="0.25">
      <c r="A4" s="2"/>
      <c r="B4" s="5" t="s">
        <v>10</v>
      </c>
      <c r="D4" s="11" t="s">
        <v>12</v>
      </c>
      <c r="F4" s="129" t="s">
        <v>15</v>
      </c>
      <c r="G4" s="130" t="s">
        <v>689</v>
      </c>
    </row>
    <row r="5" spans="1:9" ht="15" x14ac:dyDescent="0.25">
      <c r="A5" s="5" t="s">
        <v>8</v>
      </c>
      <c r="B5" s="10" t="s">
        <v>237</v>
      </c>
      <c r="C5" s="10" t="s">
        <v>238</v>
      </c>
      <c r="D5" s="17">
        <v>28.47</v>
      </c>
      <c r="E5" s="6"/>
      <c r="F5" s="129"/>
      <c r="G5" s="131"/>
    </row>
    <row r="6" spans="1:9" ht="15" x14ac:dyDescent="0.25">
      <c r="A6" s="5" t="s">
        <v>9</v>
      </c>
      <c r="B6" s="10" t="s">
        <v>83</v>
      </c>
      <c r="C6" s="10" t="s">
        <v>83</v>
      </c>
      <c r="D6" s="6">
        <v>1.9E-2</v>
      </c>
      <c r="F6" s="2"/>
      <c r="G6" s="2"/>
    </row>
    <row r="7" spans="1:9" ht="15" x14ac:dyDescent="0.25">
      <c r="A7" s="5" t="s">
        <v>16</v>
      </c>
      <c r="B7" s="12" t="s">
        <v>239</v>
      </c>
      <c r="C7" s="12" t="s">
        <v>240</v>
      </c>
    </row>
    <row r="8" spans="1:9" ht="15" x14ac:dyDescent="0.25">
      <c r="A8" s="11" t="s">
        <v>71</v>
      </c>
      <c r="B8" s="18">
        <v>64.83</v>
      </c>
      <c r="C8" s="18">
        <v>51.97</v>
      </c>
    </row>
    <row r="9" spans="1:9" x14ac:dyDescent="0.25">
      <c r="A9" s="11" t="s">
        <v>72</v>
      </c>
      <c r="B9" s="77">
        <v>41.6</v>
      </c>
      <c r="C9" s="77">
        <v>42.59</v>
      </c>
    </row>
    <row r="10" spans="1:9" ht="15" x14ac:dyDescent="0.25">
      <c r="A10" s="5"/>
      <c r="B10" s="11" t="s">
        <v>70</v>
      </c>
      <c r="C10" s="2"/>
      <c r="D10" s="2"/>
      <c r="G10" s="11" t="s">
        <v>61</v>
      </c>
    </row>
    <row r="11" spans="1:9" ht="15" x14ac:dyDescent="0.25">
      <c r="B11" s="17">
        <f>3615+2082</f>
        <v>5697</v>
      </c>
      <c r="D11" s="2"/>
      <c r="G11" s="18">
        <v>0</v>
      </c>
    </row>
    <row r="12" spans="1:9" ht="15.6" x14ac:dyDescent="0.3">
      <c r="A12" s="5" t="s">
        <v>62</v>
      </c>
      <c r="B12" s="17">
        <v>262.88</v>
      </c>
      <c r="C12" s="72"/>
      <c r="D12" s="2"/>
      <c r="E12" s="2"/>
      <c r="F12" s="53" t="s">
        <v>55</v>
      </c>
      <c r="G12" s="53" t="s">
        <v>56</v>
      </c>
    </row>
    <row r="13" spans="1:9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9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9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9" x14ac:dyDescent="0.25">
      <c r="A16" s="66" t="s">
        <v>233</v>
      </c>
      <c r="B16" s="66" t="s">
        <v>226</v>
      </c>
      <c r="C16" s="66">
        <v>330</v>
      </c>
      <c r="D16" s="66">
        <v>5</v>
      </c>
      <c r="E16" s="68">
        <f>C16*D16</f>
        <v>1650</v>
      </c>
      <c r="F16" s="68">
        <f>(49.5*5)*0.2922</f>
        <v>72.319500000000005</v>
      </c>
      <c r="G16" s="68">
        <f>(E16+F16)</f>
        <v>1722.3195000000001</v>
      </c>
      <c r="I16" s="1" t="s">
        <v>241</v>
      </c>
    </row>
    <row r="17" spans="1:8" x14ac:dyDescent="0.25">
      <c r="A17" s="66" t="s">
        <v>232</v>
      </c>
      <c r="B17" s="66" t="s">
        <v>226</v>
      </c>
      <c r="C17" s="66">
        <v>1398</v>
      </c>
      <c r="D17" s="66">
        <v>5</v>
      </c>
      <c r="E17" s="68">
        <f t="shared" ref="E17:E22" si="0">C17*D17</f>
        <v>6990</v>
      </c>
      <c r="F17" s="68">
        <f>(1026*5)*0.2922</f>
        <v>1498.9860000000001</v>
      </c>
      <c r="G17" s="68">
        <f>(E17+F17)</f>
        <v>8488.9860000000008</v>
      </c>
    </row>
    <row r="18" spans="1:8" x14ac:dyDescent="0.25">
      <c r="A18" s="66" t="s">
        <v>235</v>
      </c>
      <c r="B18" s="66" t="s">
        <v>226</v>
      </c>
      <c r="C18" s="66">
        <v>170</v>
      </c>
      <c r="D18" s="66">
        <v>5</v>
      </c>
      <c r="E18" s="66">
        <f t="shared" si="0"/>
        <v>850</v>
      </c>
      <c r="F18" s="68">
        <f>(33*5)*0.2922</f>
        <v>48.213000000000001</v>
      </c>
      <c r="G18" s="68">
        <f>(E18+F18)</f>
        <v>898.21299999999997</v>
      </c>
    </row>
    <row r="19" spans="1:8" x14ac:dyDescent="0.25">
      <c r="A19" s="79" t="s">
        <v>267</v>
      </c>
      <c r="B19" s="66"/>
      <c r="C19" s="66"/>
      <c r="D19" s="66"/>
      <c r="E19" s="66">
        <f t="shared" si="0"/>
        <v>0</v>
      </c>
      <c r="F19" s="66"/>
      <c r="G19" s="68">
        <f t="shared" ref="G19:G20" si="1">(E19*F19)+E19</f>
        <v>0</v>
      </c>
    </row>
    <row r="20" spans="1:8" ht="15" customHeight="1" x14ac:dyDescent="0.25">
      <c r="A20" s="15" t="s">
        <v>265</v>
      </c>
      <c r="B20" s="66" t="s">
        <v>252</v>
      </c>
      <c r="C20" s="80">
        <v>197.5</v>
      </c>
      <c r="D20" s="80">
        <v>1</v>
      </c>
      <c r="E20" s="66">
        <f t="shared" si="0"/>
        <v>197.5</v>
      </c>
      <c r="F20" s="73">
        <v>4.0899999999999999E-2</v>
      </c>
      <c r="G20" s="68">
        <f t="shared" si="1"/>
        <v>205.57775000000001</v>
      </c>
    </row>
    <row r="21" spans="1:8" ht="15" customHeight="1" x14ac:dyDescent="0.25">
      <c r="A21" s="15" t="s">
        <v>266</v>
      </c>
      <c r="B21" s="66" t="s">
        <v>252</v>
      </c>
      <c r="C21" s="80">
        <v>300</v>
      </c>
      <c r="D21" s="80">
        <v>1</v>
      </c>
      <c r="E21" s="66">
        <f t="shared" si="0"/>
        <v>300</v>
      </c>
      <c r="F21" s="68">
        <f>0.2673*96</f>
        <v>25.660799999999998</v>
      </c>
      <c r="G21" s="68">
        <f>F21+E21</f>
        <v>325.66079999999999</v>
      </c>
    </row>
    <row r="22" spans="1:8" ht="15" customHeight="1" x14ac:dyDescent="0.25">
      <c r="A22" s="15" t="s">
        <v>698</v>
      </c>
      <c r="B22" s="80" t="s">
        <v>252</v>
      </c>
      <c r="C22" s="80">
        <v>195</v>
      </c>
      <c r="D22" s="80">
        <v>1</v>
      </c>
      <c r="E22" s="66">
        <f t="shared" si="0"/>
        <v>195</v>
      </c>
      <c r="F22" s="118">
        <f>64*0.2922</f>
        <v>18.700800000000001</v>
      </c>
      <c r="G22" s="68">
        <f>F22+E22</f>
        <v>213.70080000000002</v>
      </c>
    </row>
    <row r="23" spans="1:8" ht="15" x14ac:dyDescent="0.25">
      <c r="A23" s="2"/>
      <c r="B23" s="2"/>
      <c r="C23" s="2"/>
      <c r="D23" s="2"/>
      <c r="E23" s="2"/>
      <c r="F23" s="2"/>
      <c r="G23" s="2"/>
    </row>
    <row r="24" spans="1:8" ht="30" customHeight="1" x14ac:dyDescent="0.25">
      <c r="A24" s="106" t="s">
        <v>229</v>
      </c>
      <c r="B24" s="132" t="s">
        <v>11</v>
      </c>
      <c r="C24" s="132"/>
      <c r="D24" s="132"/>
      <c r="E24" s="132"/>
      <c r="F24" s="113">
        <f>SUM(G16:G22)</f>
        <v>11854.457850000001</v>
      </c>
      <c r="G24" s="113"/>
    </row>
    <row r="25" spans="1:8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8" ht="15" x14ac:dyDescent="0.25">
      <c r="A26" s="2"/>
      <c r="B26" s="2"/>
      <c r="C26" s="2"/>
      <c r="D26" s="2"/>
      <c r="E26" s="2"/>
      <c r="F26" s="2"/>
      <c r="G26" s="2"/>
    </row>
    <row r="27" spans="1:8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8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8" ht="15" x14ac:dyDescent="0.25">
      <c r="A29" s="43" t="s">
        <v>236</v>
      </c>
      <c r="B29" s="41" t="s">
        <v>86</v>
      </c>
      <c r="C29" s="40">
        <f>IFERROR(VLOOKUP(B29,Liste!C1:D5,2,FALSE),"")</f>
        <v>2500</v>
      </c>
      <c r="D29" s="54">
        <f>IFERROR(C29/4.33,0)</f>
        <v>577.36720554272517</v>
      </c>
      <c r="H29" s="7"/>
    </row>
    <row r="30" spans="1:8" ht="15" x14ac:dyDescent="0.25">
      <c r="A30" s="43" t="s">
        <v>133</v>
      </c>
      <c r="B30" s="41" t="s">
        <v>86</v>
      </c>
      <c r="C30" s="40">
        <f>IFERROR(VLOOKUP(B30,Liste!C2:D6,2,FALSE),"")</f>
        <v>2500</v>
      </c>
      <c r="D30" s="54">
        <f>IFERROR(C30/4.33,0)</f>
        <v>577.36720554272517</v>
      </c>
      <c r="H30" s="7"/>
    </row>
    <row r="31" spans="1:8" ht="15" x14ac:dyDescent="0.3">
      <c r="A31" s="43" t="s">
        <v>66</v>
      </c>
      <c r="B31" s="46" t="s">
        <v>43</v>
      </c>
      <c r="C31" s="40">
        <f>IFERROR(VLOOKUP(B31,Liste!$C$7:$D$15,2,FALSE),"")</f>
        <v>400</v>
      </c>
      <c r="D31" s="54">
        <f>IFERROR(C31/4.33,0)</f>
        <v>92.378752886836025</v>
      </c>
      <c r="H31" s="7"/>
    </row>
    <row r="32" spans="1:8" ht="15" x14ac:dyDescent="0.3">
      <c r="A32" s="43" t="s">
        <v>67</v>
      </c>
      <c r="B32" s="46" t="s">
        <v>43</v>
      </c>
      <c r="C32" s="40">
        <f>IFERROR(VLOOKUP(B32,Liste!$C$7:$D$15,2,FALSE),"")</f>
        <v>400</v>
      </c>
      <c r="D32" s="54">
        <f t="shared" ref="D32:D34" si="2">IFERROR(C32/4.33,0)</f>
        <v>92.378752886836025</v>
      </c>
      <c r="H32" s="7"/>
    </row>
    <row r="33" spans="1:8" ht="15" x14ac:dyDescent="0.3">
      <c r="A33" s="43" t="s">
        <v>68</v>
      </c>
      <c r="B33" s="46" t="s">
        <v>69</v>
      </c>
      <c r="C33" s="40" t="str">
        <f>IFERROR(VLOOKUP(B33,Liste!$C$7:$D$15,2,FALSE),"")</f>
        <v/>
      </c>
      <c r="D33" s="54">
        <f t="shared" si="2"/>
        <v>0</v>
      </c>
      <c r="H33" s="7"/>
    </row>
    <row r="34" spans="1:8" ht="15" x14ac:dyDescent="0.3">
      <c r="A34" s="43" t="s">
        <v>73</v>
      </c>
      <c r="B34" s="46" t="s">
        <v>69</v>
      </c>
      <c r="C34" s="40" t="str">
        <f>IFERROR(VLOOKUP(B34,Liste!$C$7:$D$15,2,FALSE),"")</f>
        <v/>
      </c>
      <c r="D34" s="54">
        <f t="shared" si="2"/>
        <v>0</v>
      </c>
      <c r="H34" s="7"/>
    </row>
    <row r="35" spans="1:8" ht="15" x14ac:dyDescent="0.25">
      <c r="A35" s="43" t="s">
        <v>2</v>
      </c>
      <c r="B35" s="41" t="s">
        <v>32</v>
      </c>
      <c r="C35" s="65">
        <v>1.3553999999999999</v>
      </c>
      <c r="D35" s="54">
        <f>(B11*D5/100)*C35</f>
        <v>2198.3719188599998</v>
      </c>
      <c r="E35" s="49"/>
      <c r="H35" s="7"/>
    </row>
    <row r="36" spans="1:8" ht="15" x14ac:dyDescent="0.25">
      <c r="A36" s="43" t="s">
        <v>2</v>
      </c>
      <c r="B36" s="41" t="s">
        <v>34</v>
      </c>
      <c r="C36" s="48">
        <v>0</v>
      </c>
      <c r="D36" s="54">
        <f>(D5*B11/100)*C36</f>
        <v>0</v>
      </c>
      <c r="H36" s="7"/>
    </row>
    <row r="37" spans="1:8" ht="15" x14ac:dyDescent="0.3">
      <c r="A37" s="43" t="s">
        <v>3</v>
      </c>
      <c r="B37" s="42"/>
      <c r="C37" s="65">
        <v>0.43090000000000001</v>
      </c>
      <c r="D37" s="54">
        <f>(D6*B11)*C37</f>
        <v>46.641908700000002</v>
      </c>
      <c r="H37" s="7"/>
    </row>
    <row r="38" spans="1:8" ht="15" x14ac:dyDescent="0.3">
      <c r="A38" s="43" t="s">
        <v>4</v>
      </c>
      <c r="B38" s="42"/>
      <c r="C38" s="48">
        <v>1.1225000000000001</v>
      </c>
      <c r="D38" s="55"/>
      <c r="H38" s="7"/>
    </row>
    <row r="39" spans="1:8" ht="30" x14ac:dyDescent="0.3">
      <c r="A39" s="43" t="s">
        <v>52</v>
      </c>
      <c r="B39" s="42"/>
      <c r="C39" s="44">
        <v>0.04</v>
      </c>
      <c r="D39" s="54">
        <f>C39*B11</f>
        <v>227.88</v>
      </c>
      <c r="E39" s="49"/>
      <c r="H39" s="7"/>
    </row>
    <row r="40" spans="1:8" ht="15" x14ac:dyDescent="0.25">
      <c r="A40" s="43" t="s">
        <v>13</v>
      </c>
      <c r="B40" s="41">
        <f>B12</f>
        <v>262.88</v>
      </c>
      <c r="C40" s="56">
        <v>5</v>
      </c>
      <c r="D40" s="54">
        <f>(C40*B40)+11.5</f>
        <v>1325.9</v>
      </c>
      <c r="E40" s="1" t="s">
        <v>268</v>
      </c>
      <c r="H40" s="7"/>
    </row>
    <row r="41" spans="1:8" ht="15" x14ac:dyDescent="0.25">
      <c r="A41" s="43" t="s">
        <v>14</v>
      </c>
      <c r="B41" s="48" t="s">
        <v>56</v>
      </c>
      <c r="C41" s="40">
        <v>2</v>
      </c>
      <c r="D41" s="40">
        <f>1200.04+1418.11</f>
        <v>2618.1499999999996</v>
      </c>
      <c r="E41" s="49"/>
      <c r="H41" s="7"/>
    </row>
    <row r="42" spans="1:8" ht="15" x14ac:dyDescent="0.3">
      <c r="A42" s="43" t="s">
        <v>60</v>
      </c>
      <c r="B42" s="42"/>
      <c r="C42" s="42"/>
      <c r="D42" s="54">
        <f>G11</f>
        <v>0</v>
      </c>
      <c r="E42" s="49"/>
      <c r="H42" s="7"/>
    </row>
    <row r="43" spans="1:8" ht="15" x14ac:dyDescent="0.25">
      <c r="A43" s="43" t="s">
        <v>1</v>
      </c>
      <c r="B43" s="48" t="s">
        <v>65</v>
      </c>
      <c r="C43" s="40">
        <f>IF(B43=Liste!A24,Liste!B18,0)</f>
        <v>0</v>
      </c>
      <c r="D43" s="54">
        <f>C43/4.33</f>
        <v>0</v>
      </c>
      <c r="H43" s="7"/>
    </row>
    <row r="44" spans="1:8" ht="15" x14ac:dyDescent="0.3">
      <c r="A44" s="45" t="s">
        <v>50</v>
      </c>
      <c r="B44" s="42"/>
      <c r="C44" s="40">
        <v>0</v>
      </c>
      <c r="D44" s="54">
        <v>0</v>
      </c>
      <c r="H44" s="7"/>
    </row>
    <row r="45" spans="1:8" ht="15" customHeight="1" x14ac:dyDescent="0.25">
      <c r="A45" s="50"/>
      <c r="B45" s="51"/>
      <c r="C45" s="52"/>
    </row>
    <row r="46" spans="1:8" x14ac:dyDescent="0.25">
      <c r="C46" s="6" t="s">
        <v>47</v>
      </c>
      <c r="D46" s="47">
        <f>SUM(D29:D44)</f>
        <v>7756.4357444191219</v>
      </c>
    </row>
    <row r="47" spans="1:8" x14ac:dyDescent="0.25">
      <c r="C47" s="6" t="s">
        <v>49</v>
      </c>
      <c r="D47" s="47">
        <f>F24-D46</f>
        <v>4098.0221055808788</v>
      </c>
    </row>
    <row r="49" spans="3:4" ht="39" customHeight="1" x14ac:dyDescent="0.25">
      <c r="C49" s="58" t="s">
        <v>48</v>
      </c>
      <c r="D49" s="59">
        <f>D47/F24</f>
        <v>0.34569460345087638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0B34C0BD-AB54-4968-9B35-719D22192A8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5568549-4B3D-4B8F-BCB3-D0643A5B288D}">
          <x14:formula1>
            <xm:f>Liste!$C$2:$C$5</xm:f>
          </x14:formula1>
          <xm:sqref>B29:B30</xm:sqref>
        </x14:dataValidation>
        <x14:dataValidation type="list" allowBlank="1" showInputMessage="1" showErrorMessage="1" xr:uid="{0A37CEFC-E275-4CFB-9FFD-C56579904922}">
          <x14:formula1>
            <xm:f>Liste!$A$21:$A$22</xm:f>
          </x14:formula1>
          <xm:sqref>B41</xm:sqref>
        </x14:dataValidation>
        <x14:dataValidation type="list" allowBlank="1" showInputMessage="1" showErrorMessage="1" xr:uid="{995189C8-2E79-4565-85B8-6E67C349BA12}">
          <x14:formula1>
            <xm:f>Liste!$A$24:$A$25</xm:f>
          </x14:formula1>
          <xm:sqref>B43</xm:sqref>
        </x14:dataValidation>
        <x14:dataValidation type="list" allowBlank="1" showInputMessage="1" showErrorMessage="1" xr:uid="{5A08F736-4EF8-4B79-B3BC-7F3043297978}">
          <x14:formula1>
            <xm:f>Liste!$C$7:$C$16</xm:f>
          </x14:formula1>
          <xm:sqref>B31:B34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80EA6-78BB-4AAF-ADAC-B9CEB31C8995}">
  <sheetPr>
    <tabColor theme="4" tint="0.39997558519241921"/>
  </sheetPr>
  <dimension ref="A1:I48"/>
  <sheetViews>
    <sheetView topLeftCell="A27" workbookViewId="0">
      <selection activeCell="G29" sqref="G29"/>
    </sheetView>
  </sheetViews>
  <sheetFormatPr baseColWidth="10" defaultColWidth="11.44140625" defaultRowHeight="13.2" x14ac:dyDescent="0.25"/>
  <cols>
    <col min="1" max="1" width="32.44140625" style="1" customWidth="1"/>
    <col min="2" max="2" width="20.6640625" style="1" customWidth="1"/>
    <col min="3" max="3" width="20.44140625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9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9" x14ac:dyDescent="0.25">
      <c r="A3" s="126" t="s">
        <v>5</v>
      </c>
      <c r="B3" s="126"/>
      <c r="C3" s="126"/>
      <c r="D3" s="126"/>
      <c r="E3" s="126"/>
      <c r="F3" s="126"/>
      <c r="G3" s="126"/>
    </row>
    <row r="4" spans="1:9" ht="15" x14ac:dyDescent="0.25">
      <c r="A4" s="2"/>
      <c r="B4" s="5" t="s">
        <v>10</v>
      </c>
      <c r="D4" s="11" t="s">
        <v>12</v>
      </c>
      <c r="F4" s="129" t="s">
        <v>15</v>
      </c>
      <c r="G4" s="130" t="s">
        <v>688</v>
      </c>
    </row>
    <row r="5" spans="1:9" ht="15" x14ac:dyDescent="0.25">
      <c r="A5" s="5" t="s">
        <v>8</v>
      </c>
      <c r="B5" s="10" t="s">
        <v>699</v>
      </c>
      <c r="C5" s="10"/>
      <c r="D5" s="17">
        <v>29.18</v>
      </c>
      <c r="E5" s="6"/>
      <c r="F5" s="129"/>
      <c r="G5" s="131"/>
    </row>
    <row r="6" spans="1:9" ht="15" x14ac:dyDescent="0.25">
      <c r="A6" s="5" t="s">
        <v>9</v>
      </c>
      <c r="B6" s="10" t="s">
        <v>83</v>
      </c>
      <c r="C6" s="10"/>
      <c r="D6" s="6">
        <v>1.9E-2</v>
      </c>
      <c r="F6" s="2"/>
      <c r="G6" s="2"/>
    </row>
    <row r="7" spans="1:9" ht="15" x14ac:dyDescent="0.25">
      <c r="A7" s="5" t="s">
        <v>16</v>
      </c>
      <c r="B7" s="12" t="s">
        <v>245</v>
      </c>
      <c r="C7" s="12"/>
    </row>
    <row r="8" spans="1:9" ht="15" x14ac:dyDescent="0.25">
      <c r="A8" s="11" t="s">
        <v>71</v>
      </c>
      <c r="B8" s="18">
        <v>49.75</v>
      </c>
    </row>
    <row r="9" spans="1:9" x14ac:dyDescent="0.25">
      <c r="A9" s="11" t="s">
        <v>72</v>
      </c>
      <c r="B9" s="77">
        <v>39.92</v>
      </c>
    </row>
    <row r="10" spans="1:9" ht="15" x14ac:dyDescent="0.25">
      <c r="A10" s="5"/>
      <c r="B10" s="11" t="s">
        <v>70</v>
      </c>
      <c r="C10" s="2"/>
      <c r="D10" s="2"/>
      <c r="G10" s="11" t="s">
        <v>61</v>
      </c>
    </row>
    <row r="11" spans="1:9" ht="15" x14ac:dyDescent="0.25">
      <c r="B11" s="17">
        <v>2301</v>
      </c>
      <c r="D11" s="2"/>
      <c r="G11" s="18">
        <v>0</v>
      </c>
    </row>
    <row r="12" spans="1:9" ht="15.6" x14ac:dyDescent="0.3">
      <c r="A12" s="5" t="s">
        <v>62</v>
      </c>
      <c r="B12" s="17">
        <v>170.9</v>
      </c>
      <c r="C12" s="72"/>
      <c r="D12" s="2"/>
      <c r="E12" s="2"/>
      <c r="F12" s="53" t="s">
        <v>55</v>
      </c>
      <c r="G12" s="53" t="s">
        <v>56</v>
      </c>
    </row>
    <row r="13" spans="1:9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9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9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9" x14ac:dyDescent="0.25">
      <c r="A16" s="66" t="s">
        <v>246</v>
      </c>
      <c r="B16" s="66" t="s">
        <v>88</v>
      </c>
      <c r="C16" s="66">
        <v>211</v>
      </c>
      <c r="D16" s="66">
        <v>5</v>
      </c>
      <c r="E16" s="68">
        <f>C16*D16</f>
        <v>1055</v>
      </c>
      <c r="F16" s="68">
        <f>(165*5)*0.2922</f>
        <v>241.06500000000003</v>
      </c>
      <c r="G16" s="68">
        <f>(E16+F16)</f>
        <v>1296.0650000000001</v>
      </c>
      <c r="I16" s="1" t="s">
        <v>241</v>
      </c>
    </row>
    <row r="17" spans="1:8" x14ac:dyDescent="0.25">
      <c r="A17" s="66" t="s">
        <v>247</v>
      </c>
      <c r="B17" s="66" t="s">
        <v>88</v>
      </c>
      <c r="C17" s="66">
        <v>289</v>
      </c>
      <c r="D17" s="66">
        <v>5</v>
      </c>
      <c r="E17" s="68">
        <f t="shared" ref="E17:E22" si="0">C17*D17</f>
        <v>1445</v>
      </c>
      <c r="F17" s="68">
        <f>(225*5)*0.2922</f>
        <v>328.72500000000002</v>
      </c>
      <c r="G17" s="68">
        <f>(E17+F17)</f>
        <v>1773.7249999999999</v>
      </c>
    </row>
    <row r="18" spans="1:8" x14ac:dyDescent="0.25">
      <c r="A18" s="66" t="s">
        <v>700</v>
      </c>
      <c r="B18" s="66" t="s">
        <v>88</v>
      </c>
      <c r="C18" s="66">
        <v>2.5021</v>
      </c>
      <c r="D18" s="66">
        <f>76*5</f>
        <v>380</v>
      </c>
      <c r="E18" s="68">
        <f t="shared" si="0"/>
        <v>950.798</v>
      </c>
      <c r="F18" s="68">
        <v>0</v>
      </c>
      <c r="G18" s="68">
        <f>(E18+F18)</f>
        <v>950.798</v>
      </c>
    </row>
    <row r="19" spans="1:8" x14ac:dyDescent="0.25">
      <c r="A19" s="83" t="s">
        <v>269</v>
      </c>
      <c r="B19" s="66"/>
      <c r="C19" s="66"/>
      <c r="D19" s="66"/>
      <c r="E19" s="66">
        <f t="shared" si="0"/>
        <v>0</v>
      </c>
      <c r="F19" s="66"/>
      <c r="G19" s="68">
        <f t="shared" ref="G19:G22" si="1">(E19*F19)+E19</f>
        <v>0</v>
      </c>
    </row>
    <row r="20" spans="1:8" ht="15" customHeight="1" x14ac:dyDescent="0.25">
      <c r="A20" s="15"/>
      <c r="B20" s="66"/>
      <c r="C20" s="69"/>
      <c r="D20" s="69"/>
      <c r="E20" s="66">
        <f t="shared" si="0"/>
        <v>0</v>
      </c>
      <c r="F20" s="66"/>
      <c r="G20" s="68">
        <f t="shared" si="1"/>
        <v>0</v>
      </c>
    </row>
    <row r="21" spans="1:8" ht="15" customHeight="1" x14ac:dyDescent="0.25">
      <c r="A21" s="15"/>
      <c r="B21" s="66"/>
      <c r="C21" s="69"/>
      <c r="D21" s="69"/>
      <c r="E21" s="66">
        <f t="shared" si="0"/>
        <v>0</v>
      </c>
      <c r="F21" s="66"/>
      <c r="G21" s="68">
        <f t="shared" si="1"/>
        <v>0</v>
      </c>
    </row>
    <row r="22" spans="1:8" ht="15" customHeight="1" x14ac:dyDescent="0.25">
      <c r="A22" s="66"/>
      <c r="B22" s="69"/>
      <c r="C22" s="69"/>
      <c r="D22" s="69"/>
      <c r="E22" s="66">
        <f t="shared" si="0"/>
        <v>0</v>
      </c>
      <c r="F22" s="66"/>
      <c r="G22" s="68">
        <f t="shared" si="1"/>
        <v>0</v>
      </c>
    </row>
    <row r="23" spans="1:8" ht="15" x14ac:dyDescent="0.25">
      <c r="A23" s="2"/>
      <c r="B23" s="2"/>
      <c r="C23" s="2"/>
      <c r="D23" s="2"/>
      <c r="E23" s="2"/>
      <c r="F23" s="2"/>
      <c r="G23" s="2"/>
    </row>
    <row r="24" spans="1:8" ht="30" customHeight="1" x14ac:dyDescent="0.25">
      <c r="A24" s="106" t="s">
        <v>242</v>
      </c>
      <c r="B24" s="132" t="s">
        <v>11</v>
      </c>
      <c r="C24" s="132"/>
      <c r="D24" s="132"/>
      <c r="E24" s="132"/>
      <c r="F24" s="113">
        <f>SUM(G16:G22)</f>
        <v>4020.5879999999997</v>
      </c>
      <c r="G24" s="113"/>
    </row>
    <row r="25" spans="1:8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8" ht="15" x14ac:dyDescent="0.25">
      <c r="A26" s="2"/>
      <c r="B26" s="2"/>
      <c r="C26" s="2"/>
      <c r="D26" s="2"/>
      <c r="E26" s="2"/>
      <c r="F26" s="2"/>
      <c r="G26" s="2"/>
    </row>
    <row r="27" spans="1:8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8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8" ht="15" x14ac:dyDescent="0.25">
      <c r="A29" s="43" t="s">
        <v>236</v>
      </c>
      <c r="B29" s="41" t="s">
        <v>86</v>
      </c>
      <c r="C29" s="40">
        <f>IFERROR(VLOOKUP(B29,Liste!C1:D5,2,FALSE),"")</f>
        <v>2500</v>
      </c>
      <c r="D29" s="54">
        <f>IFERROR(C29/4.33,0)</f>
        <v>577.36720554272517</v>
      </c>
      <c r="H29" s="7"/>
    </row>
    <row r="30" spans="1:8" ht="15" x14ac:dyDescent="0.3">
      <c r="A30" s="43" t="s">
        <v>66</v>
      </c>
      <c r="B30" s="46" t="s">
        <v>43</v>
      </c>
      <c r="C30" s="40">
        <f>IFERROR(VLOOKUP(B30,Liste!$C$7:$D$15,2,FALSE),"")</f>
        <v>400</v>
      </c>
      <c r="D30" s="54">
        <f>IFERROR(C30/4.33,0)</f>
        <v>92.378752886836025</v>
      </c>
      <c r="H30" s="7"/>
    </row>
    <row r="31" spans="1:8" ht="15" x14ac:dyDescent="0.3">
      <c r="A31" s="43" t="s">
        <v>67</v>
      </c>
      <c r="B31" s="46" t="s">
        <v>69</v>
      </c>
      <c r="C31" s="40" t="str">
        <f>IFERROR(VLOOKUP(B31,Liste!$C$7:$D$15,2,FALSE),"")</f>
        <v/>
      </c>
      <c r="D31" s="54">
        <f t="shared" ref="D31:D33" si="2">IFERROR(C31/4.33,0)</f>
        <v>0</v>
      </c>
      <c r="H31" s="7"/>
    </row>
    <row r="32" spans="1:8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2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2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1.3553999999999999</v>
      </c>
      <c r="D34" s="54">
        <f>(B11*D5/100)*C34</f>
        <v>910.05866171999992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0</v>
      </c>
      <c r="D35" s="54">
        <f>(D5*B11/100)*C35</f>
        <v>0</v>
      </c>
      <c r="H35" s="7"/>
    </row>
    <row r="36" spans="1:8" ht="15" x14ac:dyDescent="0.3">
      <c r="A36" s="43" t="s">
        <v>3</v>
      </c>
      <c r="B36" s="42"/>
      <c r="C36" s="65">
        <v>0.43090000000000001</v>
      </c>
      <c r="D36" s="54">
        <f>(D6*B11)*C36</f>
        <v>18.838517100000001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92.04</v>
      </c>
      <c r="E38" s="49"/>
      <c r="H38" s="7"/>
    </row>
    <row r="39" spans="1:8" ht="15" x14ac:dyDescent="0.25">
      <c r="A39" s="43" t="s">
        <v>13</v>
      </c>
      <c r="B39" s="41">
        <f>B12</f>
        <v>170.9</v>
      </c>
      <c r="C39" s="56">
        <v>5</v>
      </c>
      <c r="D39" s="54">
        <f>C39*B39</f>
        <v>854.5</v>
      </c>
      <c r="H39" s="7"/>
    </row>
    <row r="40" spans="1:8" ht="15" x14ac:dyDescent="0.25">
      <c r="A40" s="43" t="s">
        <v>14</v>
      </c>
      <c r="B40" s="48" t="s">
        <v>56</v>
      </c>
      <c r="C40" s="40">
        <v>1</v>
      </c>
      <c r="D40" s="40">
        <v>1247.23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3792.4131372495608</v>
      </c>
    </row>
    <row r="46" spans="1:8" x14ac:dyDescent="0.25">
      <c r="C46" s="6" t="s">
        <v>49</v>
      </c>
      <c r="D46" s="47">
        <f>F24-D45</f>
        <v>228.17486275043893</v>
      </c>
    </row>
    <row r="48" spans="1:8" ht="39" customHeight="1" x14ac:dyDescent="0.25">
      <c r="C48" s="58" t="s">
        <v>48</v>
      </c>
      <c r="D48" s="59">
        <f>D46/F24</f>
        <v>5.6751615124563608E-2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39D6B92D-473B-446A-9D0A-48794A2D7E4D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8BA26DE-1CFC-437D-B102-CB164A7762C7}">
          <x14:formula1>
            <xm:f>Liste!$C$7:$C$16</xm:f>
          </x14:formula1>
          <xm:sqref>B30:B33</xm:sqref>
        </x14:dataValidation>
        <x14:dataValidation type="list" allowBlank="1" showInputMessage="1" showErrorMessage="1" xr:uid="{20860342-C03C-45B0-AA27-299636A9B56F}">
          <x14:formula1>
            <xm:f>Liste!$A$24:$A$25</xm:f>
          </x14:formula1>
          <xm:sqref>B42</xm:sqref>
        </x14:dataValidation>
        <x14:dataValidation type="list" allowBlank="1" showInputMessage="1" showErrorMessage="1" xr:uid="{117F4BFD-63C8-4628-951D-1E40FCD3A81B}">
          <x14:formula1>
            <xm:f>Liste!$A$21:$A$22</xm:f>
          </x14:formula1>
          <xm:sqref>B40</xm:sqref>
        </x14:dataValidation>
        <x14:dataValidation type="list" allowBlank="1" showInputMessage="1" showErrorMessage="1" xr:uid="{91EAB165-0676-4AF6-B2E0-51BABF8CA734}">
          <x14:formula1>
            <xm:f>Liste!$C$2:$C$5</xm:f>
          </x14:formula1>
          <xm:sqref>B29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E8AF7-8782-4705-B89E-155BBC34F1FE}">
  <sheetPr>
    <tabColor theme="4" tint="0.39997558519241921"/>
  </sheetPr>
  <dimension ref="A1:I48"/>
  <sheetViews>
    <sheetView topLeftCell="A27" workbookViewId="0">
      <selection activeCell="A25" sqref="A25"/>
    </sheetView>
  </sheetViews>
  <sheetFormatPr baseColWidth="10" defaultColWidth="11.44140625" defaultRowHeight="13.2" x14ac:dyDescent="0.25"/>
  <cols>
    <col min="1" max="1" width="32.44140625" style="1" customWidth="1"/>
    <col min="2" max="2" width="20.6640625" style="1" customWidth="1"/>
    <col min="3" max="3" width="20.44140625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9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9" x14ac:dyDescent="0.25">
      <c r="A3" s="126" t="s">
        <v>5</v>
      </c>
      <c r="B3" s="126"/>
      <c r="C3" s="126"/>
      <c r="D3" s="126"/>
      <c r="E3" s="126"/>
      <c r="F3" s="126"/>
      <c r="G3" s="126"/>
    </row>
    <row r="4" spans="1:9" ht="15" x14ac:dyDescent="0.25">
      <c r="A4" s="2"/>
      <c r="B4" s="5" t="s">
        <v>10</v>
      </c>
      <c r="D4" s="11" t="s">
        <v>12</v>
      </c>
      <c r="F4" s="129" t="s">
        <v>15</v>
      </c>
      <c r="G4" s="130" t="s">
        <v>689</v>
      </c>
    </row>
    <row r="5" spans="1:9" ht="15" x14ac:dyDescent="0.25">
      <c r="A5" s="5" t="s">
        <v>8</v>
      </c>
      <c r="B5" s="10" t="s">
        <v>271</v>
      </c>
      <c r="C5" s="10"/>
      <c r="D5" s="17">
        <v>35.090000000000003</v>
      </c>
      <c r="E5" s="6"/>
      <c r="F5" s="129"/>
      <c r="G5" s="131"/>
    </row>
    <row r="6" spans="1:9" ht="15" x14ac:dyDescent="0.25">
      <c r="A6" s="5" t="s">
        <v>9</v>
      </c>
      <c r="B6" s="10" t="s">
        <v>83</v>
      </c>
      <c r="C6" s="10"/>
      <c r="D6" s="6">
        <v>1.9E-2</v>
      </c>
      <c r="F6" s="2"/>
      <c r="G6" s="2"/>
    </row>
    <row r="7" spans="1:9" ht="15" x14ac:dyDescent="0.25">
      <c r="A7" s="5" t="s">
        <v>16</v>
      </c>
      <c r="B7" s="12" t="s">
        <v>272</v>
      </c>
      <c r="C7" s="12"/>
    </row>
    <row r="8" spans="1:9" ht="15" x14ac:dyDescent="0.25">
      <c r="A8" s="11" t="s">
        <v>71</v>
      </c>
      <c r="B8" s="18">
        <v>47.91</v>
      </c>
    </row>
    <row r="9" spans="1:9" x14ac:dyDescent="0.25">
      <c r="A9" s="11" t="s">
        <v>72</v>
      </c>
      <c r="B9" s="77">
        <v>40.619999999999997</v>
      </c>
    </row>
    <row r="10" spans="1:9" ht="15" x14ac:dyDescent="0.25">
      <c r="A10" s="5"/>
      <c r="B10" s="11" t="s">
        <v>70</v>
      </c>
      <c r="C10" s="2"/>
      <c r="D10" s="2"/>
      <c r="G10" s="11" t="s">
        <v>61</v>
      </c>
    </row>
    <row r="11" spans="1:9" ht="15" x14ac:dyDescent="0.25">
      <c r="B11" s="17">
        <v>2014</v>
      </c>
      <c r="D11" s="2"/>
      <c r="G11" s="18">
        <v>0</v>
      </c>
    </row>
    <row r="12" spans="1:9" ht="15.6" x14ac:dyDescent="0.3">
      <c r="A12" s="5" t="s">
        <v>62</v>
      </c>
      <c r="B12" s="17">
        <v>43</v>
      </c>
      <c r="C12" s="72"/>
      <c r="D12" s="2"/>
      <c r="E12" s="2"/>
      <c r="F12" s="53" t="s">
        <v>55</v>
      </c>
      <c r="G12" s="53" t="s">
        <v>56</v>
      </c>
    </row>
    <row r="13" spans="1:9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9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9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9" x14ac:dyDescent="0.25">
      <c r="A16" s="66" t="s">
        <v>273</v>
      </c>
      <c r="B16" s="66" t="s">
        <v>208</v>
      </c>
      <c r="C16" s="66">
        <v>530</v>
      </c>
      <c r="D16" s="66">
        <v>5</v>
      </c>
      <c r="E16" s="68">
        <f>C16*D16</f>
        <v>2650</v>
      </c>
      <c r="F16" s="68">
        <f>(350*5)*0.2922</f>
        <v>511.35</v>
      </c>
      <c r="G16" s="68">
        <f>(E16+F16)</f>
        <v>3161.35</v>
      </c>
      <c r="I16" s="1" t="s">
        <v>241</v>
      </c>
    </row>
    <row r="17" spans="1:8" x14ac:dyDescent="0.25">
      <c r="A17" s="66" t="s">
        <v>274</v>
      </c>
      <c r="B17" s="66" t="s">
        <v>208</v>
      </c>
      <c r="C17" s="66">
        <v>160</v>
      </c>
      <c r="D17" s="66">
        <v>5</v>
      </c>
      <c r="E17" s="68">
        <f t="shared" ref="E17:E22" si="0">C17*D17</f>
        <v>800</v>
      </c>
      <c r="F17" s="68">
        <f>(40*5)*0.2922</f>
        <v>58.440000000000005</v>
      </c>
      <c r="G17" s="68">
        <f>(E17+F17)</f>
        <v>858.44</v>
      </c>
    </row>
    <row r="18" spans="1:8" x14ac:dyDescent="0.25">
      <c r="A18" s="66"/>
      <c r="B18" s="66"/>
      <c r="C18" s="66"/>
      <c r="D18" s="66"/>
      <c r="E18" s="66">
        <f t="shared" si="0"/>
        <v>0</v>
      </c>
      <c r="F18" s="68"/>
      <c r="G18" s="68">
        <f>(E18+F18)</f>
        <v>0</v>
      </c>
    </row>
    <row r="19" spans="1:8" x14ac:dyDescent="0.25">
      <c r="A19" s="83" t="s">
        <v>269</v>
      </c>
      <c r="B19" s="66"/>
      <c r="C19" s="66"/>
      <c r="D19" s="66"/>
      <c r="E19" s="66">
        <f t="shared" si="0"/>
        <v>0</v>
      </c>
      <c r="F19" s="66"/>
      <c r="G19" s="68">
        <f t="shared" ref="G19:G22" si="1">(E19*F19)+E19</f>
        <v>0</v>
      </c>
    </row>
    <row r="20" spans="1:8" ht="15" customHeight="1" x14ac:dyDescent="0.25">
      <c r="A20" s="15"/>
      <c r="B20" s="66"/>
      <c r="C20" s="69"/>
      <c r="D20" s="69"/>
      <c r="E20" s="66">
        <f t="shared" si="0"/>
        <v>0</v>
      </c>
      <c r="F20" s="66"/>
      <c r="G20" s="68">
        <f t="shared" si="1"/>
        <v>0</v>
      </c>
    </row>
    <row r="21" spans="1:8" ht="15" customHeight="1" x14ac:dyDescent="0.25">
      <c r="A21" s="15"/>
      <c r="B21" s="66"/>
      <c r="C21" s="69"/>
      <c r="D21" s="69"/>
      <c r="E21" s="66">
        <f t="shared" si="0"/>
        <v>0</v>
      </c>
      <c r="F21" s="66"/>
      <c r="G21" s="68">
        <f t="shared" si="1"/>
        <v>0</v>
      </c>
    </row>
    <row r="22" spans="1:8" ht="15" customHeight="1" x14ac:dyDescent="0.25">
      <c r="A22" s="66"/>
      <c r="B22" s="69"/>
      <c r="C22" s="69"/>
      <c r="D22" s="69"/>
      <c r="E22" s="66">
        <f t="shared" si="0"/>
        <v>0</v>
      </c>
      <c r="F22" s="66"/>
      <c r="G22" s="68">
        <f t="shared" si="1"/>
        <v>0</v>
      </c>
    </row>
    <row r="23" spans="1:8" ht="15" x14ac:dyDescent="0.25">
      <c r="A23" s="2"/>
      <c r="B23" s="2"/>
      <c r="C23" s="2"/>
      <c r="D23" s="2"/>
      <c r="E23" s="2"/>
      <c r="F23" s="2"/>
      <c r="G23" s="2"/>
    </row>
    <row r="24" spans="1:8" ht="30" customHeight="1" x14ac:dyDescent="0.25">
      <c r="A24" s="106" t="s">
        <v>270</v>
      </c>
      <c r="B24" s="132" t="s">
        <v>11</v>
      </c>
      <c r="C24" s="132"/>
      <c r="D24" s="132"/>
      <c r="E24" s="132"/>
      <c r="F24" s="113">
        <f>SUM(G16:G22)</f>
        <v>4019.79</v>
      </c>
      <c r="G24" s="113"/>
    </row>
    <row r="25" spans="1:8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8" ht="15" x14ac:dyDescent="0.25">
      <c r="A26" s="2"/>
      <c r="B26" s="2"/>
      <c r="C26" s="2"/>
      <c r="D26" s="2"/>
      <c r="E26" s="2"/>
      <c r="F26" s="2"/>
      <c r="G26" s="2"/>
    </row>
    <row r="27" spans="1:8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8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8" ht="15" x14ac:dyDescent="0.25">
      <c r="A29" s="43" t="s">
        <v>236</v>
      </c>
      <c r="B29" s="41" t="s">
        <v>86</v>
      </c>
      <c r="C29" s="40">
        <f>IFERROR(VLOOKUP(B29,Liste!C1:D5,2,FALSE),"")</f>
        <v>2500</v>
      </c>
      <c r="D29" s="54">
        <f>IFERROR(C29/4.33,0)</f>
        <v>577.36720554272517</v>
      </c>
      <c r="H29" s="7"/>
    </row>
    <row r="30" spans="1:8" ht="15" x14ac:dyDescent="0.3">
      <c r="A30" s="43" t="s">
        <v>66</v>
      </c>
      <c r="B30" s="46" t="s">
        <v>43</v>
      </c>
      <c r="C30" s="40">
        <f>IFERROR(VLOOKUP(B30,Liste!$C$7:$D$15,2,FALSE),"")</f>
        <v>400</v>
      </c>
      <c r="D30" s="54">
        <f>IFERROR(C30/4.33,0)</f>
        <v>92.378752886836025</v>
      </c>
      <c r="H30" s="7"/>
    </row>
    <row r="31" spans="1:8" ht="15" x14ac:dyDescent="0.3">
      <c r="A31" s="43" t="s">
        <v>67</v>
      </c>
      <c r="B31" s="46" t="s">
        <v>69</v>
      </c>
      <c r="C31" s="40" t="str">
        <f>IFERROR(VLOOKUP(B31,Liste!$C$7:$D$15,2,FALSE),"")</f>
        <v/>
      </c>
      <c r="D31" s="54">
        <f t="shared" ref="D31:D33" si="2">IFERROR(C31/4.33,0)</f>
        <v>0</v>
      </c>
      <c r="H31" s="7"/>
    </row>
    <row r="32" spans="1:8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2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2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1.3553999999999999</v>
      </c>
      <c r="D34" s="54">
        <f>(B11*D5/100)*C34</f>
        <v>957.87825803999999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0</v>
      </c>
      <c r="D35" s="54">
        <f>(D5*B11/100)*C35</f>
        <v>0</v>
      </c>
      <c r="H35" s="7"/>
    </row>
    <row r="36" spans="1:8" ht="15" x14ac:dyDescent="0.3">
      <c r="A36" s="43" t="s">
        <v>3</v>
      </c>
      <c r="B36" s="42"/>
      <c r="C36" s="65">
        <v>0.43090000000000001</v>
      </c>
      <c r="D36" s="54">
        <f>(D6*B11)*C36</f>
        <v>16.488819400000001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80.56</v>
      </c>
      <c r="E38" s="49"/>
      <c r="H38" s="7"/>
    </row>
    <row r="39" spans="1:8" ht="15" x14ac:dyDescent="0.25">
      <c r="A39" s="43" t="s">
        <v>13</v>
      </c>
      <c r="B39" s="41">
        <f>B12</f>
        <v>43</v>
      </c>
      <c r="C39" s="56">
        <v>5</v>
      </c>
      <c r="D39" s="54">
        <f>C39*B39</f>
        <v>215</v>
      </c>
      <c r="H39" s="7"/>
    </row>
    <row r="40" spans="1:8" ht="15" x14ac:dyDescent="0.25">
      <c r="A40" s="43" t="s">
        <v>14</v>
      </c>
      <c r="B40" s="48" t="s">
        <v>56</v>
      </c>
      <c r="C40" s="40">
        <v>1</v>
      </c>
      <c r="D40" s="40">
        <v>1028.42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2968.0930358695614</v>
      </c>
    </row>
    <row r="46" spans="1:8" x14ac:dyDescent="0.25">
      <c r="C46" s="6" t="s">
        <v>49</v>
      </c>
      <c r="D46" s="47">
        <f>F24-D45</f>
        <v>1051.6969641304386</v>
      </c>
    </row>
    <row r="48" spans="1:8" ht="39" customHeight="1" x14ac:dyDescent="0.25">
      <c r="C48" s="58" t="s">
        <v>48</v>
      </c>
      <c r="D48" s="59">
        <f>D46/F24</f>
        <v>0.26162982746124513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5A8EFD48-458B-4FAE-BA4F-A6702F4D1A64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C7592F9-2370-4E0C-A5D5-D6CFBA1CC60B}">
          <x14:formula1>
            <xm:f>Liste!$C$2:$C$5</xm:f>
          </x14:formula1>
          <xm:sqref>B29</xm:sqref>
        </x14:dataValidation>
        <x14:dataValidation type="list" allowBlank="1" showInputMessage="1" showErrorMessage="1" xr:uid="{E746C975-8A0D-4336-9C02-0A31884E9EC4}">
          <x14:formula1>
            <xm:f>Liste!$A$21:$A$22</xm:f>
          </x14:formula1>
          <xm:sqref>B40</xm:sqref>
        </x14:dataValidation>
        <x14:dataValidation type="list" allowBlank="1" showInputMessage="1" showErrorMessage="1" xr:uid="{8A936E23-F745-4234-BA4B-D4D08A94F5EA}">
          <x14:formula1>
            <xm:f>Liste!$A$24:$A$25</xm:f>
          </x14:formula1>
          <xm:sqref>B42</xm:sqref>
        </x14:dataValidation>
        <x14:dataValidation type="list" allowBlank="1" showInputMessage="1" showErrorMessage="1" xr:uid="{439459D6-92AF-46E0-A7D7-6A5207CF31A4}">
          <x14:formula1>
            <xm:f>Liste!$C$7:$C$16</xm:f>
          </x14:formula1>
          <xm:sqref>B30:B33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F234-CCC6-4E89-82C2-501099416854}">
  <sheetPr>
    <tabColor theme="4" tint="0.39997558519241921"/>
  </sheetPr>
  <dimension ref="A1:I48"/>
  <sheetViews>
    <sheetView workbookViewId="0">
      <selection activeCell="D11" sqref="D11"/>
    </sheetView>
  </sheetViews>
  <sheetFormatPr baseColWidth="10" defaultColWidth="11.44140625" defaultRowHeight="13.2" x14ac:dyDescent="0.25"/>
  <cols>
    <col min="1" max="1" width="32.44140625" style="1" customWidth="1"/>
    <col min="2" max="2" width="20.6640625" style="1" customWidth="1"/>
    <col min="3" max="3" width="20.44140625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9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9" x14ac:dyDescent="0.25">
      <c r="A3" s="126" t="s">
        <v>5</v>
      </c>
      <c r="B3" s="126"/>
      <c r="C3" s="126"/>
      <c r="D3" s="126"/>
      <c r="E3" s="126"/>
      <c r="F3" s="126"/>
      <c r="G3" s="126"/>
    </row>
    <row r="4" spans="1:9" ht="15" x14ac:dyDescent="0.25">
      <c r="A4" s="2"/>
      <c r="B4" s="5" t="s">
        <v>10</v>
      </c>
      <c r="D4" s="11" t="s">
        <v>12</v>
      </c>
      <c r="F4" s="129" t="s">
        <v>15</v>
      </c>
      <c r="G4" s="130" t="s">
        <v>688</v>
      </c>
    </row>
    <row r="5" spans="1:9" ht="15" x14ac:dyDescent="0.25">
      <c r="A5" s="5" t="s">
        <v>8</v>
      </c>
      <c r="B5" s="10" t="s">
        <v>281</v>
      </c>
      <c r="C5" s="10"/>
      <c r="D5" s="17">
        <v>30.66</v>
      </c>
      <c r="E5" s="6"/>
      <c r="F5" s="129"/>
      <c r="G5" s="131"/>
    </row>
    <row r="6" spans="1:9" ht="15" x14ac:dyDescent="0.25">
      <c r="A6" s="5" t="s">
        <v>9</v>
      </c>
      <c r="B6" s="10" t="s">
        <v>83</v>
      </c>
      <c r="C6" s="10"/>
      <c r="D6" s="6">
        <v>1.9E-2</v>
      </c>
      <c r="F6" s="2"/>
      <c r="G6" s="2"/>
    </row>
    <row r="7" spans="1:9" ht="15" x14ac:dyDescent="0.25">
      <c r="A7" s="5" t="s">
        <v>16</v>
      </c>
      <c r="B7" s="12" t="s">
        <v>282</v>
      </c>
      <c r="C7" s="12"/>
    </row>
    <row r="8" spans="1:9" ht="15" x14ac:dyDescent="0.25">
      <c r="A8" s="11" t="s">
        <v>71</v>
      </c>
      <c r="B8" s="18">
        <v>73.98</v>
      </c>
    </row>
    <row r="9" spans="1:9" x14ac:dyDescent="0.25">
      <c r="A9" s="11" t="s">
        <v>72</v>
      </c>
      <c r="B9" s="77">
        <v>50.18</v>
      </c>
    </row>
    <row r="10" spans="1:9" ht="15" x14ac:dyDescent="0.25">
      <c r="A10" s="5"/>
      <c r="B10" s="11" t="s">
        <v>70</v>
      </c>
      <c r="C10" s="2"/>
      <c r="D10" s="2"/>
      <c r="G10" s="11" t="s">
        <v>61</v>
      </c>
    </row>
    <row r="11" spans="1:9" ht="15" x14ac:dyDescent="0.25">
      <c r="B11" s="17">
        <v>3591</v>
      </c>
      <c r="D11" s="2"/>
      <c r="G11" s="18">
        <v>0</v>
      </c>
    </row>
    <row r="12" spans="1:9" ht="15.6" x14ac:dyDescent="0.3">
      <c r="A12" s="5" t="s">
        <v>62</v>
      </c>
      <c r="B12" s="17">
        <f>45.75+136.5</f>
        <v>182.25</v>
      </c>
      <c r="C12" s="72"/>
      <c r="D12" s="2"/>
      <c r="E12" s="2"/>
      <c r="F12" s="53" t="s">
        <v>55</v>
      </c>
      <c r="G12" s="53" t="s">
        <v>56</v>
      </c>
    </row>
    <row r="13" spans="1:9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9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9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9" x14ac:dyDescent="0.25">
      <c r="A16" s="66" t="s">
        <v>283</v>
      </c>
      <c r="B16" s="66" t="s">
        <v>284</v>
      </c>
      <c r="C16" s="66">
        <v>606</v>
      </c>
      <c r="D16" s="66">
        <v>5</v>
      </c>
      <c r="E16" s="68">
        <f>C16*D16</f>
        <v>3030</v>
      </c>
      <c r="F16" s="68">
        <f>(487*5)*0.2922</f>
        <v>711.50700000000006</v>
      </c>
      <c r="G16" s="68">
        <f>(E16+F16)</f>
        <v>3741.5070000000001</v>
      </c>
      <c r="I16" s="1" t="s">
        <v>241</v>
      </c>
    </row>
    <row r="17" spans="1:8" x14ac:dyDescent="0.25">
      <c r="A17" s="66" t="s">
        <v>285</v>
      </c>
      <c r="B17" s="66" t="s">
        <v>284</v>
      </c>
      <c r="C17" s="66">
        <v>194</v>
      </c>
      <c r="D17" s="66">
        <v>5</v>
      </c>
      <c r="E17" s="68">
        <f t="shared" ref="E17:E22" si="0">C17*D17</f>
        <v>970</v>
      </c>
      <c r="F17" s="68">
        <f>(165*5)*0.2922</f>
        <v>241.06500000000003</v>
      </c>
      <c r="G17" s="68">
        <f>(E17+F17)</f>
        <v>1211.0650000000001</v>
      </c>
    </row>
    <row r="18" spans="1:8" x14ac:dyDescent="0.25">
      <c r="A18" s="66"/>
      <c r="B18" s="66"/>
      <c r="C18" s="66"/>
      <c r="D18" s="66"/>
      <c r="E18" s="66">
        <f t="shared" si="0"/>
        <v>0</v>
      </c>
      <c r="F18" s="68"/>
      <c r="G18" s="68">
        <f>(E18+F18)</f>
        <v>0</v>
      </c>
    </row>
    <row r="19" spans="1:8" x14ac:dyDescent="0.25">
      <c r="A19" s="83" t="s">
        <v>269</v>
      </c>
      <c r="B19" s="66"/>
      <c r="C19" s="66"/>
      <c r="D19" s="66"/>
      <c r="E19" s="66">
        <f t="shared" si="0"/>
        <v>0</v>
      </c>
      <c r="F19" s="66"/>
      <c r="G19" s="68">
        <f t="shared" ref="G19:G22" si="1">(E19*F19)+E19</f>
        <v>0</v>
      </c>
    </row>
    <row r="20" spans="1:8" ht="15" customHeight="1" x14ac:dyDescent="0.25">
      <c r="A20" s="15"/>
      <c r="B20" s="66"/>
      <c r="C20" s="69"/>
      <c r="D20" s="69"/>
      <c r="E20" s="66">
        <f t="shared" si="0"/>
        <v>0</v>
      </c>
      <c r="F20" s="66"/>
      <c r="G20" s="68">
        <f t="shared" si="1"/>
        <v>0</v>
      </c>
    </row>
    <row r="21" spans="1:8" ht="15" customHeight="1" x14ac:dyDescent="0.25">
      <c r="A21" s="15"/>
      <c r="B21" s="66"/>
      <c r="C21" s="69"/>
      <c r="D21" s="69"/>
      <c r="E21" s="66">
        <f t="shared" si="0"/>
        <v>0</v>
      </c>
      <c r="F21" s="66"/>
      <c r="G21" s="68">
        <f t="shared" si="1"/>
        <v>0</v>
      </c>
    </row>
    <row r="22" spans="1:8" ht="15" customHeight="1" x14ac:dyDescent="0.25">
      <c r="A22" s="66"/>
      <c r="B22" s="69"/>
      <c r="C22" s="69"/>
      <c r="D22" s="69"/>
      <c r="E22" s="66">
        <f t="shared" si="0"/>
        <v>0</v>
      </c>
      <c r="F22" s="66"/>
      <c r="G22" s="68">
        <f t="shared" si="1"/>
        <v>0</v>
      </c>
    </row>
    <row r="23" spans="1:8" ht="15" x14ac:dyDescent="0.25">
      <c r="A23" s="2"/>
      <c r="B23" s="2"/>
      <c r="C23" s="2"/>
      <c r="D23" s="2"/>
      <c r="E23" s="2"/>
      <c r="F23" s="2"/>
      <c r="G23" s="2"/>
    </row>
    <row r="24" spans="1:8" ht="30" customHeight="1" x14ac:dyDescent="0.25">
      <c r="A24" s="106" t="s">
        <v>277</v>
      </c>
      <c r="B24" s="132" t="s">
        <v>11</v>
      </c>
      <c r="C24" s="132"/>
      <c r="D24" s="132"/>
      <c r="E24" s="132"/>
      <c r="F24" s="113">
        <f>SUM(G16:G22)</f>
        <v>4952.5720000000001</v>
      </c>
      <c r="G24" s="113"/>
    </row>
    <row r="25" spans="1:8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8" ht="15" x14ac:dyDescent="0.25">
      <c r="A26" s="2"/>
      <c r="B26" s="2"/>
      <c r="C26" s="2"/>
      <c r="D26" s="2"/>
      <c r="E26" s="2"/>
      <c r="F26" s="2"/>
      <c r="G26" s="2"/>
    </row>
    <row r="27" spans="1:8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8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8" ht="15" x14ac:dyDescent="0.25">
      <c r="A29" s="43" t="s">
        <v>236</v>
      </c>
      <c r="B29" s="41" t="s">
        <v>86</v>
      </c>
      <c r="C29" s="40">
        <f>IFERROR(VLOOKUP(B29,Liste!C1:D5,2,FALSE),"")</f>
        <v>2500</v>
      </c>
      <c r="D29" s="54">
        <f>IFERROR(C29/4.33,0)</f>
        <v>577.36720554272517</v>
      </c>
      <c r="H29" s="7"/>
    </row>
    <row r="30" spans="1:8" ht="15" x14ac:dyDescent="0.3">
      <c r="A30" s="43" t="s">
        <v>66</v>
      </c>
      <c r="B30" s="46" t="s">
        <v>43</v>
      </c>
      <c r="C30" s="40">
        <f>IFERROR(VLOOKUP(B30,Liste!$C$7:$D$15,2,FALSE),"")</f>
        <v>400</v>
      </c>
      <c r="D30" s="54">
        <f>IFERROR(C30/4.33,0)</f>
        <v>92.378752886836025</v>
      </c>
      <c r="H30" s="7"/>
    </row>
    <row r="31" spans="1:8" ht="15" x14ac:dyDescent="0.3">
      <c r="A31" s="43" t="s">
        <v>67</v>
      </c>
      <c r="B31" s="46" t="s">
        <v>69</v>
      </c>
      <c r="C31" s="40" t="str">
        <f>IFERROR(VLOOKUP(B31,Liste!$C$7:$D$15,2,FALSE),"")</f>
        <v/>
      </c>
      <c r="D31" s="54">
        <f t="shared" ref="D31:D33" si="2">IFERROR(C31/4.33,0)</f>
        <v>0</v>
      </c>
      <c r="H31" s="7"/>
    </row>
    <row r="32" spans="1:8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2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2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1.3553999999999999</v>
      </c>
      <c r="D34" s="54">
        <f>(B11*D5/100)*C34</f>
        <v>1492.29621324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0</v>
      </c>
      <c r="D35" s="54">
        <f>(D5*B11/100)*C35</f>
        <v>0</v>
      </c>
      <c r="H35" s="7"/>
    </row>
    <row r="36" spans="1:8" ht="15" x14ac:dyDescent="0.3">
      <c r="A36" s="43" t="s">
        <v>3</v>
      </c>
      <c r="B36" s="42"/>
      <c r="C36" s="65">
        <v>0.43090000000000001</v>
      </c>
      <c r="D36" s="54">
        <f>(D6*B11)*C36</f>
        <v>29.3998761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143.64000000000001</v>
      </c>
      <c r="E38" s="49"/>
      <c r="H38" s="7"/>
    </row>
    <row r="39" spans="1:8" ht="15" x14ac:dyDescent="0.25">
      <c r="A39" s="43" t="s">
        <v>13</v>
      </c>
      <c r="B39" s="41">
        <f>B12</f>
        <v>182.25</v>
      </c>
      <c r="C39" s="56">
        <v>5</v>
      </c>
      <c r="D39" s="54">
        <f>C39*B39</f>
        <v>911.25</v>
      </c>
      <c r="H39" s="7"/>
    </row>
    <row r="40" spans="1:8" ht="15" x14ac:dyDescent="0.25">
      <c r="A40" s="43" t="s">
        <v>14</v>
      </c>
      <c r="B40" s="48" t="s">
        <v>56</v>
      </c>
      <c r="C40" s="40">
        <v>1</v>
      </c>
      <c r="D40" s="40">
        <v>1315.68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4562.0120477695609</v>
      </c>
    </row>
    <row r="46" spans="1:8" x14ac:dyDescent="0.25">
      <c r="C46" s="6" t="s">
        <v>49</v>
      </c>
      <c r="D46" s="47">
        <f>F24-D45</f>
        <v>390.55995223043919</v>
      </c>
    </row>
    <row r="48" spans="1:8" ht="39" customHeight="1" x14ac:dyDescent="0.25">
      <c r="C48" s="58" t="s">
        <v>48</v>
      </c>
      <c r="D48" s="59">
        <f>D46/F24</f>
        <v>7.8860025100178088E-2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30CCBE3A-B0B2-4E92-A29E-A73E0E766AE7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1D2641E-F96F-481A-BD4B-90DD8427EA55}">
          <x14:formula1>
            <xm:f>Liste!$C$7:$C$16</xm:f>
          </x14:formula1>
          <xm:sqref>B30:B33</xm:sqref>
        </x14:dataValidation>
        <x14:dataValidation type="list" allowBlank="1" showInputMessage="1" showErrorMessage="1" xr:uid="{1A117D66-362B-46BC-9782-11DA61E41978}">
          <x14:formula1>
            <xm:f>Liste!$A$24:$A$25</xm:f>
          </x14:formula1>
          <xm:sqref>B42</xm:sqref>
        </x14:dataValidation>
        <x14:dataValidation type="list" allowBlank="1" showInputMessage="1" showErrorMessage="1" xr:uid="{004E71EE-590D-4438-8977-804BDDBEA578}">
          <x14:formula1>
            <xm:f>Liste!$A$21:$A$22</xm:f>
          </x14:formula1>
          <xm:sqref>B40</xm:sqref>
        </x14:dataValidation>
        <x14:dataValidation type="list" allowBlank="1" showInputMessage="1" showErrorMessage="1" xr:uid="{A1E2EA2F-4C64-4F9E-96C4-99DE38AE6B80}">
          <x14:formula1>
            <xm:f>Liste!$C$2:$C$5</xm:f>
          </x14:formula1>
          <xm:sqref>B29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1EDEE-1844-4FDC-A2EB-1C00865D6E35}">
  <sheetPr>
    <tabColor theme="4" tint="0.39997558519241921"/>
  </sheetPr>
  <dimension ref="A1:H48"/>
  <sheetViews>
    <sheetView topLeftCell="A34" workbookViewId="0">
      <selection activeCell="E38" sqref="E38"/>
    </sheetView>
  </sheetViews>
  <sheetFormatPr baseColWidth="10" defaultColWidth="11.44140625" defaultRowHeight="13.2" x14ac:dyDescent="0.25"/>
  <cols>
    <col min="1" max="1" width="32.44140625" style="1" customWidth="1"/>
    <col min="2" max="2" width="20.6640625" style="1" customWidth="1"/>
    <col min="3" max="3" width="20.44140625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7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7" x14ac:dyDescent="0.25">
      <c r="A3" s="126" t="s">
        <v>5</v>
      </c>
      <c r="B3" s="126"/>
      <c r="C3" s="126"/>
      <c r="D3" s="126"/>
      <c r="E3" s="126"/>
      <c r="F3" s="126"/>
      <c r="G3" s="126"/>
    </row>
    <row r="4" spans="1:7" ht="15" x14ac:dyDescent="0.25">
      <c r="A4" s="2"/>
      <c r="B4" s="5" t="s">
        <v>10</v>
      </c>
      <c r="D4" s="11" t="s">
        <v>12</v>
      </c>
      <c r="F4" s="129" t="s">
        <v>15</v>
      </c>
      <c r="G4" s="130" t="s">
        <v>689</v>
      </c>
    </row>
    <row r="5" spans="1:7" ht="15" x14ac:dyDescent="0.25">
      <c r="A5" s="5" t="s">
        <v>8</v>
      </c>
      <c r="B5" s="10" t="s">
        <v>366</v>
      </c>
      <c r="C5" s="10"/>
      <c r="D5" s="17">
        <v>34.840000000000003</v>
      </c>
      <c r="E5" s="6"/>
      <c r="F5" s="129"/>
      <c r="G5" s="131"/>
    </row>
    <row r="6" spans="1:7" ht="15" x14ac:dyDescent="0.25">
      <c r="A6" s="5" t="s">
        <v>9</v>
      </c>
      <c r="B6" s="10" t="s">
        <v>83</v>
      </c>
      <c r="C6" s="10"/>
      <c r="D6" s="6">
        <v>1.9E-2</v>
      </c>
      <c r="F6" s="2"/>
      <c r="G6" s="2"/>
    </row>
    <row r="7" spans="1:7" ht="15" x14ac:dyDescent="0.25">
      <c r="A7" s="5" t="s">
        <v>16</v>
      </c>
      <c r="B7" s="12" t="s">
        <v>367</v>
      </c>
      <c r="C7" s="12"/>
    </row>
    <row r="8" spans="1:7" ht="15" x14ac:dyDescent="0.25">
      <c r="A8" s="11" t="s">
        <v>71</v>
      </c>
      <c r="B8" s="18">
        <v>64</v>
      </c>
    </row>
    <row r="9" spans="1:7" x14ac:dyDescent="0.25">
      <c r="A9" s="11" t="s">
        <v>72</v>
      </c>
      <c r="B9" s="77">
        <v>44.19</v>
      </c>
    </row>
    <row r="10" spans="1:7" ht="15" x14ac:dyDescent="0.25">
      <c r="A10" s="5"/>
      <c r="B10" s="11" t="s">
        <v>70</v>
      </c>
      <c r="C10" s="2"/>
      <c r="D10" s="2"/>
      <c r="G10" s="11" t="s">
        <v>61</v>
      </c>
    </row>
    <row r="11" spans="1:7" ht="15" x14ac:dyDescent="0.25">
      <c r="B11" s="17">
        <v>2036</v>
      </c>
      <c r="D11" s="2"/>
      <c r="G11" s="18">
        <v>0</v>
      </c>
    </row>
    <row r="12" spans="1:7" ht="15.6" x14ac:dyDescent="0.3">
      <c r="A12" s="5" t="s">
        <v>62</v>
      </c>
      <c r="B12" s="17">
        <v>33.979999999999997</v>
      </c>
      <c r="C12" s="72"/>
      <c r="D12" s="2"/>
      <c r="E12" s="2"/>
      <c r="F12" s="53" t="s">
        <v>55</v>
      </c>
      <c r="G12" s="53" t="s">
        <v>56</v>
      </c>
    </row>
    <row r="13" spans="1:7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7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7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7" x14ac:dyDescent="0.25">
      <c r="A16" s="66" t="s">
        <v>369</v>
      </c>
      <c r="B16" s="66" t="s">
        <v>284</v>
      </c>
      <c r="C16" s="66">
        <v>695</v>
      </c>
      <c r="D16" s="66">
        <v>5</v>
      </c>
      <c r="E16" s="68">
        <f>C16*D16</f>
        <v>3475</v>
      </c>
      <c r="F16" s="68">
        <f>(288*5)*0.2922</f>
        <v>420.76800000000003</v>
      </c>
      <c r="G16" s="68">
        <f>(E16+F16)</f>
        <v>3895.768</v>
      </c>
    </row>
    <row r="17" spans="1:8" x14ac:dyDescent="0.25">
      <c r="A17" s="66" t="s">
        <v>370</v>
      </c>
      <c r="B17" s="66" t="s">
        <v>258</v>
      </c>
      <c r="C17" s="66">
        <v>2.5021</v>
      </c>
      <c r="D17" s="66">
        <v>103</v>
      </c>
      <c r="E17" s="68">
        <f t="shared" ref="E17" si="0">C17*D17</f>
        <v>257.71629999999999</v>
      </c>
      <c r="F17" s="66">
        <v>0</v>
      </c>
      <c r="G17" s="68">
        <f t="shared" ref="G17" si="1">(E17*F17)+E17</f>
        <v>257.71629999999999</v>
      </c>
    </row>
    <row r="18" spans="1:8" x14ac:dyDescent="0.25">
      <c r="A18" s="66" t="s">
        <v>681</v>
      </c>
      <c r="B18" s="66" t="s">
        <v>680</v>
      </c>
      <c r="C18" s="66">
        <v>2.5021</v>
      </c>
      <c r="D18" s="66">
        <f>84*2</f>
        <v>168</v>
      </c>
      <c r="E18" s="66">
        <f t="shared" ref="E18:E22" si="2">C18*D18</f>
        <v>420.3528</v>
      </c>
      <c r="F18" s="115">
        <v>0</v>
      </c>
      <c r="G18" s="68">
        <f>(E18+F18)</f>
        <v>420.3528</v>
      </c>
    </row>
    <row r="19" spans="1:8" x14ac:dyDescent="0.25">
      <c r="A19" s="83"/>
      <c r="B19" s="66"/>
      <c r="C19" s="66"/>
      <c r="D19" s="66"/>
      <c r="E19" s="66">
        <f t="shared" si="2"/>
        <v>0</v>
      </c>
      <c r="F19" s="66"/>
      <c r="G19" s="68">
        <f t="shared" ref="G19:G22" si="3">(E19*F19)+E19</f>
        <v>0</v>
      </c>
    </row>
    <row r="20" spans="1:8" ht="15" customHeight="1" x14ac:dyDescent="0.25">
      <c r="A20" s="15"/>
      <c r="B20" s="66"/>
      <c r="C20" s="69"/>
      <c r="D20" s="69"/>
      <c r="E20" s="66">
        <f t="shared" si="2"/>
        <v>0</v>
      </c>
      <c r="F20" s="66"/>
      <c r="G20" s="68">
        <f t="shared" si="3"/>
        <v>0</v>
      </c>
    </row>
    <row r="21" spans="1:8" ht="15" customHeight="1" x14ac:dyDescent="0.25">
      <c r="A21" s="15"/>
      <c r="B21" s="66"/>
      <c r="C21" s="69"/>
      <c r="D21" s="69"/>
      <c r="E21" s="66">
        <f t="shared" si="2"/>
        <v>0</v>
      </c>
      <c r="F21" s="66"/>
      <c r="G21" s="68">
        <f t="shared" si="3"/>
        <v>0</v>
      </c>
    </row>
    <row r="22" spans="1:8" ht="15" customHeight="1" x14ac:dyDescent="0.25">
      <c r="A22" s="66"/>
      <c r="B22" s="69"/>
      <c r="C22" s="69"/>
      <c r="D22" s="69"/>
      <c r="E22" s="66">
        <f t="shared" si="2"/>
        <v>0</v>
      </c>
      <c r="F22" s="66"/>
      <c r="G22" s="68">
        <f t="shared" si="3"/>
        <v>0</v>
      </c>
    </row>
    <row r="23" spans="1:8" ht="15" x14ac:dyDescent="0.25">
      <c r="A23" s="2"/>
      <c r="B23" s="2"/>
      <c r="C23" s="2"/>
      <c r="D23" s="2"/>
      <c r="E23" s="2"/>
      <c r="F23" s="2"/>
      <c r="G23" s="2"/>
    </row>
    <row r="24" spans="1:8" ht="30" customHeight="1" x14ac:dyDescent="0.25">
      <c r="A24" s="106" t="s">
        <v>305</v>
      </c>
      <c r="B24" s="132" t="s">
        <v>11</v>
      </c>
      <c r="C24" s="132"/>
      <c r="D24" s="132"/>
      <c r="E24" s="132"/>
      <c r="F24" s="113">
        <f>SUM(G16:G22)</f>
        <v>4573.8370999999997</v>
      </c>
      <c r="G24" s="113"/>
    </row>
    <row r="25" spans="1:8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8" ht="15" x14ac:dyDescent="0.25">
      <c r="A26" s="2"/>
      <c r="B26" s="2"/>
      <c r="C26" s="2"/>
      <c r="D26" s="2"/>
      <c r="E26" s="2"/>
      <c r="F26" s="2"/>
      <c r="G26" s="2"/>
    </row>
    <row r="27" spans="1:8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8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8" ht="15" x14ac:dyDescent="0.25">
      <c r="A29" s="43" t="s">
        <v>236</v>
      </c>
      <c r="B29" s="41" t="s">
        <v>368</v>
      </c>
      <c r="C29" s="40">
        <f>IFERROR(VLOOKUP(B29,Liste!C1:D5,2,FALSE),"")</f>
        <v>3000</v>
      </c>
      <c r="D29" s="54">
        <f>IFERROR(C29/4.33,0)</f>
        <v>692.84064665127016</v>
      </c>
      <c r="H29" s="7"/>
    </row>
    <row r="30" spans="1:8" ht="15" x14ac:dyDescent="0.3">
      <c r="A30" s="43" t="s">
        <v>66</v>
      </c>
      <c r="B30" s="46" t="s">
        <v>43</v>
      </c>
      <c r="C30" s="40">
        <f>IFERROR(VLOOKUP(B30,Liste!$C$7:$D$15,2,FALSE),"")</f>
        <v>400</v>
      </c>
      <c r="D30" s="54">
        <f>IFERROR(C30/4.33,0)</f>
        <v>92.378752886836025</v>
      </c>
      <c r="H30" s="7"/>
    </row>
    <row r="31" spans="1:8" ht="15" x14ac:dyDescent="0.3">
      <c r="A31" s="43" t="s">
        <v>67</v>
      </c>
      <c r="B31" s="46" t="s">
        <v>69</v>
      </c>
      <c r="C31" s="40" t="str">
        <f>IFERROR(VLOOKUP(B31,Liste!$C$7:$D$15,2,FALSE),"")</f>
        <v/>
      </c>
      <c r="D31" s="54">
        <f t="shared" ref="D31:D33" si="4">IFERROR(C31/4.33,0)</f>
        <v>0</v>
      </c>
      <c r="H31" s="7"/>
    </row>
    <row r="32" spans="1:8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4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4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0</v>
      </c>
      <c r="D34" s="54">
        <f>(B11*D5/100)*C34</f>
        <v>0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1.365</v>
      </c>
      <c r="D35" s="54">
        <f>(D5*B11/100)*C35</f>
        <v>968.25237600000003</v>
      </c>
      <c r="H35" s="7"/>
    </row>
    <row r="36" spans="1:8" ht="15" x14ac:dyDescent="0.3">
      <c r="A36" s="43" t="s">
        <v>3</v>
      </c>
      <c r="B36" s="42"/>
      <c r="C36" s="65">
        <v>0</v>
      </c>
      <c r="D36" s="54">
        <f>(D6*B11)*C36</f>
        <v>0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81.44</v>
      </c>
      <c r="E38" s="49"/>
      <c r="H38" s="7"/>
    </row>
    <row r="39" spans="1:8" ht="15" x14ac:dyDescent="0.25">
      <c r="A39" s="43" t="s">
        <v>13</v>
      </c>
      <c r="B39" s="41">
        <f>B12</f>
        <v>33.979999999999997</v>
      </c>
      <c r="C39" s="56">
        <v>5</v>
      </c>
      <c r="D39" s="54">
        <f>(C39*B39)</f>
        <v>169.89999999999998</v>
      </c>
      <c r="E39" s="85"/>
      <c r="H39" s="7"/>
    </row>
    <row r="40" spans="1:8" ht="15" x14ac:dyDescent="0.25">
      <c r="A40" s="43" t="s">
        <v>14</v>
      </c>
      <c r="B40" s="48" t="s">
        <v>56</v>
      </c>
      <c r="C40" s="40">
        <v>1</v>
      </c>
      <c r="D40" s="40">
        <v>1230.07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3234.881775538106</v>
      </c>
    </row>
    <row r="46" spans="1:8" x14ac:dyDescent="0.25">
      <c r="C46" s="6" t="s">
        <v>49</v>
      </c>
      <c r="D46" s="47">
        <f>F24-D45</f>
        <v>1338.9553244618937</v>
      </c>
    </row>
    <row r="48" spans="1:8" ht="39" customHeight="1" x14ac:dyDescent="0.25">
      <c r="C48" s="58" t="s">
        <v>48</v>
      </c>
      <c r="D48" s="59">
        <f>D46/F24</f>
        <v>0.29274224140205907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31B5C0A2-C968-4A56-B47F-57A8D4701913}"/>
  </hyperlink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3A92DAB-88B8-4278-AE8D-8379FD27B83F}">
          <x14:formula1>
            <xm:f>Liste!$C$2:$C$5</xm:f>
          </x14:formula1>
          <xm:sqref>B29</xm:sqref>
        </x14:dataValidation>
        <x14:dataValidation type="list" allowBlank="1" showInputMessage="1" showErrorMessage="1" xr:uid="{078E7F7F-2534-435C-918D-7DAD7764C4EE}">
          <x14:formula1>
            <xm:f>Liste!$A$21:$A$22</xm:f>
          </x14:formula1>
          <xm:sqref>B40</xm:sqref>
        </x14:dataValidation>
        <x14:dataValidation type="list" allowBlank="1" showInputMessage="1" showErrorMessage="1" xr:uid="{9E6C45A9-5906-4D08-874D-9BEA7CB9111C}">
          <x14:formula1>
            <xm:f>Liste!$A$24:$A$25</xm:f>
          </x14:formula1>
          <xm:sqref>B42</xm:sqref>
        </x14:dataValidation>
        <x14:dataValidation type="list" allowBlank="1" showInputMessage="1" showErrorMessage="1" xr:uid="{05B78846-1023-479D-AAC1-FCFB8772BC40}">
          <x14:formula1>
            <xm:f>Liste!$C$7:$C$16</xm:f>
          </x14:formula1>
          <xm:sqref>B30:B33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A238-72C2-4A47-B3ED-61F0D5FEB240}">
  <sheetPr>
    <tabColor theme="4" tint="0.39997558519241921"/>
  </sheetPr>
  <dimension ref="A1:H48"/>
  <sheetViews>
    <sheetView topLeftCell="A27" workbookViewId="0">
      <selection activeCell="F28" sqref="F28"/>
    </sheetView>
  </sheetViews>
  <sheetFormatPr baseColWidth="10" defaultColWidth="11.44140625" defaultRowHeight="13.2" x14ac:dyDescent="0.25"/>
  <cols>
    <col min="1" max="1" width="32.44140625" style="1" customWidth="1"/>
    <col min="2" max="2" width="20.6640625" style="1" customWidth="1"/>
    <col min="3" max="3" width="20.44140625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11.332031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7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7" x14ac:dyDescent="0.25">
      <c r="A3" s="126" t="s">
        <v>5</v>
      </c>
      <c r="B3" s="126"/>
      <c r="C3" s="126"/>
      <c r="D3" s="126"/>
      <c r="E3" s="126"/>
      <c r="F3" s="126"/>
      <c r="G3" s="126"/>
    </row>
    <row r="4" spans="1:7" ht="15" x14ac:dyDescent="0.25">
      <c r="A4" s="2"/>
      <c r="B4" s="5" t="s">
        <v>10</v>
      </c>
      <c r="D4" s="11" t="s">
        <v>12</v>
      </c>
      <c r="F4" s="129" t="s">
        <v>15</v>
      </c>
      <c r="G4" s="130" t="s">
        <v>688</v>
      </c>
    </row>
    <row r="5" spans="1:7" ht="15" x14ac:dyDescent="0.25">
      <c r="A5" s="5" t="s">
        <v>8</v>
      </c>
      <c r="B5" s="10" t="s">
        <v>682</v>
      </c>
      <c r="C5" s="10"/>
      <c r="D5" s="17">
        <v>33.5</v>
      </c>
      <c r="E5" s="6"/>
      <c r="F5" s="129"/>
      <c r="G5" s="131"/>
    </row>
    <row r="6" spans="1:7" ht="15" x14ac:dyDescent="0.25">
      <c r="A6" s="5" t="s">
        <v>9</v>
      </c>
      <c r="B6" s="10" t="s">
        <v>83</v>
      </c>
      <c r="C6" s="10"/>
      <c r="D6" s="6">
        <v>1.9E-2</v>
      </c>
      <c r="F6" s="2"/>
      <c r="G6" s="2"/>
    </row>
    <row r="7" spans="1:7" ht="15" x14ac:dyDescent="0.25">
      <c r="A7" s="5" t="s">
        <v>16</v>
      </c>
      <c r="B7" s="12" t="s">
        <v>683</v>
      </c>
      <c r="C7" s="12"/>
    </row>
    <row r="8" spans="1:7" ht="15" x14ac:dyDescent="0.25">
      <c r="A8" s="11" t="s">
        <v>71</v>
      </c>
      <c r="B8" s="18">
        <v>63.08</v>
      </c>
    </row>
    <row r="9" spans="1:7" x14ac:dyDescent="0.25">
      <c r="A9" s="11" t="s">
        <v>72</v>
      </c>
      <c r="B9" s="77">
        <v>54.09</v>
      </c>
    </row>
    <row r="10" spans="1:7" ht="15" x14ac:dyDescent="0.25">
      <c r="A10" s="5"/>
      <c r="B10" s="11" t="s">
        <v>70</v>
      </c>
      <c r="C10" s="2"/>
      <c r="D10" s="2"/>
      <c r="G10" s="11" t="s">
        <v>61</v>
      </c>
    </row>
    <row r="11" spans="1:7" ht="15" x14ac:dyDescent="0.25">
      <c r="B11" s="17">
        <v>1408</v>
      </c>
      <c r="D11" s="2"/>
      <c r="G11" s="18">
        <v>0</v>
      </c>
    </row>
    <row r="12" spans="1:7" ht="15.6" x14ac:dyDescent="0.3">
      <c r="A12" s="5" t="s">
        <v>62</v>
      </c>
      <c r="B12" s="17">
        <v>34.74</v>
      </c>
      <c r="C12" s="72"/>
      <c r="D12" s="2"/>
      <c r="E12" s="2"/>
      <c r="F12" s="53" t="s">
        <v>55</v>
      </c>
      <c r="G12" s="53" t="s">
        <v>56</v>
      </c>
    </row>
    <row r="13" spans="1:7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7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7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7" x14ac:dyDescent="0.25">
      <c r="A16" s="66" t="s">
        <v>681</v>
      </c>
      <c r="B16" s="66" t="s">
        <v>284</v>
      </c>
      <c r="C16" s="66">
        <v>2.5021</v>
      </c>
      <c r="D16" s="66">
        <f>84+84+168+336+420</f>
        <v>1092</v>
      </c>
      <c r="E16" s="68">
        <f>C16*D16</f>
        <v>2732.2932000000001</v>
      </c>
      <c r="F16" s="68">
        <v>0</v>
      </c>
      <c r="G16" s="68">
        <f>(E16+F16)</f>
        <v>2732.2932000000001</v>
      </c>
    </row>
    <row r="17" spans="1:8" x14ac:dyDescent="0.25">
      <c r="A17" s="66" t="s">
        <v>370</v>
      </c>
      <c r="B17" s="66" t="s">
        <v>258</v>
      </c>
      <c r="C17" s="66">
        <v>2.5021</v>
      </c>
      <c r="D17" s="66">
        <v>103</v>
      </c>
      <c r="E17" s="68">
        <f t="shared" ref="E17:E22" si="0">C17*D17</f>
        <v>257.71629999999999</v>
      </c>
      <c r="F17" s="66">
        <v>0</v>
      </c>
      <c r="G17" s="68">
        <f t="shared" ref="G17" si="1">(E17*F17)+E17</f>
        <v>257.71629999999999</v>
      </c>
    </row>
    <row r="18" spans="1:8" x14ac:dyDescent="0.25">
      <c r="A18" s="66"/>
      <c r="B18" s="66"/>
      <c r="C18" s="66"/>
      <c r="D18" s="66"/>
      <c r="E18" s="66"/>
      <c r="F18" s="115"/>
      <c r="G18" s="68"/>
    </row>
    <row r="19" spans="1:8" x14ac:dyDescent="0.25">
      <c r="A19" s="115" t="s">
        <v>684</v>
      </c>
      <c r="B19" s="66" t="s">
        <v>208</v>
      </c>
      <c r="C19" s="66">
        <v>4.1631</v>
      </c>
      <c r="D19" s="66">
        <f>10*5</f>
        <v>50</v>
      </c>
      <c r="E19" s="66">
        <f t="shared" si="0"/>
        <v>208.155</v>
      </c>
      <c r="F19" s="66">
        <v>0</v>
      </c>
      <c r="G19" s="68">
        <f t="shared" ref="G19:G22" si="2">(E19*F19)+E19</f>
        <v>208.155</v>
      </c>
    </row>
    <row r="20" spans="1:8" ht="15" customHeight="1" x14ac:dyDescent="0.25">
      <c r="A20" s="15"/>
      <c r="B20" s="66"/>
      <c r="C20" s="69"/>
      <c r="D20" s="69"/>
      <c r="E20" s="66">
        <f t="shared" si="0"/>
        <v>0</v>
      </c>
      <c r="F20" s="66"/>
      <c r="G20" s="68">
        <f t="shared" si="2"/>
        <v>0</v>
      </c>
    </row>
    <row r="21" spans="1:8" ht="15" customHeight="1" x14ac:dyDescent="0.25">
      <c r="A21" s="15"/>
      <c r="B21" s="66"/>
      <c r="C21" s="69"/>
      <c r="D21" s="69"/>
      <c r="E21" s="66">
        <f t="shared" si="0"/>
        <v>0</v>
      </c>
      <c r="F21" s="66"/>
      <c r="G21" s="68">
        <f t="shared" si="2"/>
        <v>0</v>
      </c>
    </row>
    <row r="22" spans="1:8" ht="15" customHeight="1" x14ac:dyDescent="0.25">
      <c r="A22" s="66"/>
      <c r="B22" s="69"/>
      <c r="C22" s="69"/>
      <c r="D22" s="69"/>
      <c r="E22" s="66">
        <f t="shared" si="0"/>
        <v>0</v>
      </c>
      <c r="F22" s="66"/>
      <c r="G22" s="68">
        <f t="shared" si="2"/>
        <v>0</v>
      </c>
    </row>
    <row r="23" spans="1:8" ht="15" x14ac:dyDescent="0.25">
      <c r="A23" s="2"/>
      <c r="B23" s="2"/>
      <c r="C23" s="2"/>
      <c r="D23" s="2"/>
      <c r="E23" s="2"/>
      <c r="F23" s="2"/>
      <c r="G23" s="2"/>
    </row>
    <row r="24" spans="1:8" ht="30" customHeight="1" x14ac:dyDescent="0.25">
      <c r="A24" s="106" t="s">
        <v>685</v>
      </c>
      <c r="B24" s="132" t="s">
        <v>11</v>
      </c>
      <c r="C24" s="132"/>
      <c r="D24" s="132"/>
      <c r="E24" s="132"/>
      <c r="F24" s="113">
        <f>SUM(G16:G22)</f>
        <v>3198.1645000000003</v>
      </c>
      <c r="G24" s="113"/>
    </row>
    <row r="25" spans="1:8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8" ht="15" x14ac:dyDescent="0.25">
      <c r="A26" s="2"/>
      <c r="B26" s="2"/>
      <c r="C26" s="2"/>
      <c r="D26" s="2"/>
      <c r="E26" s="2"/>
      <c r="F26" s="2"/>
      <c r="G26" s="2"/>
    </row>
    <row r="27" spans="1:8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8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8" ht="15" x14ac:dyDescent="0.25">
      <c r="A29" s="43" t="s">
        <v>236</v>
      </c>
      <c r="B29" s="41" t="s">
        <v>368</v>
      </c>
      <c r="C29" s="40">
        <f>IFERROR(VLOOKUP(B29,Liste!C1:D5,2,FALSE),"")</f>
        <v>3000</v>
      </c>
      <c r="D29" s="54">
        <f>IFERROR(C29/4.33,0)</f>
        <v>692.84064665127016</v>
      </c>
      <c r="H29" s="7"/>
    </row>
    <row r="30" spans="1:8" ht="15" x14ac:dyDescent="0.3">
      <c r="A30" s="43" t="s">
        <v>66</v>
      </c>
      <c r="B30" s="46" t="s">
        <v>43</v>
      </c>
      <c r="C30" s="40">
        <f>IFERROR(VLOOKUP(B30,Liste!$C$7:$D$15,2,FALSE),"")</f>
        <v>400</v>
      </c>
      <c r="D30" s="54">
        <f>IFERROR(C30/4.33,0)</f>
        <v>92.378752886836025</v>
      </c>
      <c r="H30" s="7"/>
    </row>
    <row r="31" spans="1:8" ht="15" x14ac:dyDescent="0.3">
      <c r="A31" s="43" t="s">
        <v>67</v>
      </c>
      <c r="B31" s="46" t="s">
        <v>69</v>
      </c>
      <c r="C31" s="40" t="str">
        <f>IFERROR(VLOOKUP(B31,Liste!$C$7:$D$15,2,FALSE),"")</f>
        <v/>
      </c>
      <c r="D31" s="54">
        <f t="shared" ref="D31:D33" si="3">IFERROR(C31/4.33,0)</f>
        <v>0</v>
      </c>
      <c r="H31" s="7"/>
    </row>
    <row r="32" spans="1:8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3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3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0</v>
      </c>
      <c r="D34" s="54">
        <f>(B11*D5/100)*C34</f>
        <v>0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1.365</v>
      </c>
      <c r="D35" s="54">
        <f>(D5*B11/100)*C35</f>
        <v>643.84320000000002</v>
      </c>
      <c r="H35" s="7"/>
    </row>
    <row r="36" spans="1:8" ht="15" x14ac:dyDescent="0.3">
      <c r="A36" s="43" t="s">
        <v>3</v>
      </c>
      <c r="B36" s="42"/>
      <c r="C36" s="65">
        <v>0</v>
      </c>
      <c r="D36" s="54">
        <f>(D6*B11)*C36</f>
        <v>0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56.32</v>
      </c>
      <c r="E38" s="49"/>
      <c r="H38" s="7"/>
    </row>
    <row r="39" spans="1:8" ht="15" x14ac:dyDescent="0.25">
      <c r="A39" s="43" t="s">
        <v>13</v>
      </c>
      <c r="B39" s="41">
        <f>B12</f>
        <v>34.74</v>
      </c>
      <c r="C39" s="56">
        <v>5</v>
      </c>
      <c r="D39" s="54">
        <f>13*9.16</f>
        <v>119.08</v>
      </c>
      <c r="E39" s="85"/>
      <c r="H39" s="7"/>
    </row>
    <row r="40" spans="1:8" ht="15" x14ac:dyDescent="0.25">
      <c r="A40" s="43" t="s">
        <v>14</v>
      </c>
      <c r="B40" s="48" t="s">
        <v>56</v>
      </c>
      <c r="C40" s="40">
        <v>1</v>
      </c>
      <c r="D40" s="40">
        <v>1297.18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2901.642599538106</v>
      </c>
    </row>
    <row r="46" spans="1:8" x14ac:dyDescent="0.25">
      <c r="C46" s="6" t="s">
        <v>49</v>
      </c>
      <c r="D46" s="47">
        <f>F24-D45</f>
        <v>296.52190046189435</v>
      </c>
    </row>
    <row r="48" spans="1:8" ht="39" customHeight="1" x14ac:dyDescent="0.25">
      <c r="C48" s="58" t="s">
        <v>48</v>
      </c>
      <c r="D48" s="59">
        <f>D46/F24</f>
        <v>9.2716275370417725E-2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54DFA555-6B64-4509-BC46-046E03F9B225}"/>
  </hyperlink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21554E6-BC05-4D5C-9E31-D1ED8CC19317}">
          <x14:formula1>
            <xm:f>Liste!$C$7:$C$16</xm:f>
          </x14:formula1>
          <xm:sqref>B30:B33</xm:sqref>
        </x14:dataValidation>
        <x14:dataValidation type="list" allowBlank="1" showInputMessage="1" showErrorMessage="1" xr:uid="{55CA9000-DF06-493B-92CF-D7E4ADB8372E}">
          <x14:formula1>
            <xm:f>Liste!$A$24:$A$25</xm:f>
          </x14:formula1>
          <xm:sqref>B42</xm:sqref>
        </x14:dataValidation>
        <x14:dataValidation type="list" allowBlank="1" showInputMessage="1" showErrorMessage="1" xr:uid="{2EDBD010-3982-4764-93AF-28A0091A6570}">
          <x14:formula1>
            <xm:f>Liste!$A$21:$A$22</xm:f>
          </x14:formula1>
          <xm:sqref>B40</xm:sqref>
        </x14:dataValidation>
        <x14:dataValidation type="list" allowBlank="1" showInputMessage="1" showErrorMessage="1" xr:uid="{28B2F450-74FA-402D-A4F3-791C541846EC}">
          <x14:formula1>
            <xm:f>Liste!$C$2:$C$5</xm:f>
          </x14:formula1>
          <xm:sqref>B29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F1560-8A3F-47C4-A32B-A100B51EE943}">
  <sheetPr>
    <tabColor theme="4" tint="0.39997558519241921"/>
  </sheetPr>
  <dimension ref="A1:H48"/>
  <sheetViews>
    <sheetView topLeftCell="A30" workbookViewId="0">
      <selection activeCell="D46" sqref="D46"/>
    </sheetView>
  </sheetViews>
  <sheetFormatPr baseColWidth="10" defaultColWidth="11.44140625" defaultRowHeight="13.2" x14ac:dyDescent="0.25"/>
  <cols>
    <col min="1" max="1" width="32.44140625" style="1" customWidth="1"/>
    <col min="2" max="2" width="20.6640625" style="1" customWidth="1"/>
    <col min="3" max="3" width="20.44140625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7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7" x14ac:dyDescent="0.25">
      <c r="A3" s="126" t="s">
        <v>5</v>
      </c>
      <c r="B3" s="126"/>
      <c r="C3" s="126"/>
      <c r="D3" s="126"/>
      <c r="E3" s="126"/>
      <c r="F3" s="126"/>
      <c r="G3" s="126"/>
    </row>
    <row r="4" spans="1:7" ht="15" x14ac:dyDescent="0.25">
      <c r="A4" s="2"/>
      <c r="B4" s="5" t="s">
        <v>10</v>
      </c>
      <c r="D4" s="11" t="s">
        <v>12</v>
      </c>
      <c r="F4" s="129" t="s">
        <v>15</v>
      </c>
      <c r="G4" s="130" t="s">
        <v>689</v>
      </c>
    </row>
    <row r="5" spans="1:7" ht="15" x14ac:dyDescent="0.25">
      <c r="A5" s="5" t="s">
        <v>8</v>
      </c>
      <c r="B5" s="10" t="s">
        <v>373</v>
      </c>
      <c r="C5" s="10"/>
      <c r="D5" s="17">
        <v>30.54</v>
      </c>
      <c r="E5" s="6"/>
      <c r="F5" s="129"/>
      <c r="G5" s="131"/>
    </row>
    <row r="6" spans="1:7" ht="15" x14ac:dyDescent="0.25">
      <c r="A6" s="5" t="s">
        <v>9</v>
      </c>
      <c r="B6" s="10" t="s">
        <v>83</v>
      </c>
      <c r="C6" s="10"/>
      <c r="D6" s="6">
        <v>1.9E-2</v>
      </c>
      <c r="F6" s="2"/>
      <c r="G6" s="2"/>
    </row>
    <row r="7" spans="1:7" ht="15" x14ac:dyDescent="0.25">
      <c r="A7" s="5" t="s">
        <v>16</v>
      </c>
      <c r="B7" s="12" t="s">
        <v>374</v>
      </c>
      <c r="C7" s="12"/>
    </row>
    <row r="8" spans="1:7" ht="15" x14ac:dyDescent="0.25">
      <c r="A8" s="11" t="s">
        <v>71</v>
      </c>
      <c r="B8" s="18">
        <v>58.81</v>
      </c>
    </row>
    <row r="9" spans="1:7" x14ac:dyDescent="0.25">
      <c r="A9" s="11" t="s">
        <v>72</v>
      </c>
      <c r="B9" s="77">
        <v>52.42</v>
      </c>
    </row>
    <row r="10" spans="1:7" ht="15" x14ac:dyDescent="0.25">
      <c r="A10" s="5"/>
      <c r="B10" s="11" t="s">
        <v>70</v>
      </c>
      <c r="C10" s="2"/>
      <c r="D10" s="2"/>
      <c r="G10" s="11" t="s">
        <v>61</v>
      </c>
    </row>
    <row r="11" spans="1:7" ht="15" x14ac:dyDescent="0.25">
      <c r="B11" s="17">
        <v>3121</v>
      </c>
      <c r="D11" s="2"/>
      <c r="G11" s="18">
        <v>0</v>
      </c>
    </row>
    <row r="12" spans="1:7" ht="15.6" x14ac:dyDescent="0.3">
      <c r="A12" s="5" t="s">
        <v>62</v>
      </c>
      <c r="B12" s="17">
        <v>165.76</v>
      </c>
      <c r="C12" s="72"/>
      <c r="D12" s="2"/>
      <c r="E12" s="2"/>
      <c r="F12" s="53" t="s">
        <v>55</v>
      </c>
      <c r="G12" s="53" t="s">
        <v>56</v>
      </c>
    </row>
    <row r="13" spans="1:7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7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7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7" x14ac:dyDescent="0.25">
      <c r="A16" s="66" t="s">
        <v>375</v>
      </c>
      <c r="B16" s="66" t="s">
        <v>208</v>
      </c>
      <c r="C16" s="66">
        <v>800</v>
      </c>
      <c r="D16" s="66">
        <v>5</v>
      </c>
      <c r="E16" s="68">
        <f>C16*D16</f>
        <v>4000</v>
      </c>
      <c r="F16" s="87">
        <v>-2.2599999999999999E-2</v>
      </c>
      <c r="G16" s="68">
        <f t="shared" ref="G16:G18" si="0">(E16*F16)+E16</f>
        <v>3909.6</v>
      </c>
    </row>
    <row r="17" spans="1:8" x14ac:dyDescent="0.25">
      <c r="A17" s="66"/>
      <c r="B17" s="66"/>
      <c r="C17" s="66"/>
      <c r="D17" s="66"/>
      <c r="E17" s="68">
        <f t="shared" ref="E17:E22" si="1">C17*D17</f>
        <v>0</v>
      </c>
      <c r="F17" s="66"/>
      <c r="G17" s="68">
        <f t="shared" si="0"/>
        <v>0</v>
      </c>
    </row>
    <row r="18" spans="1:8" x14ac:dyDescent="0.25">
      <c r="A18" s="83" t="s">
        <v>269</v>
      </c>
      <c r="B18" s="66"/>
      <c r="C18" s="66"/>
      <c r="D18" s="66"/>
      <c r="E18" s="66">
        <f t="shared" si="1"/>
        <v>0</v>
      </c>
      <c r="F18" s="68"/>
      <c r="G18" s="68">
        <f t="shared" si="0"/>
        <v>0</v>
      </c>
    </row>
    <row r="19" spans="1:8" x14ac:dyDescent="0.25">
      <c r="A19" s="83"/>
      <c r="B19" s="66"/>
      <c r="C19" s="66"/>
      <c r="D19" s="66"/>
      <c r="E19" s="66">
        <f t="shared" si="1"/>
        <v>0</v>
      </c>
      <c r="F19" s="66"/>
      <c r="G19" s="68">
        <f t="shared" ref="G19:G22" si="2">(E19*F19)+E19</f>
        <v>0</v>
      </c>
    </row>
    <row r="20" spans="1:8" ht="15" customHeight="1" x14ac:dyDescent="0.25">
      <c r="A20" s="15"/>
      <c r="B20" s="66"/>
      <c r="C20" s="69"/>
      <c r="D20" s="69"/>
      <c r="E20" s="66">
        <f t="shared" si="1"/>
        <v>0</v>
      </c>
      <c r="F20" s="66"/>
      <c r="G20" s="68">
        <f t="shared" si="2"/>
        <v>0</v>
      </c>
    </row>
    <row r="21" spans="1:8" ht="15" customHeight="1" x14ac:dyDescent="0.25">
      <c r="A21" s="15"/>
      <c r="B21" s="66"/>
      <c r="C21" s="69"/>
      <c r="D21" s="69"/>
      <c r="E21" s="66">
        <f t="shared" si="1"/>
        <v>0</v>
      </c>
      <c r="F21" s="66"/>
      <c r="G21" s="68">
        <f t="shared" si="2"/>
        <v>0</v>
      </c>
    </row>
    <row r="22" spans="1:8" ht="15" customHeight="1" x14ac:dyDescent="0.25">
      <c r="A22" s="66"/>
      <c r="B22" s="69"/>
      <c r="C22" s="69"/>
      <c r="D22" s="69"/>
      <c r="E22" s="66">
        <f t="shared" si="1"/>
        <v>0</v>
      </c>
      <c r="F22" s="66"/>
      <c r="G22" s="68">
        <f t="shared" si="2"/>
        <v>0</v>
      </c>
    </row>
    <row r="23" spans="1:8" ht="15" x14ac:dyDescent="0.25">
      <c r="A23" s="2"/>
      <c r="B23" s="2"/>
      <c r="C23" s="2"/>
      <c r="D23" s="2"/>
      <c r="E23" s="2"/>
      <c r="F23" s="2"/>
      <c r="G23" s="2"/>
    </row>
    <row r="24" spans="1:8" ht="30" customHeight="1" x14ac:dyDescent="0.25">
      <c r="A24" s="106" t="s">
        <v>306</v>
      </c>
      <c r="B24" s="132" t="s">
        <v>11</v>
      </c>
      <c r="C24" s="132"/>
      <c r="D24" s="132"/>
      <c r="E24" s="132"/>
      <c r="F24" s="113">
        <f>SUM(G16:G22)</f>
        <v>3909.6</v>
      </c>
      <c r="G24" s="113"/>
    </row>
    <row r="25" spans="1:8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8" ht="15" x14ac:dyDescent="0.25">
      <c r="A26" s="2"/>
      <c r="B26" s="2"/>
      <c r="C26" s="2"/>
      <c r="D26" s="2"/>
      <c r="E26" s="2"/>
      <c r="F26" s="2"/>
      <c r="G26" s="2"/>
    </row>
    <row r="27" spans="1:8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8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8" ht="15" x14ac:dyDescent="0.25">
      <c r="A29" s="43" t="s">
        <v>236</v>
      </c>
      <c r="B29" s="41" t="s">
        <v>86</v>
      </c>
      <c r="C29" s="40">
        <f>IFERROR(VLOOKUP(B29,Liste!C1:D5,2,FALSE),"")</f>
        <v>2500</v>
      </c>
      <c r="D29" s="54">
        <f>IFERROR(C29/4.33,0)</f>
        <v>577.36720554272517</v>
      </c>
      <c r="H29" s="7"/>
    </row>
    <row r="30" spans="1:8" ht="15" x14ac:dyDescent="0.3">
      <c r="A30" s="43" t="s">
        <v>66</v>
      </c>
      <c r="B30" s="46" t="s">
        <v>43</v>
      </c>
      <c r="C30" s="40">
        <f>IFERROR(VLOOKUP(B30,Liste!$C$7:$D$15,2,FALSE),"")</f>
        <v>400</v>
      </c>
      <c r="D30" s="54">
        <f>IFERROR(C30/4.33,0)</f>
        <v>92.378752886836025</v>
      </c>
      <c r="H30" s="7"/>
    </row>
    <row r="31" spans="1:8" ht="15" x14ac:dyDescent="0.3">
      <c r="A31" s="43" t="s">
        <v>67</v>
      </c>
      <c r="B31" s="46" t="s">
        <v>69</v>
      </c>
      <c r="C31" s="40" t="str">
        <f>IFERROR(VLOOKUP(B31,Liste!$C$7:$D$15,2,FALSE),"")</f>
        <v/>
      </c>
      <c r="D31" s="54">
        <f t="shared" ref="D31:D33" si="3">IFERROR(C31/4.33,0)</f>
        <v>0</v>
      </c>
      <c r="H31" s="7"/>
    </row>
    <row r="32" spans="1:8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3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3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1.3553999999999999</v>
      </c>
      <c r="D34" s="54">
        <f>(B11*D5/100)*C34</f>
        <v>1291.9041183599998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0</v>
      </c>
      <c r="D35" s="54">
        <f>(D5*B11/100)*C35</f>
        <v>0</v>
      </c>
      <c r="H35" s="7"/>
    </row>
    <row r="36" spans="1:8" ht="15" x14ac:dyDescent="0.3">
      <c r="A36" s="43" t="s">
        <v>3</v>
      </c>
      <c r="B36" s="42"/>
      <c r="C36" s="65">
        <v>0.43090000000000001</v>
      </c>
      <c r="D36" s="54">
        <f>(D6*B11)*C36</f>
        <v>25.551939099999998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124.84</v>
      </c>
      <c r="E38" s="49"/>
      <c r="H38" s="7"/>
    </row>
    <row r="39" spans="1:8" ht="15" x14ac:dyDescent="0.25">
      <c r="A39" s="43" t="s">
        <v>13</v>
      </c>
      <c r="B39" s="41">
        <f>B12</f>
        <v>165.76</v>
      </c>
      <c r="C39" s="56">
        <v>5</v>
      </c>
      <c r="D39" s="54">
        <f>(C39*B39)</f>
        <v>828.8</v>
      </c>
      <c r="E39" s="85"/>
      <c r="H39" s="7"/>
    </row>
    <row r="40" spans="1:8" ht="15" x14ac:dyDescent="0.25">
      <c r="A40" s="43" t="s">
        <v>14</v>
      </c>
      <c r="B40" s="48" t="s">
        <v>56</v>
      </c>
      <c r="C40" s="40">
        <v>1</v>
      </c>
      <c r="D40" s="40">
        <v>977.57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3918.4120158895607</v>
      </c>
    </row>
    <row r="46" spans="1:8" x14ac:dyDescent="0.25">
      <c r="C46" s="6" t="s">
        <v>49</v>
      </c>
      <c r="D46" s="47">
        <f>F24-D45</f>
        <v>-8.8120158895608256</v>
      </c>
    </row>
    <row r="48" spans="1:8" ht="39" customHeight="1" x14ac:dyDescent="0.25">
      <c r="C48" s="58" t="s">
        <v>48</v>
      </c>
      <c r="D48" s="59">
        <f>D46/F24</f>
        <v>-2.2539430861369006E-3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450EB201-3B43-4163-8DE7-BE51B2AB6DDE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D0A38D6-C0A7-4277-A23F-0F159030FCF8}">
          <x14:formula1>
            <xm:f>Liste!$C$7:$C$16</xm:f>
          </x14:formula1>
          <xm:sqref>B30:B33</xm:sqref>
        </x14:dataValidation>
        <x14:dataValidation type="list" allowBlank="1" showInputMessage="1" showErrorMessage="1" xr:uid="{79CC0C77-11F9-45F0-9D43-D610DED0AAC4}">
          <x14:formula1>
            <xm:f>Liste!$A$24:$A$25</xm:f>
          </x14:formula1>
          <xm:sqref>B42</xm:sqref>
        </x14:dataValidation>
        <x14:dataValidation type="list" allowBlank="1" showInputMessage="1" showErrorMessage="1" xr:uid="{9AFF495B-35C6-4086-8622-C2510AAFFA5E}">
          <x14:formula1>
            <xm:f>Liste!$A$21:$A$22</xm:f>
          </x14:formula1>
          <xm:sqref>B40</xm:sqref>
        </x14:dataValidation>
        <x14:dataValidation type="list" allowBlank="1" showInputMessage="1" showErrorMessage="1" xr:uid="{F90A2836-5130-46BC-9906-51CF86C5A4C3}">
          <x14:formula1>
            <xm:f>Liste!$C$2:$C$5</xm:f>
          </x14:formula1>
          <xm:sqref>B29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9D38B-7C11-4DFB-940D-3125E814A4F8}">
  <sheetPr>
    <tabColor theme="4" tint="0.39997558519241921"/>
  </sheetPr>
  <dimension ref="A1:H48"/>
  <sheetViews>
    <sheetView workbookViewId="0">
      <selection sqref="A1:XFD1048576"/>
    </sheetView>
  </sheetViews>
  <sheetFormatPr baseColWidth="10" defaultColWidth="11.44140625" defaultRowHeight="13.2" x14ac:dyDescent="0.25"/>
  <cols>
    <col min="1" max="1" width="32.44140625" style="1" customWidth="1"/>
    <col min="2" max="2" width="20.6640625" style="1" customWidth="1"/>
    <col min="3" max="3" width="20.44140625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7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7" x14ac:dyDescent="0.25">
      <c r="A3" s="126" t="s">
        <v>5</v>
      </c>
      <c r="B3" s="126"/>
      <c r="C3" s="126"/>
      <c r="D3" s="126"/>
      <c r="E3" s="126"/>
      <c r="F3" s="126"/>
      <c r="G3" s="126"/>
    </row>
    <row r="4" spans="1:7" ht="15" x14ac:dyDescent="0.25">
      <c r="A4" s="2"/>
      <c r="B4" s="5" t="s">
        <v>10</v>
      </c>
      <c r="D4" s="11" t="s">
        <v>12</v>
      </c>
      <c r="F4" s="129" t="s">
        <v>15</v>
      </c>
      <c r="G4" s="130" t="s">
        <v>688</v>
      </c>
    </row>
    <row r="5" spans="1:7" ht="15" x14ac:dyDescent="0.25">
      <c r="A5" s="5" t="s">
        <v>8</v>
      </c>
      <c r="B5" s="10" t="s">
        <v>377</v>
      </c>
      <c r="C5" s="10"/>
      <c r="D5" s="17">
        <v>30.32</v>
      </c>
      <c r="E5" s="6"/>
      <c r="F5" s="129"/>
      <c r="G5" s="131"/>
    </row>
    <row r="6" spans="1:7" ht="15" x14ac:dyDescent="0.25">
      <c r="A6" s="5" t="s">
        <v>9</v>
      </c>
      <c r="B6" s="10" t="s">
        <v>83</v>
      </c>
      <c r="C6" s="10"/>
      <c r="D6" s="6">
        <v>1.9E-2</v>
      </c>
      <c r="F6" s="2"/>
      <c r="G6" s="2"/>
    </row>
    <row r="7" spans="1:7" ht="15" x14ac:dyDescent="0.25">
      <c r="A7" s="5" t="s">
        <v>16</v>
      </c>
      <c r="B7" s="12" t="s">
        <v>378</v>
      </c>
      <c r="C7" s="12"/>
    </row>
    <row r="8" spans="1:7" ht="15" x14ac:dyDescent="0.25">
      <c r="A8" s="11" t="s">
        <v>71</v>
      </c>
      <c r="B8" s="18">
        <v>54.18</v>
      </c>
    </row>
    <row r="9" spans="1:7" x14ac:dyDescent="0.25">
      <c r="A9" s="11" t="s">
        <v>72</v>
      </c>
      <c r="B9" s="77">
        <v>42.12</v>
      </c>
    </row>
    <row r="10" spans="1:7" ht="15" x14ac:dyDescent="0.25">
      <c r="A10" s="5"/>
      <c r="B10" s="11" t="s">
        <v>70</v>
      </c>
      <c r="C10" s="2"/>
      <c r="D10" s="2"/>
      <c r="G10" s="11" t="s">
        <v>61</v>
      </c>
    </row>
    <row r="11" spans="1:7" ht="15" x14ac:dyDescent="0.25">
      <c r="B11" s="17">
        <v>2607</v>
      </c>
      <c r="D11" s="2"/>
      <c r="G11" s="18">
        <v>0</v>
      </c>
    </row>
    <row r="12" spans="1:7" ht="15.6" x14ac:dyDescent="0.3">
      <c r="A12" s="5" t="s">
        <v>62</v>
      </c>
      <c r="B12" s="17">
        <v>91.5</v>
      </c>
      <c r="C12" s="72"/>
      <c r="D12" s="2"/>
      <c r="E12" s="2"/>
      <c r="F12" s="53" t="s">
        <v>55</v>
      </c>
      <c r="G12" s="53" t="s">
        <v>56</v>
      </c>
    </row>
    <row r="13" spans="1:7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7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7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7" x14ac:dyDescent="0.25">
      <c r="A16" s="66" t="s">
        <v>376</v>
      </c>
      <c r="B16" s="66" t="s">
        <v>208</v>
      </c>
      <c r="C16" s="66">
        <v>680</v>
      </c>
      <c r="D16" s="66">
        <v>5</v>
      </c>
      <c r="E16" s="68">
        <f>C16*D16</f>
        <v>3400</v>
      </c>
      <c r="F16" s="87">
        <v>-2.2599999999999999E-2</v>
      </c>
      <c r="G16" s="68">
        <f t="shared" ref="G16:G22" si="0">(E16*F16)+E16</f>
        <v>3323.16</v>
      </c>
    </row>
    <row r="17" spans="1:8" x14ac:dyDescent="0.25">
      <c r="A17" s="66"/>
      <c r="B17" s="66"/>
      <c r="C17" s="66"/>
      <c r="D17" s="66"/>
      <c r="E17" s="68">
        <f t="shared" ref="E17:E22" si="1">C17*D17</f>
        <v>0</v>
      </c>
      <c r="F17" s="66"/>
      <c r="G17" s="68">
        <f t="shared" si="0"/>
        <v>0</v>
      </c>
    </row>
    <row r="18" spans="1:8" x14ac:dyDescent="0.25">
      <c r="A18" s="83" t="s">
        <v>269</v>
      </c>
      <c r="B18" s="66"/>
      <c r="C18" s="66"/>
      <c r="D18" s="66"/>
      <c r="E18" s="66">
        <f t="shared" si="1"/>
        <v>0</v>
      </c>
      <c r="F18" s="68"/>
      <c r="G18" s="68">
        <f t="shared" si="0"/>
        <v>0</v>
      </c>
    </row>
    <row r="19" spans="1:8" x14ac:dyDescent="0.25">
      <c r="A19" s="83"/>
      <c r="B19" s="66"/>
      <c r="C19" s="66"/>
      <c r="D19" s="66"/>
      <c r="E19" s="66">
        <f t="shared" si="1"/>
        <v>0</v>
      </c>
      <c r="F19" s="66"/>
      <c r="G19" s="68">
        <f t="shared" si="0"/>
        <v>0</v>
      </c>
    </row>
    <row r="20" spans="1:8" ht="15" customHeight="1" x14ac:dyDescent="0.25">
      <c r="A20" s="15"/>
      <c r="B20" s="66"/>
      <c r="C20" s="69"/>
      <c r="D20" s="69"/>
      <c r="E20" s="66">
        <f t="shared" si="1"/>
        <v>0</v>
      </c>
      <c r="F20" s="66"/>
      <c r="G20" s="68">
        <f t="shared" si="0"/>
        <v>0</v>
      </c>
    </row>
    <row r="21" spans="1:8" ht="15" customHeight="1" x14ac:dyDescent="0.25">
      <c r="A21" s="15"/>
      <c r="B21" s="66"/>
      <c r="C21" s="69"/>
      <c r="D21" s="69"/>
      <c r="E21" s="66">
        <f t="shared" si="1"/>
        <v>0</v>
      </c>
      <c r="F21" s="66"/>
      <c r="G21" s="68">
        <f t="shared" si="0"/>
        <v>0</v>
      </c>
    </row>
    <row r="22" spans="1:8" ht="15" customHeight="1" x14ac:dyDescent="0.25">
      <c r="A22" s="66"/>
      <c r="B22" s="69"/>
      <c r="C22" s="69"/>
      <c r="D22" s="69"/>
      <c r="E22" s="66">
        <f t="shared" si="1"/>
        <v>0</v>
      </c>
      <c r="F22" s="66"/>
      <c r="G22" s="68">
        <f t="shared" si="0"/>
        <v>0</v>
      </c>
    </row>
    <row r="23" spans="1:8" ht="15" x14ac:dyDescent="0.25">
      <c r="A23" s="2"/>
      <c r="B23" s="2"/>
      <c r="C23" s="2"/>
      <c r="D23" s="2"/>
      <c r="E23" s="2"/>
      <c r="F23" s="2"/>
      <c r="G23" s="2"/>
    </row>
    <row r="24" spans="1:8" ht="30" customHeight="1" x14ac:dyDescent="0.25">
      <c r="A24" s="106" t="s">
        <v>307</v>
      </c>
      <c r="B24" s="132" t="s">
        <v>11</v>
      </c>
      <c r="C24" s="132"/>
      <c r="D24" s="132"/>
      <c r="E24" s="132"/>
      <c r="F24" s="113">
        <f>SUM(G16:G22)</f>
        <v>3323.16</v>
      </c>
      <c r="G24" s="113"/>
    </row>
    <row r="25" spans="1:8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8" ht="15" x14ac:dyDescent="0.25">
      <c r="A26" s="2"/>
      <c r="B26" s="2"/>
      <c r="C26" s="2"/>
      <c r="D26" s="2"/>
      <c r="E26" s="2"/>
      <c r="F26" s="2"/>
      <c r="G26" s="2"/>
    </row>
    <row r="27" spans="1:8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8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8" ht="15" x14ac:dyDescent="0.25">
      <c r="A29" s="43" t="s">
        <v>236</v>
      </c>
      <c r="B29" s="41" t="s">
        <v>86</v>
      </c>
      <c r="C29" s="40">
        <f>IFERROR(VLOOKUP(B29,Liste!C1:D5,2,FALSE),"")</f>
        <v>2500</v>
      </c>
      <c r="D29" s="54">
        <f>IFERROR(C29/4.33,0)</f>
        <v>577.36720554272517</v>
      </c>
      <c r="H29" s="7"/>
    </row>
    <row r="30" spans="1:8" ht="15" x14ac:dyDescent="0.3">
      <c r="A30" s="43" t="s">
        <v>66</v>
      </c>
      <c r="B30" s="46" t="s">
        <v>43</v>
      </c>
      <c r="C30" s="40">
        <f>IFERROR(VLOOKUP(B30,Liste!$C$7:$D$15,2,FALSE),"")</f>
        <v>400</v>
      </c>
      <c r="D30" s="54">
        <f>IFERROR(C30/4.33,0)</f>
        <v>92.378752886836025</v>
      </c>
      <c r="H30" s="7"/>
    </row>
    <row r="31" spans="1:8" ht="15" x14ac:dyDescent="0.3">
      <c r="A31" s="43" t="s">
        <v>67</v>
      </c>
      <c r="B31" s="46" t="s">
        <v>69</v>
      </c>
      <c r="C31" s="40" t="str">
        <f>IFERROR(VLOOKUP(B31,Liste!$C$7:$D$15,2,FALSE),"")</f>
        <v/>
      </c>
      <c r="D31" s="54">
        <f t="shared" ref="D31:D33" si="2">IFERROR(C31/4.33,0)</f>
        <v>0</v>
      </c>
      <c r="H31" s="7"/>
    </row>
    <row r="32" spans="1:8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2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2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1.3553999999999999</v>
      </c>
      <c r="D34" s="54">
        <f>(B11*D5/100)*C34</f>
        <v>1071.3656289599999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0</v>
      </c>
      <c r="D35" s="54">
        <f>(D5*B11/100)*C35</f>
        <v>0</v>
      </c>
      <c r="H35" s="7"/>
    </row>
    <row r="36" spans="1:8" ht="15" x14ac:dyDescent="0.3">
      <c r="A36" s="43" t="s">
        <v>3</v>
      </c>
      <c r="B36" s="42"/>
      <c r="C36" s="65">
        <v>0.43090000000000001</v>
      </c>
      <c r="D36" s="54">
        <f>(D6*B11)*C36</f>
        <v>21.343769699999999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104.28</v>
      </c>
      <c r="E38" s="49"/>
      <c r="H38" s="7"/>
    </row>
    <row r="39" spans="1:8" ht="15" x14ac:dyDescent="0.25">
      <c r="A39" s="43" t="s">
        <v>13</v>
      </c>
      <c r="B39" s="41">
        <f>B12</f>
        <v>91.5</v>
      </c>
      <c r="C39" s="56">
        <v>5</v>
      </c>
      <c r="D39" s="54">
        <f>(C39*B39)</f>
        <v>457.5</v>
      </c>
      <c r="E39" s="85"/>
      <c r="H39" s="7"/>
    </row>
    <row r="40" spans="1:8" ht="15" x14ac:dyDescent="0.25">
      <c r="A40" s="43" t="s">
        <v>14</v>
      </c>
      <c r="B40" s="48" t="s">
        <v>56</v>
      </c>
      <c r="C40" s="40">
        <v>1</v>
      </c>
      <c r="D40" s="40">
        <v>1093.27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3417.5053570895611</v>
      </c>
    </row>
    <row r="46" spans="1:8" x14ac:dyDescent="0.25">
      <c r="C46" s="6" t="s">
        <v>49</v>
      </c>
      <c r="D46" s="47">
        <f>F24-D45</f>
        <v>-94.345357089561276</v>
      </c>
    </row>
    <row r="48" spans="1:8" ht="39" customHeight="1" x14ac:dyDescent="0.25">
      <c r="C48" s="58" t="s">
        <v>48</v>
      </c>
      <c r="D48" s="59">
        <f>D46/F24</f>
        <v>-2.8390254182633783E-2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83FFB236-EFF1-4BBE-BE99-9A81C129A779}"/>
  </hyperlink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9529B25-84FF-4D83-9BE5-A7C92BF1479F}">
          <x14:formula1>
            <xm:f>Liste!$C$2:$C$5</xm:f>
          </x14:formula1>
          <xm:sqref>B29</xm:sqref>
        </x14:dataValidation>
        <x14:dataValidation type="list" allowBlank="1" showInputMessage="1" showErrorMessage="1" xr:uid="{4A71E524-8D66-4175-ADD5-F67C1A64500F}">
          <x14:formula1>
            <xm:f>Liste!$A$21:$A$22</xm:f>
          </x14:formula1>
          <xm:sqref>B40</xm:sqref>
        </x14:dataValidation>
        <x14:dataValidation type="list" allowBlank="1" showInputMessage="1" showErrorMessage="1" xr:uid="{5151C9C6-736A-4761-8857-1EE02B39CE21}">
          <x14:formula1>
            <xm:f>Liste!$A$24:$A$25</xm:f>
          </x14:formula1>
          <xm:sqref>B42</xm:sqref>
        </x14:dataValidation>
        <x14:dataValidation type="list" allowBlank="1" showInputMessage="1" showErrorMessage="1" xr:uid="{EADDF9B4-4992-4DD5-B071-D8812EC780AE}">
          <x14:formula1>
            <xm:f>Liste!$C$7:$C$16</xm:f>
          </x14:formula1>
          <xm:sqref>B30:B33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70B31-7F7D-453B-ADB8-BBD8034A2463}">
  <sheetPr>
    <tabColor theme="4" tint="0.39997558519241921"/>
  </sheetPr>
  <dimension ref="A1:H48"/>
  <sheetViews>
    <sheetView topLeftCell="A5" workbookViewId="0">
      <selection activeCell="I10" sqref="I10"/>
    </sheetView>
  </sheetViews>
  <sheetFormatPr baseColWidth="10" defaultColWidth="11.44140625" defaultRowHeight="13.2" x14ac:dyDescent="0.25"/>
  <cols>
    <col min="1" max="1" width="32.44140625" style="1" customWidth="1"/>
    <col min="2" max="2" width="20.6640625" style="1" customWidth="1"/>
    <col min="3" max="3" width="20.44140625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7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7" x14ac:dyDescent="0.25">
      <c r="A3" s="126" t="s">
        <v>5</v>
      </c>
      <c r="B3" s="126"/>
      <c r="C3" s="126"/>
      <c r="D3" s="126"/>
      <c r="E3" s="126"/>
      <c r="F3" s="126"/>
      <c r="G3" s="126"/>
    </row>
    <row r="4" spans="1:7" ht="15" x14ac:dyDescent="0.25">
      <c r="A4" s="2"/>
      <c r="B4" s="5" t="s">
        <v>10</v>
      </c>
      <c r="D4" s="11" t="s">
        <v>12</v>
      </c>
      <c r="F4" s="129" t="s">
        <v>15</v>
      </c>
      <c r="G4" s="130" t="s">
        <v>688</v>
      </c>
    </row>
    <row r="5" spans="1:7" ht="15" x14ac:dyDescent="0.25">
      <c r="A5" s="5" t="s">
        <v>8</v>
      </c>
      <c r="B5" s="10" t="s">
        <v>382</v>
      </c>
      <c r="C5" s="10"/>
      <c r="D5" s="17">
        <v>31.75</v>
      </c>
      <c r="E5" s="6"/>
      <c r="F5" s="129"/>
      <c r="G5" s="131"/>
    </row>
    <row r="6" spans="1:7" ht="15" x14ac:dyDescent="0.25">
      <c r="A6" s="5" t="s">
        <v>9</v>
      </c>
      <c r="B6" s="10" t="s">
        <v>83</v>
      </c>
      <c r="C6" s="10"/>
      <c r="D6" s="6">
        <v>1.9E-2</v>
      </c>
      <c r="F6" s="2"/>
      <c r="G6" s="2"/>
    </row>
    <row r="7" spans="1:7" ht="15" x14ac:dyDescent="0.25">
      <c r="A7" s="5" t="s">
        <v>16</v>
      </c>
      <c r="B7" s="12" t="s">
        <v>383</v>
      </c>
      <c r="C7" s="12"/>
    </row>
    <row r="8" spans="1:7" ht="15" x14ac:dyDescent="0.25">
      <c r="A8" s="11" t="s">
        <v>71</v>
      </c>
      <c r="B8" s="18">
        <v>57.87</v>
      </c>
    </row>
    <row r="9" spans="1:7" x14ac:dyDescent="0.25">
      <c r="A9" s="11" t="s">
        <v>72</v>
      </c>
      <c r="B9" s="77">
        <v>37</v>
      </c>
    </row>
    <row r="10" spans="1:7" ht="15" x14ac:dyDescent="0.25">
      <c r="A10" s="5"/>
      <c r="B10" s="11" t="s">
        <v>70</v>
      </c>
      <c r="C10" s="2"/>
      <c r="D10" s="2"/>
      <c r="G10" s="11" t="s">
        <v>61</v>
      </c>
    </row>
    <row r="11" spans="1:7" ht="15" x14ac:dyDescent="0.25">
      <c r="B11" s="17">
        <v>1084</v>
      </c>
      <c r="D11" s="2"/>
      <c r="G11" s="18">
        <v>0</v>
      </c>
    </row>
    <row r="12" spans="1:7" ht="15.6" x14ac:dyDescent="0.3">
      <c r="A12" s="5" t="s">
        <v>62</v>
      </c>
      <c r="B12" s="17">
        <v>0</v>
      </c>
      <c r="C12" s="72"/>
      <c r="D12" s="2"/>
      <c r="E12" s="2"/>
      <c r="F12" s="53" t="s">
        <v>55</v>
      </c>
      <c r="G12" s="53" t="s">
        <v>56</v>
      </c>
    </row>
    <row r="13" spans="1:7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7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7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7" x14ac:dyDescent="0.25">
      <c r="A16" s="66" t="s">
        <v>380</v>
      </c>
      <c r="B16" s="66" t="s">
        <v>381</v>
      </c>
      <c r="C16" s="66">
        <v>155</v>
      </c>
      <c r="D16" s="66">
        <v>5</v>
      </c>
      <c r="E16" s="68">
        <f>C16*D16</f>
        <v>775</v>
      </c>
      <c r="F16" s="88">
        <f>0.28*5</f>
        <v>1.4000000000000001</v>
      </c>
      <c r="G16" s="68">
        <f>F16+E16</f>
        <v>776.4</v>
      </c>
    </row>
    <row r="17" spans="1:8" x14ac:dyDescent="0.25">
      <c r="A17" s="66" t="s">
        <v>385</v>
      </c>
      <c r="B17" s="66" t="s">
        <v>381</v>
      </c>
      <c r="C17" s="66">
        <v>164</v>
      </c>
      <c r="D17" s="66">
        <v>5</v>
      </c>
      <c r="E17" s="68">
        <f t="shared" ref="E17:E22" si="0">C17*D17</f>
        <v>820</v>
      </c>
      <c r="F17" s="88">
        <f>(65*5)*0.2922</f>
        <v>94.965000000000003</v>
      </c>
      <c r="G17" s="68">
        <f>F17+E17</f>
        <v>914.96500000000003</v>
      </c>
    </row>
    <row r="18" spans="1:8" x14ac:dyDescent="0.25">
      <c r="A18" s="66" t="s">
        <v>384</v>
      </c>
      <c r="B18" s="66" t="s">
        <v>208</v>
      </c>
      <c r="C18" s="66">
        <v>476</v>
      </c>
      <c r="D18" s="66">
        <v>5</v>
      </c>
      <c r="E18" s="66">
        <f t="shared" si="0"/>
        <v>2380</v>
      </c>
      <c r="F18" s="88">
        <v>0</v>
      </c>
      <c r="G18" s="68">
        <f t="shared" ref="G18:G22" si="1">(E18*F18)+E18</f>
        <v>2380</v>
      </c>
    </row>
    <row r="19" spans="1:8" x14ac:dyDescent="0.25">
      <c r="A19" s="83"/>
      <c r="B19" s="66"/>
      <c r="C19" s="66"/>
      <c r="D19" s="66"/>
      <c r="E19" s="66">
        <f t="shared" si="0"/>
        <v>0</v>
      </c>
      <c r="F19" s="66"/>
      <c r="G19" s="68">
        <f t="shared" si="1"/>
        <v>0</v>
      </c>
    </row>
    <row r="20" spans="1:8" ht="15" customHeight="1" x14ac:dyDescent="0.25">
      <c r="A20" s="15"/>
      <c r="B20" s="66"/>
      <c r="C20" s="69"/>
      <c r="D20" s="69"/>
      <c r="E20" s="66">
        <f t="shared" si="0"/>
        <v>0</v>
      </c>
      <c r="F20" s="66"/>
      <c r="G20" s="68">
        <f t="shared" si="1"/>
        <v>0</v>
      </c>
    </row>
    <row r="21" spans="1:8" ht="15" customHeight="1" x14ac:dyDescent="0.25">
      <c r="A21" s="15"/>
      <c r="B21" s="66"/>
      <c r="C21" s="69"/>
      <c r="D21" s="69"/>
      <c r="E21" s="66">
        <f t="shared" si="0"/>
        <v>0</v>
      </c>
      <c r="F21" s="66"/>
      <c r="G21" s="68">
        <f t="shared" si="1"/>
        <v>0</v>
      </c>
    </row>
    <row r="22" spans="1:8" ht="15" customHeight="1" x14ac:dyDescent="0.25">
      <c r="A22" s="66"/>
      <c r="B22" s="69"/>
      <c r="C22" s="69"/>
      <c r="D22" s="69"/>
      <c r="E22" s="66">
        <f t="shared" si="0"/>
        <v>0</v>
      </c>
      <c r="F22" s="66"/>
      <c r="G22" s="68">
        <f t="shared" si="1"/>
        <v>0</v>
      </c>
    </row>
    <row r="23" spans="1:8" ht="15" x14ac:dyDescent="0.25">
      <c r="A23" s="2"/>
      <c r="B23" s="2"/>
      <c r="C23" s="2"/>
      <c r="D23" s="2"/>
      <c r="E23" s="2"/>
      <c r="F23" s="2"/>
      <c r="G23" s="2"/>
    </row>
    <row r="24" spans="1:8" ht="30" customHeight="1" x14ac:dyDescent="0.25">
      <c r="A24" s="106" t="s">
        <v>308</v>
      </c>
      <c r="B24" s="132" t="s">
        <v>11</v>
      </c>
      <c r="C24" s="132"/>
      <c r="D24" s="132"/>
      <c r="E24" s="132"/>
      <c r="F24" s="113">
        <f>SUM(G16:G22)</f>
        <v>4071.3649999999998</v>
      </c>
      <c r="G24" s="113"/>
    </row>
    <row r="25" spans="1:8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8" ht="15" x14ac:dyDescent="0.25">
      <c r="A26" s="2"/>
      <c r="B26" s="2"/>
      <c r="C26" s="2"/>
      <c r="D26" s="2"/>
      <c r="E26" s="2"/>
      <c r="F26" s="2"/>
      <c r="G26" s="2"/>
    </row>
    <row r="27" spans="1:8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8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8" ht="15" x14ac:dyDescent="0.25">
      <c r="A29" s="43" t="s">
        <v>236</v>
      </c>
      <c r="B29" s="41" t="s">
        <v>368</v>
      </c>
      <c r="C29" s="40">
        <f>IFERROR(VLOOKUP(B29,Liste!C1:D5,2,FALSE),"")</f>
        <v>3000</v>
      </c>
      <c r="D29" s="54">
        <f>IFERROR(C29/4.33,0)</f>
        <v>692.84064665127016</v>
      </c>
      <c r="H29" s="7"/>
    </row>
    <row r="30" spans="1:8" ht="15" x14ac:dyDescent="0.3">
      <c r="A30" s="43" t="s">
        <v>66</v>
      </c>
      <c r="B30" s="46" t="s">
        <v>43</v>
      </c>
      <c r="C30" s="40">
        <f>IFERROR(VLOOKUP(B30,Liste!$C$7:$D$15,2,FALSE),"")</f>
        <v>400</v>
      </c>
      <c r="D30" s="54">
        <f>IFERROR(C30/4.33,0)</f>
        <v>92.378752886836025</v>
      </c>
      <c r="H30" s="7"/>
    </row>
    <row r="31" spans="1:8" ht="15" x14ac:dyDescent="0.3">
      <c r="A31" s="43" t="s">
        <v>67</v>
      </c>
      <c r="B31" s="46" t="s">
        <v>69</v>
      </c>
      <c r="C31" s="40" t="str">
        <f>IFERROR(VLOOKUP(B31,Liste!$C$7:$D$15,2,FALSE),"")</f>
        <v/>
      </c>
      <c r="D31" s="54">
        <f t="shared" ref="D31:D33" si="2">IFERROR(C31/4.33,0)</f>
        <v>0</v>
      </c>
      <c r="H31" s="7"/>
    </row>
    <row r="32" spans="1:8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2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2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0</v>
      </c>
      <c r="D34" s="54">
        <f>(B11*D5/100)*C34</f>
        <v>0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1.365</v>
      </c>
      <c r="D35" s="54">
        <f>(D5*B11/100)*C35</f>
        <v>469.79205000000002</v>
      </c>
      <c r="H35" s="7"/>
    </row>
    <row r="36" spans="1:8" ht="15" x14ac:dyDescent="0.3">
      <c r="A36" s="43" t="s">
        <v>3</v>
      </c>
      <c r="B36" s="42"/>
      <c r="C36" s="65">
        <v>0</v>
      </c>
      <c r="D36" s="54">
        <f>(D6*B11)*C36</f>
        <v>0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43.36</v>
      </c>
      <c r="E38" s="49"/>
      <c r="H38" s="7"/>
    </row>
    <row r="39" spans="1:8" ht="15" x14ac:dyDescent="0.25">
      <c r="A39" s="43" t="s">
        <v>13</v>
      </c>
      <c r="B39" s="41">
        <f>B12</f>
        <v>0</v>
      </c>
      <c r="C39" s="56">
        <v>5</v>
      </c>
      <c r="D39" s="54">
        <f>(C39*B39)</f>
        <v>0</v>
      </c>
      <c r="E39" s="85"/>
      <c r="H39" s="7"/>
    </row>
    <row r="40" spans="1:8" ht="15" x14ac:dyDescent="0.25">
      <c r="A40" s="43" t="s">
        <v>14</v>
      </c>
      <c r="B40" s="48" t="s">
        <v>56</v>
      </c>
      <c r="C40" s="40">
        <v>1</v>
      </c>
      <c r="D40" s="40">
        <v>1153.19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2451.561449538106</v>
      </c>
    </row>
    <row r="46" spans="1:8" x14ac:dyDescent="0.25">
      <c r="C46" s="6" t="s">
        <v>49</v>
      </c>
      <c r="D46" s="47">
        <f>F24-D45</f>
        <v>1619.8035504618938</v>
      </c>
    </row>
    <row r="48" spans="1:8" ht="39" customHeight="1" x14ac:dyDescent="0.25">
      <c r="C48" s="58" t="s">
        <v>48</v>
      </c>
      <c r="D48" s="59">
        <f>D46/F24</f>
        <v>0.39785269816434876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048C734C-3EE2-4369-B4D9-A859784E4CA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C66B06B-B386-4D47-83E3-51B9CD27E8AF}">
          <x14:formula1>
            <xm:f>Liste!$C$7:$C$16</xm:f>
          </x14:formula1>
          <xm:sqref>B30:B33</xm:sqref>
        </x14:dataValidation>
        <x14:dataValidation type="list" allowBlank="1" showInputMessage="1" showErrorMessage="1" xr:uid="{F70DADC2-621F-4902-BE47-74A3ED1084F5}">
          <x14:formula1>
            <xm:f>Liste!$A$24:$A$25</xm:f>
          </x14:formula1>
          <xm:sqref>B42</xm:sqref>
        </x14:dataValidation>
        <x14:dataValidation type="list" allowBlank="1" showInputMessage="1" showErrorMessage="1" xr:uid="{2BA8FC0F-3F6B-4BDF-9774-9C32A751F45B}">
          <x14:formula1>
            <xm:f>Liste!$A$21:$A$22</xm:f>
          </x14:formula1>
          <xm:sqref>B40</xm:sqref>
        </x14:dataValidation>
        <x14:dataValidation type="list" allowBlank="1" showInputMessage="1" showErrorMessage="1" xr:uid="{B5E7C558-4E0E-4877-B796-1C926F1F4B37}">
          <x14:formula1>
            <xm:f>Liste!$C$2:$C$5</xm:f>
          </x14:formula1>
          <xm:sqref>B29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9B0AE-E2AA-4DB6-A038-F8DB788A8944}">
  <sheetPr>
    <tabColor theme="4" tint="0.39997558519241921"/>
  </sheetPr>
  <dimension ref="A1:H48"/>
  <sheetViews>
    <sheetView topLeftCell="A12" workbookViewId="0">
      <selection activeCell="C11" sqref="C11"/>
    </sheetView>
  </sheetViews>
  <sheetFormatPr baseColWidth="10" defaultColWidth="11.44140625" defaultRowHeight="13.2" x14ac:dyDescent="0.25"/>
  <cols>
    <col min="1" max="1" width="32.44140625" style="1" customWidth="1"/>
    <col min="2" max="2" width="20.6640625" style="1" customWidth="1"/>
    <col min="3" max="3" width="20.44140625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7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7" x14ac:dyDescent="0.25">
      <c r="A3" s="126" t="s">
        <v>5</v>
      </c>
      <c r="B3" s="126"/>
      <c r="C3" s="126"/>
      <c r="D3" s="126"/>
      <c r="E3" s="126"/>
      <c r="F3" s="126"/>
      <c r="G3" s="126"/>
    </row>
    <row r="4" spans="1:7" ht="15" x14ac:dyDescent="0.25">
      <c r="A4" s="2"/>
      <c r="B4" s="5" t="s">
        <v>10</v>
      </c>
      <c r="D4" s="11" t="s">
        <v>12</v>
      </c>
      <c r="F4" s="129" t="s">
        <v>15</v>
      </c>
      <c r="G4" s="130" t="s">
        <v>688</v>
      </c>
    </row>
    <row r="5" spans="1:7" ht="15" x14ac:dyDescent="0.25">
      <c r="A5" s="5" t="s">
        <v>8</v>
      </c>
      <c r="B5" s="10" t="s">
        <v>387</v>
      </c>
      <c r="C5" s="10"/>
      <c r="D5" s="17">
        <v>30.32</v>
      </c>
      <c r="E5" s="6"/>
      <c r="F5" s="129"/>
      <c r="G5" s="131"/>
    </row>
    <row r="6" spans="1:7" ht="15" x14ac:dyDescent="0.25">
      <c r="A6" s="5" t="s">
        <v>9</v>
      </c>
      <c r="B6" s="10" t="s">
        <v>83</v>
      </c>
      <c r="C6" s="10"/>
      <c r="D6" s="6">
        <v>1.9E-2</v>
      </c>
      <c r="F6" s="2"/>
      <c r="G6" s="2"/>
    </row>
    <row r="7" spans="1:7" ht="15" x14ac:dyDescent="0.25">
      <c r="A7" s="5" t="s">
        <v>16</v>
      </c>
      <c r="B7" s="12" t="s">
        <v>388</v>
      </c>
      <c r="C7" s="12"/>
    </row>
    <row r="8" spans="1:7" ht="15" x14ac:dyDescent="0.25">
      <c r="A8" s="11" t="s">
        <v>71</v>
      </c>
      <c r="B8" s="18">
        <v>62.29</v>
      </c>
    </row>
    <row r="9" spans="1:7" x14ac:dyDescent="0.25">
      <c r="A9" s="11" t="s">
        <v>72</v>
      </c>
      <c r="B9" s="77">
        <v>39.450000000000003</v>
      </c>
    </row>
    <row r="10" spans="1:7" ht="15" x14ac:dyDescent="0.25">
      <c r="A10" s="5"/>
      <c r="B10" s="11" t="s">
        <v>70</v>
      </c>
      <c r="C10" s="2"/>
      <c r="D10" s="2"/>
      <c r="G10" s="11" t="s">
        <v>61</v>
      </c>
    </row>
    <row r="11" spans="1:7" ht="15" x14ac:dyDescent="0.25">
      <c r="B11" s="17">
        <v>1335</v>
      </c>
      <c r="D11" s="2"/>
      <c r="G11" s="18">
        <v>0</v>
      </c>
    </row>
    <row r="12" spans="1:7" ht="15.6" x14ac:dyDescent="0.3">
      <c r="A12" s="5" t="s">
        <v>62</v>
      </c>
      <c r="B12" s="17">
        <v>0</v>
      </c>
      <c r="C12" s="72"/>
      <c r="D12" s="2"/>
      <c r="E12" s="2"/>
      <c r="F12" s="53" t="s">
        <v>55</v>
      </c>
      <c r="G12" s="53" t="s">
        <v>56</v>
      </c>
    </row>
    <row r="13" spans="1:7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7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7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7" x14ac:dyDescent="0.25">
      <c r="A16" s="66" t="s">
        <v>389</v>
      </c>
      <c r="B16" s="66" t="s">
        <v>208</v>
      </c>
      <c r="C16" s="66">
        <v>164</v>
      </c>
      <c r="D16" s="66">
        <v>5</v>
      </c>
      <c r="E16" s="68">
        <f>C16*D16</f>
        <v>820</v>
      </c>
      <c r="F16" s="88">
        <f>(65*5)*0.2922</f>
        <v>94.965000000000003</v>
      </c>
      <c r="G16" s="68">
        <f>F16+E16</f>
        <v>914.96500000000003</v>
      </c>
    </row>
    <row r="17" spans="1:8" x14ac:dyDescent="0.25">
      <c r="A17" s="66" t="s">
        <v>390</v>
      </c>
      <c r="B17" s="66" t="s">
        <v>381</v>
      </c>
      <c r="C17" s="66">
        <v>442</v>
      </c>
      <c r="D17" s="66">
        <v>5</v>
      </c>
      <c r="E17" s="68">
        <f t="shared" ref="E17:E22" si="0">C17*D17</f>
        <v>2210</v>
      </c>
      <c r="F17" s="88">
        <f>(133*5)*0.2922</f>
        <v>194.31300000000002</v>
      </c>
      <c r="G17" s="68">
        <f>F17+E17</f>
        <v>2404.3130000000001</v>
      </c>
    </row>
    <row r="18" spans="1:8" x14ac:dyDescent="0.25">
      <c r="A18" s="66"/>
      <c r="B18" s="66"/>
      <c r="C18" s="66"/>
      <c r="D18" s="66"/>
      <c r="E18" s="66">
        <f t="shared" si="0"/>
        <v>0</v>
      </c>
      <c r="F18" s="88"/>
      <c r="G18" s="68">
        <f t="shared" ref="G18:G22" si="1">(E18*F18)+E18</f>
        <v>0</v>
      </c>
    </row>
    <row r="19" spans="1:8" x14ac:dyDescent="0.25">
      <c r="A19" s="83" t="s">
        <v>269</v>
      </c>
      <c r="B19" s="66"/>
      <c r="C19" s="66"/>
      <c r="D19" s="66"/>
      <c r="E19" s="66">
        <f t="shared" si="0"/>
        <v>0</v>
      </c>
      <c r="F19" s="66"/>
      <c r="G19" s="68">
        <f t="shared" si="1"/>
        <v>0</v>
      </c>
    </row>
    <row r="20" spans="1:8" ht="15" customHeight="1" x14ac:dyDescent="0.25">
      <c r="A20" s="15"/>
      <c r="B20" s="66"/>
      <c r="C20" s="69"/>
      <c r="D20" s="69"/>
      <c r="E20" s="66">
        <f t="shared" si="0"/>
        <v>0</v>
      </c>
      <c r="F20" s="66"/>
      <c r="G20" s="68">
        <f t="shared" si="1"/>
        <v>0</v>
      </c>
    </row>
    <row r="21" spans="1:8" ht="15" customHeight="1" x14ac:dyDescent="0.25">
      <c r="A21" s="15"/>
      <c r="B21" s="66"/>
      <c r="C21" s="69"/>
      <c r="D21" s="69"/>
      <c r="E21" s="66">
        <f t="shared" si="0"/>
        <v>0</v>
      </c>
      <c r="F21" s="66"/>
      <c r="G21" s="68">
        <f t="shared" si="1"/>
        <v>0</v>
      </c>
    </row>
    <row r="22" spans="1:8" ht="15" customHeight="1" x14ac:dyDescent="0.25">
      <c r="A22" s="66"/>
      <c r="B22" s="69"/>
      <c r="C22" s="69"/>
      <c r="D22" s="69"/>
      <c r="E22" s="66">
        <f t="shared" si="0"/>
        <v>0</v>
      </c>
      <c r="F22" s="66"/>
      <c r="G22" s="68">
        <f t="shared" si="1"/>
        <v>0</v>
      </c>
    </row>
    <row r="23" spans="1:8" ht="15" x14ac:dyDescent="0.25">
      <c r="A23" s="2"/>
      <c r="B23" s="2"/>
      <c r="C23" s="2"/>
      <c r="D23" s="2"/>
      <c r="E23" s="2"/>
      <c r="F23" s="2"/>
      <c r="G23" s="2"/>
    </row>
    <row r="24" spans="1:8" ht="30" customHeight="1" x14ac:dyDescent="0.25">
      <c r="A24" s="106" t="s">
        <v>309</v>
      </c>
      <c r="B24" s="132" t="s">
        <v>11</v>
      </c>
      <c r="C24" s="132"/>
      <c r="D24" s="132"/>
      <c r="E24" s="132"/>
      <c r="F24" s="113">
        <f>SUM(G16:G22)</f>
        <v>3319.2780000000002</v>
      </c>
      <c r="G24" s="113"/>
    </row>
    <row r="25" spans="1:8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8" ht="15" x14ac:dyDescent="0.25">
      <c r="A26" s="2"/>
      <c r="B26" s="2"/>
      <c r="C26" s="2"/>
      <c r="D26" s="2"/>
      <c r="E26" s="2"/>
      <c r="F26" s="2"/>
      <c r="G26" s="2"/>
    </row>
    <row r="27" spans="1:8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8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8" ht="15" x14ac:dyDescent="0.25">
      <c r="A29" s="43" t="s">
        <v>236</v>
      </c>
      <c r="B29" s="41" t="s">
        <v>368</v>
      </c>
      <c r="C29" s="40">
        <f>IFERROR(VLOOKUP(B29,Liste!C1:D5,2,FALSE),"")</f>
        <v>3000</v>
      </c>
      <c r="D29" s="54">
        <f>IFERROR(C29/4.33,0)</f>
        <v>692.84064665127016</v>
      </c>
      <c r="H29" s="7"/>
    </row>
    <row r="30" spans="1:8" ht="15" x14ac:dyDescent="0.3">
      <c r="A30" s="43" t="s">
        <v>66</v>
      </c>
      <c r="B30" s="46" t="s">
        <v>43</v>
      </c>
      <c r="C30" s="40">
        <f>IFERROR(VLOOKUP(B30,Liste!$C$7:$D$15,2,FALSE),"")</f>
        <v>400</v>
      </c>
      <c r="D30" s="54">
        <f>IFERROR(C30/4.33,0)</f>
        <v>92.378752886836025</v>
      </c>
      <c r="H30" s="7"/>
    </row>
    <row r="31" spans="1:8" ht="15" x14ac:dyDescent="0.3">
      <c r="A31" s="43" t="s">
        <v>67</v>
      </c>
      <c r="B31" s="46" t="s">
        <v>69</v>
      </c>
      <c r="C31" s="40" t="str">
        <f>IFERROR(VLOOKUP(B31,Liste!$C$7:$D$15,2,FALSE),"")</f>
        <v/>
      </c>
      <c r="D31" s="54">
        <f t="shared" ref="D31:D33" si="2">IFERROR(C31/4.33,0)</f>
        <v>0</v>
      </c>
      <c r="H31" s="7"/>
    </row>
    <row r="32" spans="1:8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2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2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0</v>
      </c>
      <c r="D34" s="54">
        <f>(B11*D5/100)*C34</f>
        <v>0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1.365</v>
      </c>
      <c r="D35" s="54">
        <f>(D5*B11/100)*C35</f>
        <v>552.51378</v>
      </c>
      <c r="H35" s="7"/>
    </row>
    <row r="36" spans="1:8" ht="15" x14ac:dyDescent="0.3">
      <c r="A36" s="43" t="s">
        <v>3</v>
      </c>
      <c r="B36" s="42"/>
      <c r="C36" s="65">
        <v>0</v>
      </c>
      <c r="D36" s="54">
        <f>(D6*B11)*C36</f>
        <v>0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53.4</v>
      </c>
      <c r="E38" s="49"/>
      <c r="H38" s="7"/>
    </row>
    <row r="39" spans="1:8" ht="15" x14ac:dyDescent="0.25">
      <c r="A39" s="43" t="s">
        <v>13</v>
      </c>
      <c r="B39" s="41">
        <f>B12</f>
        <v>0</v>
      </c>
      <c r="C39" s="56">
        <v>5</v>
      </c>
      <c r="D39" s="54">
        <f>(C39*B39)</f>
        <v>0</v>
      </c>
      <c r="E39" s="85"/>
      <c r="H39" s="7"/>
    </row>
    <row r="40" spans="1:8" ht="15" x14ac:dyDescent="0.25">
      <c r="A40" s="43" t="s">
        <v>14</v>
      </c>
      <c r="B40" s="48" t="s">
        <v>56</v>
      </c>
      <c r="C40" s="40">
        <v>1</v>
      </c>
      <c r="D40" s="40">
        <v>913.33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2304.4631795381065</v>
      </c>
    </row>
    <row r="46" spans="1:8" x14ac:dyDescent="0.25">
      <c r="C46" s="6" t="s">
        <v>49</v>
      </c>
      <c r="D46" s="47">
        <f>F24-D45</f>
        <v>1014.8148204618938</v>
      </c>
    </row>
    <row r="48" spans="1:8" ht="39" customHeight="1" x14ac:dyDescent="0.25">
      <c r="C48" s="58" t="s">
        <v>48</v>
      </c>
      <c r="D48" s="59">
        <f>D46/F24</f>
        <v>0.3057336024466446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E5D98621-DD90-42E2-9969-CEFADC1A209A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82CEA58-DE22-40E9-A4D2-FF0340EC81B8}">
          <x14:formula1>
            <xm:f>Liste!$C$2:$C$5</xm:f>
          </x14:formula1>
          <xm:sqref>B29</xm:sqref>
        </x14:dataValidation>
        <x14:dataValidation type="list" allowBlank="1" showInputMessage="1" showErrorMessage="1" xr:uid="{AEB4E427-013D-4DBD-9496-B2BB6AB7D46F}">
          <x14:formula1>
            <xm:f>Liste!$A$21:$A$22</xm:f>
          </x14:formula1>
          <xm:sqref>B40</xm:sqref>
        </x14:dataValidation>
        <x14:dataValidation type="list" allowBlank="1" showInputMessage="1" showErrorMessage="1" xr:uid="{839AF8F2-E0FC-4239-BE32-D117025117EA}">
          <x14:formula1>
            <xm:f>Liste!$A$24:$A$25</xm:f>
          </x14:formula1>
          <xm:sqref>B42</xm:sqref>
        </x14:dataValidation>
        <x14:dataValidation type="list" allowBlank="1" showInputMessage="1" showErrorMessage="1" xr:uid="{0CBF5AAE-8177-4EA3-B5C4-A6DD3BC63AE1}">
          <x14:formula1>
            <xm:f>Liste!$C$7:$C$16</xm:f>
          </x14:formula1>
          <xm:sqref>B30:B33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8962-7C00-4635-8478-D47D2B1C000B}">
  <sheetPr>
    <tabColor theme="4" tint="0.39997558519241921"/>
  </sheetPr>
  <dimension ref="A1:H48"/>
  <sheetViews>
    <sheetView topLeftCell="A8" workbookViewId="0">
      <selection activeCell="F28" sqref="F28"/>
    </sheetView>
  </sheetViews>
  <sheetFormatPr baseColWidth="10" defaultColWidth="11.44140625" defaultRowHeight="13.2" x14ac:dyDescent="0.25"/>
  <cols>
    <col min="1" max="1" width="32.44140625" style="1" customWidth="1"/>
    <col min="2" max="2" width="20.6640625" style="1" customWidth="1"/>
    <col min="3" max="3" width="20.44140625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7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7" x14ac:dyDescent="0.25">
      <c r="A3" s="126" t="s">
        <v>5</v>
      </c>
      <c r="B3" s="126"/>
      <c r="C3" s="126"/>
      <c r="D3" s="126"/>
      <c r="E3" s="126"/>
      <c r="F3" s="126"/>
      <c r="G3" s="126"/>
    </row>
    <row r="4" spans="1:7" ht="15" x14ac:dyDescent="0.25">
      <c r="A4" s="2"/>
      <c r="B4" s="5" t="s">
        <v>10</v>
      </c>
      <c r="D4" s="11" t="s">
        <v>12</v>
      </c>
      <c r="F4" s="129" t="s">
        <v>15</v>
      </c>
      <c r="G4" s="130" t="s">
        <v>689</v>
      </c>
    </row>
    <row r="5" spans="1:7" ht="15" x14ac:dyDescent="0.25">
      <c r="A5" s="5" t="s">
        <v>8</v>
      </c>
      <c r="B5" s="10" t="s">
        <v>392</v>
      </c>
      <c r="C5" s="10"/>
      <c r="D5" s="17">
        <v>30.2</v>
      </c>
      <c r="E5" s="6"/>
      <c r="F5" s="129"/>
      <c r="G5" s="131"/>
    </row>
    <row r="6" spans="1:7" ht="15" x14ac:dyDescent="0.25">
      <c r="A6" s="5" t="s">
        <v>9</v>
      </c>
      <c r="B6" s="10" t="s">
        <v>83</v>
      </c>
      <c r="C6" s="10"/>
      <c r="D6" s="6">
        <v>1.9E-2</v>
      </c>
      <c r="F6" s="2"/>
      <c r="G6" s="2"/>
    </row>
    <row r="7" spans="1:7" ht="15" x14ac:dyDescent="0.25">
      <c r="A7" s="5" t="s">
        <v>16</v>
      </c>
      <c r="B7" s="12" t="s">
        <v>393</v>
      </c>
      <c r="C7" s="12"/>
    </row>
    <row r="8" spans="1:7" ht="15" x14ac:dyDescent="0.25">
      <c r="A8" s="11" t="s">
        <v>71</v>
      </c>
      <c r="B8" s="18">
        <v>72.87</v>
      </c>
    </row>
    <row r="9" spans="1:7" x14ac:dyDescent="0.25">
      <c r="A9" s="11" t="s">
        <v>72</v>
      </c>
      <c r="B9" s="77">
        <v>41.2</v>
      </c>
    </row>
    <row r="10" spans="1:7" ht="15" x14ac:dyDescent="0.25">
      <c r="A10" s="5"/>
      <c r="B10" s="11" t="s">
        <v>70</v>
      </c>
      <c r="C10" s="2"/>
      <c r="D10" s="2"/>
      <c r="G10" s="11" t="s">
        <v>61</v>
      </c>
    </row>
    <row r="11" spans="1:7" ht="15" x14ac:dyDescent="0.25">
      <c r="B11" s="17">
        <v>992</v>
      </c>
      <c r="D11" s="2"/>
      <c r="G11" s="18">
        <v>0</v>
      </c>
    </row>
    <row r="12" spans="1:7" ht="15.6" x14ac:dyDescent="0.3">
      <c r="A12" s="5" t="s">
        <v>62</v>
      </c>
      <c r="B12" s="17">
        <v>0</v>
      </c>
      <c r="C12" s="72"/>
      <c r="D12" s="2"/>
      <c r="E12" s="2"/>
      <c r="F12" s="53" t="s">
        <v>55</v>
      </c>
      <c r="G12" s="53" t="s">
        <v>56</v>
      </c>
    </row>
    <row r="13" spans="1:7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7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7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7" x14ac:dyDescent="0.25">
      <c r="A16" s="66" t="s">
        <v>394</v>
      </c>
      <c r="B16" s="66" t="s">
        <v>208</v>
      </c>
      <c r="C16" s="66">
        <v>226</v>
      </c>
      <c r="D16" s="66">
        <v>5</v>
      </c>
      <c r="E16" s="68">
        <f>C16*D16</f>
        <v>1130</v>
      </c>
      <c r="F16" s="88">
        <f>(31*5)*0.2922</f>
        <v>45.291000000000004</v>
      </c>
      <c r="G16" s="68">
        <f>F16+E16</f>
        <v>1175.2909999999999</v>
      </c>
    </row>
    <row r="17" spans="1:8" x14ac:dyDescent="0.25">
      <c r="A17" s="66" t="s">
        <v>395</v>
      </c>
      <c r="B17" s="66" t="s">
        <v>208</v>
      </c>
      <c r="C17" s="66">
        <v>350</v>
      </c>
      <c r="D17" s="66">
        <v>5</v>
      </c>
      <c r="E17" s="68">
        <f t="shared" ref="E17:E22" si="0">C17*D17</f>
        <v>1750</v>
      </c>
      <c r="F17" s="88">
        <v>0</v>
      </c>
      <c r="G17" s="68">
        <f>F17+E17</f>
        <v>1750</v>
      </c>
    </row>
    <row r="18" spans="1:8" x14ac:dyDescent="0.25">
      <c r="A18" s="66" t="s">
        <v>396</v>
      </c>
      <c r="B18" s="66" t="s">
        <v>252</v>
      </c>
      <c r="C18" s="66">
        <v>4.1631</v>
      </c>
      <c r="D18" s="66">
        <v>10</v>
      </c>
      <c r="E18" s="68">
        <f t="shared" si="0"/>
        <v>41.631</v>
      </c>
      <c r="F18" s="66">
        <v>0</v>
      </c>
      <c r="G18" s="68">
        <f t="shared" ref="G18:G19" si="1">(E18*F18)+E18</f>
        <v>41.631</v>
      </c>
    </row>
    <row r="19" spans="1:8" x14ac:dyDescent="0.25">
      <c r="A19" s="66" t="s">
        <v>397</v>
      </c>
      <c r="B19" s="66" t="s">
        <v>252</v>
      </c>
      <c r="C19" s="66">
        <v>2.4933000000000001</v>
      </c>
      <c r="D19" s="66">
        <v>74</v>
      </c>
      <c r="E19" s="68">
        <f t="shared" si="0"/>
        <v>184.5042</v>
      </c>
      <c r="F19" s="66">
        <v>0</v>
      </c>
      <c r="G19" s="68">
        <f t="shared" si="1"/>
        <v>184.5042</v>
      </c>
    </row>
    <row r="20" spans="1:8" ht="15" customHeight="1" x14ac:dyDescent="0.25">
      <c r="A20" s="15"/>
      <c r="B20" s="66"/>
      <c r="C20" s="69"/>
      <c r="D20" s="69"/>
      <c r="E20" s="66">
        <f t="shared" si="0"/>
        <v>0</v>
      </c>
      <c r="F20" s="66"/>
      <c r="G20" s="68">
        <f t="shared" ref="G20:G22" si="2">(E20*F20)+E20</f>
        <v>0</v>
      </c>
    </row>
    <row r="21" spans="1:8" ht="15" customHeight="1" x14ac:dyDescent="0.25">
      <c r="A21" s="15"/>
      <c r="B21" s="66"/>
      <c r="C21" s="69"/>
      <c r="D21" s="69"/>
      <c r="E21" s="66">
        <f t="shared" si="0"/>
        <v>0</v>
      </c>
      <c r="F21" s="66"/>
      <c r="G21" s="68">
        <f t="shared" si="2"/>
        <v>0</v>
      </c>
    </row>
    <row r="22" spans="1:8" ht="15" customHeight="1" x14ac:dyDescent="0.25">
      <c r="A22" s="66"/>
      <c r="B22" s="69"/>
      <c r="C22" s="69"/>
      <c r="D22" s="69"/>
      <c r="E22" s="66">
        <f t="shared" si="0"/>
        <v>0</v>
      </c>
      <c r="F22" s="66"/>
      <c r="G22" s="68">
        <f t="shared" si="2"/>
        <v>0</v>
      </c>
    </row>
    <row r="23" spans="1:8" ht="15" x14ac:dyDescent="0.25">
      <c r="A23" s="2"/>
      <c r="B23" s="2"/>
      <c r="C23" s="2"/>
      <c r="D23" s="2"/>
      <c r="E23" s="2"/>
      <c r="F23" s="2"/>
      <c r="G23" s="2"/>
    </row>
    <row r="24" spans="1:8" ht="30" customHeight="1" x14ac:dyDescent="0.25">
      <c r="A24" s="106" t="s">
        <v>310</v>
      </c>
      <c r="B24" s="132" t="s">
        <v>11</v>
      </c>
      <c r="C24" s="132"/>
      <c r="D24" s="132"/>
      <c r="E24" s="132"/>
      <c r="F24" s="113">
        <f>SUM(G16:G22)</f>
        <v>3151.4261999999999</v>
      </c>
      <c r="G24" s="113"/>
    </row>
    <row r="25" spans="1:8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8" ht="15" x14ac:dyDescent="0.25">
      <c r="A26" s="2"/>
      <c r="B26" s="2"/>
      <c r="C26" s="2"/>
      <c r="D26" s="2"/>
      <c r="E26" s="2"/>
      <c r="F26" s="2"/>
      <c r="G26" s="2"/>
    </row>
    <row r="27" spans="1:8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8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8" ht="15" x14ac:dyDescent="0.25">
      <c r="A29" s="43" t="s">
        <v>236</v>
      </c>
      <c r="B29" s="41" t="s">
        <v>368</v>
      </c>
      <c r="C29" s="40">
        <f>IFERROR(VLOOKUP(B29,Liste!C1:D5,2,FALSE),"")</f>
        <v>3000</v>
      </c>
      <c r="D29" s="54">
        <f>IFERROR(C29/4.33,0)</f>
        <v>692.84064665127016</v>
      </c>
      <c r="H29" s="7"/>
    </row>
    <row r="30" spans="1:8" ht="15" x14ac:dyDescent="0.3">
      <c r="A30" s="43" t="s">
        <v>66</v>
      </c>
      <c r="B30" s="46" t="s">
        <v>43</v>
      </c>
      <c r="C30" s="40">
        <f>IFERROR(VLOOKUP(B30,Liste!$C$7:$D$15,2,FALSE),"")</f>
        <v>400</v>
      </c>
      <c r="D30" s="54">
        <f>IFERROR(C30/4.33,0)</f>
        <v>92.378752886836025</v>
      </c>
      <c r="H30" s="7"/>
    </row>
    <row r="31" spans="1:8" ht="15" x14ac:dyDescent="0.3">
      <c r="A31" s="43" t="s">
        <v>67</v>
      </c>
      <c r="B31" s="46" t="s">
        <v>69</v>
      </c>
      <c r="C31" s="40" t="str">
        <f>IFERROR(VLOOKUP(B31,Liste!$C$7:$D$15,2,FALSE),"")</f>
        <v/>
      </c>
      <c r="D31" s="54">
        <f t="shared" ref="D31:D33" si="3">IFERROR(C31/4.33,0)</f>
        <v>0</v>
      </c>
      <c r="H31" s="7"/>
    </row>
    <row r="32" spans="1:8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3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3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0</v>
      </c>
      <c r="D34" s="54">
        <f>(B11*D5/100)*C34</f>
        <v>0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1.365</v>
      </c>
      <c r="D35" s="54">
        <f>(D5*B11/100)*C35</f>
        <v>408.93216000000001</v>
      </c>
      <c r="H35" s="7"/>
    </row>
    <row r="36" spans="1:8" ht="15" x14ac:dyDescent="0.3">
      <c r="A36" s="43" t="s">
        <v>3</v>
      </c>
      <c r="B36" s="42"/>
      <c r="C36" s="65">
        <v>0</v>
      </c>
      <c r="D36" s="54">
        <f>(D6*B11)*C36</f>
        <v>0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39.68</v>
      </c>
      <c r="E38" s="49"/>
      <c r="H38" s="7"/>
    </row>
    <row r="39" spans="1:8" ht="15" x14ac:dyDescent="0.25">
      <c r="A39" s="43" t="s">
        <v>13</v>
      </c>
      <c r="B39" s="41">
        <f>B12</f>
        <v>0</v>
      </c>
      <c r="C39" s="56">
        <v>5</v>
      </c>
      <c r="D39" s="54">
        <f>(C39*B39)</f>
        <v>0</v>
      </c>
      <c r="E39" s="85"/>
      <c r="H39" s="7"/>
    </row>
    <row r="40" spans="1:8" ht="15" x14ac:dyDescent="0.25">
      <c r="A40" s="43" t="s">
        <v>14</v>
      </c>
      <c r="B40" s="48" t="s">
        <v>56</v>
      </c>
      <c r="C40" s="40">
        <v>1</v>
      </c>
      <c r="D40" s="40">
        <v>1178.82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2412.6515595381061</v>
      </c>
    </row>
    <row r="46" spans="1:8" x14ac:dyDescent="0.25">
      <c r="C46" s="6" t="s">
        <v>49</v>
      </c>
      <c r="D46" s="47">
        <f>F24-D45</f>
        <v>738.7746404618938</v>
      </c>
    </row>
    <row r="48" spans="1:8" ht="39" customHeight="1" x14ac:dyDescent="0.25">
      <c r="C48" s="58" t="s">
        <v>48</v>
      </c>
      <c r="D48" s="59">
        <f>D46/F24</f>
        <v>0.23442549295994741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B272FA91-643E-4EC8-AD03-1A4A81D08620}"/>
  </hyperlink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5C11B4C-67C8-45BA-8871-073CB985F34C}">
          <x14:formula1>
            <xm:f>Liste!$C$7:$C$16</xm:f>
          </x14:formula1>
          <xm:sqref>B30:B33</xm:sqref>
        </x14:dataValidation>
        <x14:dataValidation type="list" allowBlank="1" showInputMessage="1" showErrorMessage="1" xr:uid="{1F67DF7D-FD78-45A9-A3BE-43CD7451D26E}">
          <x14:formula1>
            <xm:f>Liste!$A$24:$A$25</xm:f>
          </x14:formula1>
          <xm:sqref>B42</xm:sqref>
        </x14:dataValidation>
        <x14:dataValidation type="list" allowBlank="1" showInputMessage="1" showErrorMessage="1" xr:uid="{081BC2B1-3538-4E3E-84A3-C431DBC08AA7}">
          <x14:formula1>
            <xm:f>Liste!$A$21:$A$22</xm:f>
          </x14:formula1>
          <xm:sqref>B40</xm:sqref>
        </x14:dataValidation>
        <x14:dataValidation type="list" allowBlank="1" showInputMessage="1" showErrorMessage="1" xr:uid="{91748A47-D7CF-4DF8-8357-7580F8029968}">
          <x14:formula1>
            <xm:f>Liste!$C$2:$C$5</xm:f>
          </x14:formula1>
          <xm:sqref>B29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363AB-8BE3-46BC-B4D8-53587F63C377}">
  <sheetPr>
    <tabColor theme="4" tint="0.39997558519241921"/>
  </sheetPr>
  <dimension ref="A1:I48"/>
  <sheetViews>
    <sheetView topLeftCell="A8" workbookViewId="0">
      <selection activeCell="G29" sqref="G29"/>
    </sheetView>
  </sheetViews>
  <sheetFormatPr baseColWidth="10" defaultColWidth="11.44140625" defaultRowHeight="13.2" x14ac:dyDescent="0.25"/>
  <cols>
    <col min="1" max="1" width="32.44140625" style="1" customWidth="1"/>
    <col min="2" max="2" width="20.6640625" style="1" customWidth="1"/>
    <col min="3" max="3" width="20.44140625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9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9" x14ac:dyDescent="0.25">
      <c r="A3" s="126" t="s">
        <v>5</v>
      </c>
      <c r="B3" s="126"/>
      <c r="C3" s="126"/>
      <c r="D3" s="126"/>
      <c r="E3" s="126"/>
      <c r="F3" s="126"/>
      <c r="G3" s="126"/>
    </row>
    <row r="4" spans="1:9" ht="15" x14ac:dyDescent="0.25">
      <c r="A4" s="2"/>
      <c r="B4" s="5" t="s">
        <v>10</v>
      </c>
      <c r="D4" s="11" t="s">
        <v>12</v>
      </c>
      <c r="F4" s="129" t="s">
        <v>15</v>
      </c>
      <c r="G4" s="130" t="s">
        <v>688</v>
      </c>
    </row>
    <row r="5" spans="1:9" ht="15" x14ac:dyDescent="0.25">
      <c r="A5" s="5" t="s">
        <v>8</v>
      </c>
      <c r="B5" s="10" t="s">
        <v>399</v>
      </c>
      <c r="C5" s="10"/>
      <c r="D5" s="17">
        <v>32.26</v>
      </c>
      <c r="E5" s="6"/>
      <c r="F5" s="129"/>
      <c r="G5" s="131"/>
    </row>
    <row r="6" spans="1:9" ht="15" x14ac:dyDescent="0.25">
      <c r="A6" s="5" t="s">
        <v>9</v>
      </c>
      <c r="B6" s="10" t="s">
        <v>83</v>
      </c>
      <c r="C6" s="10"/>
      <c r="D6" s="6">
        <v>1.9E-2</v>
      </c>
      <c r="F6" s="2"/>
      <c r="G6" s="2"/>
    </row>
    <row r="7" spans="1:9" ht="15" x14ac:dyDescent="0.25">
      <c r="A7" s="5" t="s">
        <v>16</v>
      </c>
      <c r="B7" s="12" t="s">
        <v>702</v>
      </c>
      <c r="C7" s="12"/>
    </row>
    <row r="8" spans="1:9" ht="15" x14ac:dyDescent="0.25">
      <c r="A8" s="11" t="s">
        <v>71</v>
      </c>
      <c r="B8" s="18">
        <v>53.36</v>
      </c>
    </row>
    <row r="9" spans="1:9" x14ac:dyDescent="0.25">
      <c r="A9" s="11" t="s">
        <v>72</v>
      </c>
      <c r="B9" s="77">
        <v>36.380000000000003</v>
      </c>
    </row>
    <row r="10" spans="1:9" ht="15" x14ac:dyDescent="0.25">
      <c r="A10" s="5"/>
      <c r="B10" s="11" t="s">
        <v>70</v>
      </c>
      <c r="C10" s="2"/>
      <c r="D10" s="2"/>
      <c r="G10" s="11" t="s">
        <v>61</v>
      </c>
    </row>
    <row r="11" spans="1:9" ht="15" x14ac:dyDescent="0.25">
      <c r="B11" s="17">
        <v>1569</v>
      </c>
      <c r="D11" s="2"/>
      <c r="G11" s="18">
        <v>0</v>
      </c>
    </row>
    <row r="12" spans="1:9" ht="15.6" x14ac:dyDescent="0.3">
      <c r="A12" s="5" t="s">
        <v>62</v>
      </c>
      <c r="B12" s="17">
        <v>60.25</v>
      </c>
      <c r="C12" s="72" t="s">
        <v>701</v>
      </c>
      <c r="D12" s="2"/>
      <c r="E12" s="2"/>
      <c r="F12" s="53" t="s">
        <v>55</v>
      </c>
      <c r="G12" s="53" t="s">
        <v>56</v>
      </c>
    </row>
    <row r="13" spans="1:9" ht="15" x14ac:dyDescent="0.25">
      <c r="B13" s="2" t="s">
        <v>704</v>
      </c>
      <c r="C13" s="119" t="s">
        <v>703</v>
      </c>
      <c r="D13" s="2"/>
      <c r="E13" s="57" t="s">
        <v>250</v>
      </c>
      <c r="F13" s="53">
        <v>1000</v>
      </c>
      <c r="G13" s="53">
        <v>1100</v>
      </c>
    </row>
    <row r="14" spans="1:9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9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9" x14ac:dyDescent="0.25">
      <c r="A16" s="66" t="s">
        <v>400</v>
      </c>
      <c r="B16" s="66" t="s">
        <v>208</v>
      </c>
      <c r="C16" s="66">
        <v>536</v>
      </c>
      <c r="D16" s="66">
        <v>5</v>
      </c>
      <c r="E16" s="68">
        <f>C16*D16</f>
        <v>2680</v>
      </c>
      <c r="F16" s="88">
        <f>(316*5)*0.2673</f>
        <v>422.33399999999995</v>
      </c>
      <c r="G16" s="68">
        <f>F16+E16</f>
        <v>3102.3339999999998</v>
      </c>
      <c r="I16" s="1" t="s">
        <v>401</v>
      </c>
    </row>
    <row r="17" spans="1:8" x14ac:dyDescent="0.25">
      <c r="A17" s="66"/>
      <c r="B17" s="66"/>
      <c r="C17" s="66"/>
      <c r="D17" s="66"/>
      <c r="E17" s="68">
        <f t="shared" ref="E17:E22" si="0">C17*D17</f>
        <v>0</v>
      </c>
      <c r="F17" s="88"/>
      <c r="G17" s="68">
        <f>F17+E17</f>
        <v>0</v>
      </c>
    </row>
    <row r="18" spans="1:8" x14ac:dyDescent="0.25">
      <c r="A18" s="83" t="s">
        <v>269</v>
      </c>
      <c r="B18" s="66"/>
      <c r="C18" s="66"/>
      <c r="D18" s="66"/>
      <c r="E18" s="68">
        <f t="shared" si="0"/>
        <v>0</v>
      </c>
      <c r="F18" s="66"/>
      <c r="G18" s="68">
        <f t="shared" ref="G18:G22" si="1">(E18*F18)+E18</f>
        <v>0</v>
      </c>
    </row>
    <row r="19" spans="1:8" x14ac:dyDescent="0.25">
      <c r="A19" s="66"/>
      <c r="B19" s="66"/>
      <c r="C19" s="66"/>
      <c r="D19" s="66"/>
      <c r="E19" s="68">
        <f t="shared" si="0"/>
        <v>0</v>
      </c>
      <c r="F19" s="66"/>
      <c r="G19" s="68">
        <f t="shared" si="1"/>
        <v>0</v>
      </c>
    </row>
    <row r="20" spans="1:8" ht="15" customHeight="1" x14ac:dyDescent="0.25">
      <c r="A20" s="15"/>
      <c r="B20" s="66"/>
      <c r="C20" s="69"/>
      <c r="D20" s="69"/>
      <c r="E20" s="66">
        <f t="shared" si="0"/>
        <v>0</v>
      </c>
      <c r="F20" s="66"/>
      <c r="G20" s="68">
        <f t="shared" si="1"/>
        <v>0</v>
      </c>
    </row>
    <row r="21" spans="1:8" ht="15" customHeight="1" x14ac:dyDescent="0.25">
      <c r="A21" s="15"/>
      <c r="B21" s="66"/>
      <c r="C21" s="69"/>
      <c r="D21" s="69"/>
      <c r="E21" s="66">
        <f t="shared" si="0"/>
        <v>0</v>
      </c>
      <c r="F21" s="66"/>
      <c r="G21" s="68">
        <f t="shared" si="1"/>
        <v>0</v>
      </c>
    </row>
    <row r="22" spans="1:8" ht="15" customHeight="1" x14ac:dyDescent="0.25">
      <c r="A22" s="66"/>
      <c r="B22" s="69"/>
      <c r="C22" s="69"/>
      <c r="D22" s="69"/>
      <c r="E22" s="66">
        <f t="shared" si="0"/>
        <v>0</v>
      </c>
      <c r="F22" s="66"/>
      <c r="G22" s="68">
        <f t="shared" si="1"/>
        <v>0</v>
      </c>
    </row>
    <row r="23" spans="1:8" ht="15" x14ac:dyDescent="0.25">
      <c r="A23" s="2"/>
      <c r="B23" s="2"/>
      <c r="C23" s="2"/>
      <c r="D23" s="2"/>
      <c r="E23" s="2"/>
      <c r="F23" s="2"/>
      <c r="G23" s="2"/>
    </row>
    <row r="24" spans="1:8" ht="30" customHeight="1" x14ac:dyDescent="0.25">
      <c r="A24" s="106" t="s">
        <v>311</v>
      </c>
      <c r="B24" s="132" t="s">
        <v>11</v>
      </c>
      <c r="C24" s="132"/>
      <c r="D24" s="132"/>
      <c r="E24" s="132"/>
      <c r="F24" s="113">
        <f>SUM(G16:G22)</f>
        <v>3102.3339999999998</v>
      </c>
      <c r="G24" s="113"/>
    </row>
    <row r="25" spans="1:8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8" ht="15" x14ac:dyDescent="0.25">
      <c r="A26" s="2"/>
      <c r="B26" s="2"/>
      <c r="C26" s="2"/>
      <c r="D26" s="2"/>
      <c r="E26" s="2"/>
      <c r="F26" s="2"/>
      <c r="G26" s="2"/>
    </row>
    <row r="27" spans="1:8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8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8" ht="15" x14ac:dyDescent="0.25">
      <c r="A29" s="43" t="s">
        <v>236</v>
      </c>
      <c r="B29" s="41" t="s">
        <v>86</v>
      </c>
      <c r="C29" s="40">
        <f>IFERROR(VLOOKUP(B29,Liste!C1:D5,2,FALSE),"")</f>
        <v>2500</v>
      </c>
      <c r="D29" s="54">
        <f>IFERROR(C29/4.33,0)</f>
        <v>577.36720554272517</v>
      </c>
      <c r="H29" s="7"/>
    </row>
    <row r="30" spans="1:8" ht="15" x14ac:dyDescent="0.3">
      <c r="A30" s="43" t="s">
        <v>66</v>
      </c>
      <c r="B30" s="46" t="s">
        <v>43</v>
      </c>
      <c r="C30" s="40">
        <f>IFERROR(VLOOKUP(B30,Liste!$C$7:$D$15,2,FALSE),"")</f>
        <v>400</v>
      </c>
      <c r="D30" s="54">
        <f>IFERROR(C30/4.33,0)</f>
        <v>92.378752886836025</v>
      </c>
      <c r="H30" s="7"/>
    </row>
    <row r="31" spans="1:8" ht="15" x14ac:dyDescent="0.3">
      <c r="A31" s="43" t="s">
        <v>67</v>
      </c>
      <c r="B31" s="46" t="s">
        <v>69</v>
      </c>
      <c r="C31" s="40" t="str">
        <f>IFERROR(VLOOKUP(B31,Liste!$C$7:$D$15,2,FALSE),"")</f>
        <v/>
      </c>
      <c r="D31" s="54">
        <f t="shared" ref="D31:D33" si="2">IFERROR(C31/4.33,0)</f>
        <v>0</v>
      </c>
      <c r="H31" s="7"/>
    </row>
    <row r="32" spans="1:8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2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2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1.3553999999999999</v>
      </c>
      <c r="D34" s="54">
        <f>(B11*D5/100)*C34</f>
        <v>686.04845075999992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0</v>
      </c>
      <c r="D35" s="54">
        <f>(D5*B11/100)*C35</f>
        <v>0</v>
      </c>
      <c r="H35" s="7"/>
    </row>
    <row r="36" spans="1:8" ht="15" x14ac:dyDescent="0.3">
      <c r="A36" s="43" t="s">
        <v>3</v>
      </c>
      <c r="B36" s="42"/>
      <c r="C36" s="65">
        <v>0.43090000000000001</v>
      </c>
      <c r="D36" s="54">
        <f>(D6*B11)*C36</f>
        <v>12.8455599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62.76</v>
      </c>
      <c r="E38" s="49"/>
      <c r="H38" s="7"/>
    </row>
    <row r="39" spans="1:8" ht="15" x14ac:dyDescent="0.25">
      <c r="A39" s="43" t="s">
        <v>13</v>
      </c>
      <c r="B39" s="41">
        <f>B12</f>
        <v>60.25</v>
      </c>
      <c r="C39" s="56">
        <v>5</v>
      </c>
      <c r="D39" s="54">
        <f>(C39*B39)</f>
        <v>301.25</v>
      </c>
      <c r="E39" s="85"/>
      <c r="H39" s="7"/>
    </row>
    <row r="40" spans="1:8" ht="15" x14ac:dyDescent="0.25">
      <c r="A40" s="43" t="s">
        <v>14</v>
      </c>
      <c r="B40" s="48" t="s">
        <v>56</v>
      </c>
      <c r="C40" s="40">
        <v>1</v>
      </c>
      <c r="D40" s="40">
        <v>961.95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2694.599969089561</v>
      </c>
    </row>
    <row r="46" spans="1:8" x14ac:dyDescent="0.25">
      <c r="C46" s="6" t="s">
        <v>49</v>
      </c>
      <c r="D46" s="47">
        <f>F24-D45</f>
        <v>407.73403091043883</v>
      </c>
    </row>
    <row r="48" spans="1:8" ht="39" customHeight="1" x14ac:dyDescent="0.25">
      <c r="C48" s="58" t="s">
        <v>48</v>
      </c>
      <c r="D48" s="59">
        <f>D46/F24</f>
        <v>0.13142815406414618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3CEFB15E-EA2A-4D9E-BB8C-CEEB9AAEDD5B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AD21AD9-CDDD-4D5B-8A1F-A7435F49A944}">
          <x14:formula1>
            <xm:f>Liste!$C$2:$C$5</xm:f>
          </x14:formula1>
          <xm:sqref>B29</xm:sqref>
        </x14:dataValidation>
        <x14:dataValidation type="list" allowBlank="1" showInputMessage="1" showErrorMessage="1" xr:uid="{A3408955-5786-40EC-BC48-D0AEDCCC69B5}">
          <x14:formula1>
            <xm:f>Liste!$A$21:$A$22</xm:f>
          </x14:formula1>
          <xm:sqref>B40</xm:sqref>
        </x14:dataValidation>
        <x14:dataValidation type="list" allowBlank="1" showInputMessage="1" showErrorMessage="1" xr:uid="{6DECD82B-0B8F-4555-95CB-1AC68B4F6590}">
          <x14:formula1>
            <xm:f>Liste!$A$24:$A$25</xm:f>
          </x14:formula1>
          <xm:sqref>B42</xm:sqref>
        </x14:dataValidation>
        <x14:dataValidation type="list" allowBlank="1" showInputMessage="1" showErrorMessage="1" xr:uid="{2DED5F14-B006-4EC6-8DE7-A2FD408B758A}">
          <x14:formula1>
            <xm:f>Liste!$C$7:$C$16</xm:f>
          </x14:formula1>
          <xm:sqref>B30:B33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A9CFF-4A86-4BDE-A665-5DB13A7A7A9B}">
  <sheetPr>
    <tabColor theme="4" tint="0.39997558519241921"/>
  </sheetPr>
  <dimension ref="A1:H48"/>
  <sheetViews>
    <sheetView topLeftCell="A12" workbookViewId="0">
      <selection activeCell="G30" sqref="G30"/>
    </sheetView>
  </sheetViews>
  <sheetFormatPr baseColWidth="10" defaultColWidth="11.44140625" defaultRowHeight="13.2" x14ac:dyDescent="0.25"/>
  <cols>
    <col min="1" max="1" width="32.44140625" style="1" customWidth="1"/>
    <col min="2" max="2" width="20.6640625" style="1" customWidth="1"/>
    <col min="3" max="3" width="20.44140625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7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7" x14ac:dyDescent="0.25">
      <c r="A3" s="126" t="s">
        <v>5</v>
      </c>
      <c r="B3" s="126"/>
      <c r="C3" s="126"/>
      <c r="D3" s="126"/>
      <c r="E3" s="126"/>
      <c r="F3" s="126"/>
      <c r="G3" s="126"/>
    </row>
    <row r="4" spans="1:7" ht="15" x14ac:dyDescent="0.25">
      <c r="A4" s="2"/>
      <c r="B4" s="5" t="s">
        <v>10</v>
      </c>
      <c r="D4" s="11" t="s">
        <v>12</v>
      </c>
      <c r="F4" s="129" t="s">
        <v>15</v>
      </c>
      <c r="G4" s="130" t="s">
        <v>688</v>
      </c>
    </row>
    <row r="5" spans="1:7" ht="15" x14ac:dyDescent="0.25">
      <c r="A5" s="5" t="s">
        <v>8</v>
      </c>
      <c r="B5" s="10" t="s">
        <v>403</v>
      </c>
      <c r="C5" s="10"/>
      <c r="D5" s="17">
        <v>28.44</v>
      </c>
      <c r="E5" s="6"/>
      <c r="F5" s="129"/>
      <c r="G5" s="131"/>
    </row>
    <row r="6" spans="1:7" ht="15" x14ac:dyDescent="0.25">
      <c r="A6" s="5" t="s">
        <v>9</v>
      </c>
      <c r="B6" s="10" t="s">
        <v>83</v>
      </c>
      <c r="C6" s="10"/>
      <c r="D6" s="6">
        <v>1.9E-2</v>
      </c>
      <c r="F6" s="2"/>
      <c r="G6" s="2"/>
    </row>
    <row r="7" spans="1:7" ht="15" x14ac:dyDescent="0.25">
      <c r="A7" s="5" t="s">
        <v>16</v>
      </c>
      <c r="B7" s="12" t="s">
        <v>404</v>
      </c>
      <c r="C7" s="12"/>
    </row>
    <row r="8" spans="1:7" ht="15" x14ac:dyDescent="0.25">
      <c r="A8" s="11" t="s">
        <v>71</v>
      </c>
      <c r="B8" s="18">
        <v>61.9</v>
      </c>
    </row>
    <row r="9" spans="1:7" x14ac:dyDescent="0.25">
      <c r="A9" s="11" t="s">
        <v>72</v>
      </c>
      <c r="B9" s="77">
        <v>42.03</v>
      </c>
    </row>
    <row r="10" spans="1:7" ht="15" x14ac:dyDescent="0.25">
      <c r="A10" s="5"/>
      <c r="B10" s="11" t="s">
        <v>70</v>
      </c>
      <c r="C10" s="2"/>
      <c r="D10" s="2"/>
      <c r="G10" s="11" t="s">
        <v>61</v>
      </c>
    </row>
    <row r="11" spans="1:7" ht="15" x14ac:dyDescent="0.25">
      <c r="B11" s="17">
        <v>2591</v>
      </c>
      <c r="D11" s="2"/>
      <c r="G11" s="18">
        <v>0</v>
      </c>
    </row>
    <row r="12" spans="1:7" ht="15.6" x14ac:dyDescent="0.3">
      <c r="A12" s="5" t="s">
        <v>62</v>
      </c>
      <c r="B12" s="17">
        <v>91.5</v>
      </c>
      <c r="C12" s="72"/>
      <c r="D12" s="2"/>
      <c r="E12" s="2"/>
      <c r="F12" s="53" t="s">
        <v>55</v>
      </c>
      <c r="G12" s="53" t="s">
        <v>56</v>
      </c>
    </row>
    <row r="13" spans="1:7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7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7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7" x14ac:dyDescent="0.25">
      <c r="A16" s="66" t="s">
        <v>405</v>
      </c>
      <c r="B16" s="66" t="s">
        <v>208</v>
      </c>
      <c r="C16" s="66">
        <v>680</v>
      </c>
      <c r="D16" s="66">
        <v>5</v>
      </c>
      <c r="E16" s="68">
        <f>C16*D16</f>
        <v>3400</v>
      </c>
      <c r="F16" s="88">
        <f>(466*5)*0.2922</f>
        <v>680.82600000000002</v>
      </c>
      <c r="G16" s="68">
        <f>F16+E16</f>
        <v>4080.826</v>
      </c>
    </row>
    <row r="17" spans="1:8" x14ac:dyDescent="0.25">
      <c r="A17" s="66"/>
      <c r="B17" s="66"/>
      <c r="C17" s="66"/>
      <c r="D17" s="66"/>
      <c r="E17" s="68">
        <f t="shared" ref="E17:E22" si="0">C17*D17</f>
        <v>0</v>
      </c>
      <c r="F17" s="88"/>
      <c r="G17" s="68">
        <f>F17+E17</f>
        <v>0</v>
      </c>
    </row>
    <row r="18" spans="1:8" x14ac:dyDescent="0.25">
      <c r="A18" s="83" t="s">
        <v>269</v>
      </c>
      <c r="B18" s="66"/>
      <c r="C18" s="66"/>
      <c r="D18" s="66"/>
      <c r="E18" s="68">
        <f t="shared" si="0"/>
        <v>0</v>
      </c>
      <c r="F18" s="66"/>
      <c r="G18" s="68">
        <f t="shared" ref="G18:G22" si="1">(E18*F18)+E18</f>
        <v>0</v>
      </c>
    </row>
    <row r="19" spans="1:8" x14ac:dyDescent="0.25">
      <c r="A19" s="66"/>
      <c r="B19" s="66"/>
      <c r="C19" s="66"/>
      <c r="D19" s="66"/>
      <c r="E19" s="68">
        <f t="shared" si="0"/>
        <v>0</v>
      </c>
      <c r="F19" s="66"/>
      <c r="G19" s="68">
        <f t="shared" si="1"/>
        <v>0</v>
      </c>
    </row>
    <row r="20" spans="1:8" ht="15" customHeight="1" x14ac:dyDescent="0.25">
      <c r="A20" s="15"/>
      <c r="B20" s="66"/>
      <c r="C20" s="69"/>
      <c r="D20" s="69"/>
      <c r="E20" s="66">
        <f t="shared" si="0"/>
        <v>0</v>
      </c>
      <c r="F20" s="66"/>
      <c r="G20" s="68">
        <f t="shared" si="1"/>
        <v>0</v>
      </c>
    </row>
    <row r="21" spans="1:8" ht="15" customHeight="1" x14ac:dyDescent="0.25">
      <c r="A21" s="15"/>
      <c r="B21" s="66"/>
      <c r="C21" s="69"/>
      <c r="D21" s="69"/>
      <c r="E21" s="66">
        <f t="shared" si="0"/>
        <v>0</v>
      </c>
      <c r="F21" s="66"/>
      <c r="G21" s="68">
        <f t="shared" si="1"/>
        <v>0</v>
      </c>
    </row>
    <row r="22" spans="1:8" ht="15" customHeight="1" x14ac:dyDescent="0.25">
      <c r="A22" s="66"/>
      <c r="B22" s="69"/>
      <c r="C22" s="69"/>
      <c r="D22" s="69"/>
      <c r="E22" s="66">
        <f t="shared" si="0"/>
        <v>0</v>
      </c>
      <c r="F22" s="66"/>
      <c r="G22" s="68">
        <f t="shared" si="1"/>
        <v>0</v>
      </c>
    </row>
    <row r="23" spans="1:8" ht="15" x14ac:dyDescent="0.25">
      <c r="A23" s="2"/>
      <c r="B23" s="2"/>
      <c r="C23" s="2"/>
      <c r="D23" s="2"/>
      <c r="E23" s="2"/>
      <c r="F23" s="2"/>
      <c r="G23" s="2"/>
    </row>
    <row r="24" spans="1:8" ht="30" customHeight="1" x14ac:dyDescent="0.25">
      <c r="A24" s="106" t="s">
        <v>312</v>
      </c>
      <c r="B24" s="132" t="s">
        <v>11</v>
      </c>
      <c r="C24" s="132"/>
      <c r="D24" s="132"/>
      <c r="E24" s="132"/>
      <c r="F24" s="113">
        <f>SUM(G16:G22)</f>
        <v>4080.826</v>
      </c>
      <c r="G24" s="113"/>
    </row>
    <row r="25" spans="1:8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8" ht="15" x14ac:dyDescent="0.25">
      <c r="A26" s="2"/>
      <c r="B26" s="2"/>
      <c r="C26" s="2"/>
      <c r="D26" s="2"/>
      <c r="E26" s="2"/>
      <c r="F26" s="2"/>
      <c r="G26" s="2"/>
    </row>
    <row r="27" spans="1:8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8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8" ht="15" x14ac:dyDescent="0.25">
      <c r="A29" s="43" t="s">
        <v>236</v>
      </c>
      <c r="B29" s="41" t="s">
        <v>368</v>
      </c>
      <c r="C29" s="40">
        <f>IFERROR(VLOOKUP(B29,Liste!C1:D5,2,FALSE),"")</f>
        <v>3000</v>
      </c>
      <c r="D29" s="54">
        <f>IFERROR(C29/4.33,0)</f>
        <v>692.84064665127016</v>
      </c>
      <c r="H29" s="7"/>
    </row>
    <row r="30" spans="1:8" ht="15" x14ac:dyDescent="0.3">
      <c r="A30" s="43" t="s">
        <v>66</v>
      </c>
      <c r="B30" s="46" t="s">
        <v>43</v>
      </c>
      <c r="C30" s="40">
        <f>IFERROR(VLOOKUP(B30,Liste!$C$7:$D$15,2,FALSE),"")</f>
        <v>400</v>
      </c>
      <c r="D30" s="54">
        <f>IFERROR(C30/4.33,0)</f>
        <v>92.378752886836025</v>
      </c>
      <c r="H30" s="7"/>
    </row>
    <row r="31" spans="1:8" ht="15" x14ac:dyDescent="0.3">
      <c r="A31" s="43" t="s">
        <v>67</v>
      </c>
      <c r="B31" s="46" t="s">
        <v>69</v>
      </c>
      <c r="C31" s="40" t="str">
        <f>IFERROR(VLOOKUP(B31,Liste!$C$7:$D$15,2,FALSE),"")</f>
        <v/>
      </c>
      <c r="D31" s="54">
        <f t="shared" ref="D31:D33" si="2">IFERROR(C31/4.33,0)</f>
        <v>0</v>
      </c>
      <c r="H31" s="7"/>
    </row>
    <row r="32" spans="1:8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2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2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0</v>
      </c>
      <c r="D34" s="54">
        <f>(B11*D5/100)*C34</f>
        <v>0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1.365</v>
      </c>
      <c r="D35" s="54">
        <f>(D5*B11/100)*C35</f>
        <v>1005.8417460000002</v>
      </c>
      <c r="H35" s="7"/>
    </row>
    <row r="36" spans="1:8" ht="15" x14ac:dyDescent="0.3">
      <c r="A36" s="43" t="s">
        <v>3</v>
      </c>
      <c r="B36" s="42"/>
      <c r="C36" s="65">
        <v>0</v>
      </c>
      <c r="D36" s="54">
        <f>(D6*B11)*C36</f>
        <v>0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103.64</v>
      </c>
      <c r="E38" s="49"/>
      <c r="H38" s="7"/>
    </row>
    <row r="39" spans="1:8" ht="15" x14ac:dyDescent="0.25">
      <c r="A39" s="43" t="s">
        <v>13</v>
      </c>
      <c r="B39" s="41">
        <f>B12</f>
        <v>91.5</v>
      </c>
      <c r="C39" s="56">
        <v>5</v>
      </c>
      <c r="D39" s="54">
        <f>(C39*B39)</f>
        <v>457.5</v>
      </c>
      <c r="E39" s="85"/>
      <c r="H39" s="7"/>
    </row>
    <row r="40" spans="1:8" ht="15" x14ac:dyDescent="0.25">
      <c r="A40" s="43" t="s">
        <v>14</v>
      </c>
      <c r="B40" s="48" t="s">
        <v>56</v>
      </c>
      <c r="C40" s="40">
        <v>1</v>
      </c>
      <c r="D40" s="40">
        <v>1157.76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3509.9611455381064</v>
      </c>
    </row>
    <row r="46" spans="1:8" x14ac:dyDescent="0.25">
      <c r="C46" s="6" t="s">
        <v>49</v>
      </c>
      <c r="D46" s="47">
        <f>F24-D45</f>
        <v>570.86485446189363</v>
      </c>
    </row>
    <row r="48" spans="1:8" ht="39" customHeight="1" x14ac:dyDescent="0.25">
      <c r="C48" s="58" t="s">
        <v>48</v>
      </c>
      <c r="D48" s="59">
        <f>D46/F24</f>
        <v>0.13988953571210672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271F0732-781F-4142-83DE-71E3C165706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F936BF8-CAE6-499D-9977-09843EF99F04}">
          <x14:formula1>
            <xm:f>Liste!$C$7:$C$16</xm:f>
          </x14:formula1>
          <xm:sqref>B30:B33</xm:sqref>
        </x14:dataValidation>
        <x14:dataValidation type="list" allowBlank="1" showInputMessage="1" showErrorMessage="1" xr:uid="{8A7DDF0B-0554-401C-B13C-FB6174172524}">
          <x14:formula1>
            <xm:f>Liste!$A$24:$A$25</xm:f>
          </x14:formula1>
          <xm:sqref>B42</xm:sqref>
        </x14:dataValidation>
        <x14:dataValidation type="list" allowBlank="1" showInputMessage="1" showErrorMessage="1" xr:uid="{D79D4929-34B6-4EB8-89DF-73D6D60B85E4}">
          <x14:formula1>
            <xm:f>Liste!$A$21:$A$22</xm:f>
          </x14:formula1>
          <xm:sqref>B40</xm:sqref>
        </x14:dataValidation>
        <x14:dataValidation type="list" allowBlank="1" showInputMessage="1" showErrorMessage="1" xr:uid="{E4B0EEAE-B56A-4EC5-96EB-B2A650C34041}">
          <x14:formula1>
            <xm:f>Liste!$C$2:$C$5</xm:f>
          </x14:formula1>
          <xm:sqref>B29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93F47-E181-4599-9EF6-F8B086A55AAC}">
  <sheetPr>
    <tabColor theme="4" tint="0.39997558519241921"/>
  </sheetPr>
  <dimension ref="A1:H48"/>
  <sheetViews>
    <sheetView topLeftCell="A10" workbookViewId="0">
      <selection activeCell="A25" sqref="A25"/>
    </sheetView>
  </sheetViews>
  <sheetFormatPr baseColWidth="10" defaultColWidth="11.44140625" defaultRowHeight="13.2" x14ac:dyDescent="0.25"/>
  <cols>
    <col min="1" max="1" width="32.44140625" style="1" customWidth="1"/>
    <col min="2" max="2" width="20.6640625" style="1" customWidth="1"/>
    <col min="3" max="3" width="20.44140625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7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7" x14ac:dyDescent="0.25">
      <c r="A3" s="126" t="s">
        <v>5</v>
      </c>
      <c r="B3" s="126"/>
      <c r="C3" s="126"/>
      <c r="D3" s="126"/>
      <c r="E3" s="126"/>
      <c r="F3" s="126"/>
      <c r="G3" s="126"/>
    </row>
    <row r="4" spans="1:7" ht="15" x14ac:dyDescent="0.25">
      <c r="A4" s="2"/>
      <c r="B4" s="5" t="s">
        <v>10</v>
      </c>
      <c r="D4" s="11" t="s">
        <v>12</v>
      </c>
      <c r="F4" s="129" t="s">
        <v>15</v>
      </c>
      <c r="G4" s="130" t="s">
        <v>688</v>
      </c>
    </row>
    <row r="5" spans="1:7" ht="15" x14ac:dyDescent="0.25">
      <c r="A5" s="5" t="s">
        <v>8</v>
      </c>
      <c r="B5" s="10" t="s">
        <v>407</v>
      </c>
      <c r="C5" s="10"/>
      <c r="D5" s="17">
        <v>29.66</v>
      </c>
      <c r="E5" s="6"/>
      <c r="F5" s="129"/>
      <c r="G5" s="131"/>
    </row>
    <row r="6" spans="1:7" ht="15" x14ac:dyDescent="0.25">
      <c r="A6" s="5" t="s">
        <v>9</v>
      </c>
      <c r="B6" s="10" t="s">
        <v>83</v>
      </c>
      <c r="C6" s="10"/>
      <c r="D6" s="6">
        <v>1.9E-2</v>
      </c>
      <c r="F6" s="2"/>
      <c r="G6" s="2"/>
    </row>
    <row r="7" spans="1:7" ht="15" x14ac:dyDescent="0.25">
      <c r="A7" s="5" t="s">
        <v>16</v>
      </c>
      <c r="B7" s="12" t="s">
        <v>408</v>
      </c>
      <c r="C7" s="12"/>
    </row>
    <row r="8" spans="1:7" ht="15" x14ac:dyDescent="0.25">
      <c r="A8" s="11" t="s">
        <v>71</v>
      </c>
      <c r="B8" s="18">
        <v>50.16</v>
      </c>
    </row>
    <row r="9" spans="1:7" x14ac:dyDescent="0.25">
      <c r="A9" s="11" t="s">
        <v>72</v>
      </c>
      <c r="B9" s="77">
        <v>37.51</v>
      </c>
    </row>
    <row r="10" spans="1:7" ht="15" x14ac:dyDescent="0.25">
      <c r="A10" s="5"/>
      <c r="B10" s="11" t="s">
        <v>70</v>
      </c>
      <c r="C10" s="2"/>
      <c r="D10" s="2"/>
      <c r="G10" s="11" t="s">
        <v>61</v>
      </c>
    </row>
    <row r="11" spans="1:7" ht="15" x14ac:dyDescent="0.25">
      <c r="B11" s="17">
        <v>2130</v>
      </c>
      <c r="D11" s="2"/>
      <c r="G11" s="18">
        <v>0</v>
      </c>
    </row>
    <row r="12" spans="1:7" ht="15.6" x14ac:dyDescent="0.3">
      <c r="A12" s="5" t="s">
        <v>62</v>
      </c>
      <c r="B12" s="17">
        <v>43</v>
      </c>
      <c r="C12" s="72"/>
      <c r="D12" s="2"/>
      <c r="E12" s="2"/>
      <c r="F12" s="53" t="s">
        <v>55</v>
      </c>
      <c r="G12" s="53" t="s">
        <v>56</v>
      </c>
    </row>
    <row r="13" spans="1:7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7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7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7" x14ac:dyDescent="0.25">
      <c r="A16" s="66" t="s">
        <v>409</v>
      </c>
      <c r="B16" s="66" t="s">
        <v>208</v>
      </c>
      <c r="C16" s="66">
        <v>530</v>
      </c>
      <c r="D16" s="66">
        <v>5</v>
      </c>
      <c r="E16" s="68">
        <f>C16*D16</f>
        <v>2650</v>
      </c>
      <c r="F16" s="88">
        <f>(336*5)*0.2922</f>
        <v>490.89600000000002</v>
      </c>
      <c r="G16" s="68">
        <f>F16+E16</f>
        <v>3140.8960000000002</v>
      </c>
    </row>
    <row r="17" spans="1:8" x14ac:dyDescent="0.25">
      <c r="A17" s="66"/>
      <c r="B17" s="66"/>
      <c r="C17" s="66"/>
      <c r="D17" s="66"/>
      <c r="E17" s="68">
        <f t="shared" ref="E17:E22" si="0">C17*D17</f>
        <v>0</v>
      </c>
      <c r="F17" s="88"/>
      <c r="G17" s="68">
        <f>F17+E17</f>
        <v>0</v>
      </c>
    </row>
    <row r="18" spans="1:8" x14ac:dyDescent="0.25">
      <c r="A18" s="83" t="s">
        <v>269</v>
      </c>
      <c r="B18" s="66"/>
      <c r="C18" s="66"/>
      <c r="D18" s="66"/>
      <c r="E18" s="68">
        <f t="shared" si="0"/>
        <v>0</v>
      </c>
      <c r="F18" s="66"/>
      <c r="G18" s="68">
        <f t="shared" ref="G18:G22" si="1">(E18*F18)+E18</f>
        <v>0</v>
      </c>
    </row>
    <row r="19" spans="1:8" x14ac:dyDescent="0.25">
      <c r="A19" s="66"/>
      <c r="B19" s="66"/>
      <c r="C19" s="66"/>
      <c r="D19" s="66"/>
      <c r="E19" s="68">
        <f t="shared" si="0"/>
        <v>0</v>
      </c>
      <c r="F19" s="66"/>
      <c r="G19" s="68">
        <f t="shared" si="1"/>
        <v>0</v>
      </c>
    </row>
    <row r="20" spans="1:8" ht="15" customHeight="1" x14ac:dyDescent="0.25">
      <c r="A20" s="15"/>
      <c r="B20" s="66"/>
      <c r="C20" s="69"/>
      <c r="D20" s="69"/>
      <c r="E20" s="66">
        <f t="shared" si="0"/>
        <v>0</v>
      </c>
      <c r="F20" s="66"/>
      <c r="G20" s="68">
        <f t="shared" si="1"/>
        <v>0</v>
      </c>
    </row>
    <row r="21" spans="1:8" ht="15" customHeight="1" x14ac:dyDescent="0.25">
      <c r="A21" s="15"/>
      <c r="B21" s="66"/>
      <c r="C21" s="69"/>
      <c r="D21" s="69"/>
      <c r="E21" s="66">
        <f t="shared" si="0"/>
        <v>0</v>
      </c>
      <c r="F21" s="66"/>
      <c r="G21" s="68">
        <f t="shared" si="1"/>
        <v>0</v>
      </c>
    </row>
    <row r="22" spans="1:8" ht="15" customHeight="1" x14ac:dyDescent="0.25">
      <c r="A22" s="66"/>
      <c r="B22" s="69"/>
      <c r="C22" s="69"/>
      <c r="D22" s="69"/>
      <c r="E22" s="66">
        <f t="shared" si="0"/>
        <v>0</v>
      </c>
      <c r="F22" s="66"/>
      <c r="G22" s="68">
        <f t="shared" si="1"/>
        <v>0</v>
      </c>
    </row>
    <row r="23" spans="1:8" ht="15" x14ac:dyDescent="0.25">
      <c r="A23" s="2"/>
      <c r="B23" s="2"/>
      <c r="C23" s="2"/>
      <c r="D23" s="2"/>
      <c r="E23" s="2"/>
      <c r="F23" s="2"/>
      <c r="G23" s="2"/>
    </row>
    <row r="24" spans="1:8" ht="30" customHeight="1" x14ac:dyDescent="0.25">
      <c r="A24" s="106" t="s">
        <v>313</v>
      </c>
      <c r="B24" s="132" t="s">
        <v>11</v>
      </c>
      <c r="C24" s="132"/>
      <c r="D24" s="132"/>
      <c r="E24" s="132"/>
      <c r="F24" s="113">
        <f>SUM(G16:G22)</f>
        <v>3140.8960000000002</v>
      </c>
      <c r="G24" s="113"/>
    </row>
    <row r="25" spans="1:8" ht="18" x14ac:dyDescent="0.35">
      <c r="A25" s="86" t="s">
        <v>371</v>
      </c>
      <c r="B25" s="2"/>
      <c r="C25" s="2"/>
      <c r="D25" s="2"/>
      <c r="E25" s="9"/>
      <c r="F25" s="2"/>
      <c r="G25" s="112"/>
    </row>
    <row r="26" spans="1:8" ht="15" x14ac:dyDescent="0.25">
      <c r="A26" s="2"/>
      <c r="B26" s="2"/>
      <c r="C26" s="2"/>
      <c r="D26" s="2"/>
      <c r="E26" s="2"/>
      <c r="F26" s="2"/>
      <c r="G26" s="2"/>
    </row>
    <row r="27" spans="1:8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8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8" ht="15" x14ac:dyDescent="0.25">
      <c r="A29" s="43" t="s">
        <v>236</v>
      </c>
      <c r="B29" s="41" t="s">
        <v>368</v>
      </c>
      <c r="C29" s="40">
        <f>IFERROR(VLOOKUP(B29,Liste!C1:D5,2,FALSE),"")</f>
        <v>3000</v>
      </c>
      <c r="D29" s="54">
        <f>IFERROR(C29/4.33,0)</f>
        <v>692.84064665127016</v>
      </c>
      <c r="H29" s="7"/>
    </row>
    <row r="30" spans="1:8" ht="15" x14ac:dyDescent="0.3">
      <c r="A30" s="43" t="s">
        <v>66</v>
      </c>
      <c r="B30" s="46" t="s">
        <v>43</v>
      </c>
      <c r="C30" s="40">
        <f>IFERROR(VLOOKUP(B30,Liste!$C$7:$D$15,2,FALSE),"")</f>
        <v>400</v>
      </c>
      <c r="D30" s="54">
        <f>IFERROR(C30/4.33,0)</f>
        <v>92.378752886836025</v>
      </c>
      <c r="H30" s="7"/>
    </row>
    <row r="31" spans="1:8" ht="15" x14ac:dyDescent="0.3">
      <c r="A31" s="43" t="s">
        <v>67</v>
      </c>
      <c r="B31" s="46" t="s">
        <v>69</v>
      </c>
      <c r="C31" s="40" t="str">
        <f>IFERROR(VLOOKUP(B31,Liste!$C$7:$D$15,2,FALSE),"")</f>
        <v/>
      </c>
      <c r="D31" s="54">
        <f t="shared" ref="D31:D33" si="2">IFERROR(C31/4.33,0)</f>
        <v>0</v>
      </c>
      <c r="H31" s="7"/>
    </row>
    <row r="32" spans="1:8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2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2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0</v>
      </c>
      <c r="D34" s="54">
        <f>(B11*D5/100)*C34</f>
        <v>0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1.3553999999999999</v>
      </c>
      <c r="D35" s="54">
        <f>(D5*B11/100)*C35</f>
        <v>856.28479319999997</v>
      </c>
      <c r="H35" s="7"/>
    </row>
    <row r="36" spans="1:8" ht="15" x14ac:dyDescent="0.3">
      <c r="A36" s="43" t="s">
        <v>3</v>
      </c>
      <c r="B36" s="42"/>
      <c r="C36" s="65">
        <v>0</v>
      </c>
      <c r="D36" s="54">
        <f>(D6*B11)*C36</f>
        <v>0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85.2</v>
      </c>
      <c r="E38" s="49"/>
      <c r="H38" s="7"/>
    </row>
    <row r="39" spans="1:8" ht="15" x14ac:dyDescent="0.25">
      <c r="A39" s="43" t="s">
        <v>13</v>
      </c>
      <c r="B39" s="41">
        <f>B12</f>
        <v>43</v>
      </c>
      <c r="C39" s="56">
        <v>5</v>
      </c>
      <c r="D39" s="54">
        <f>(C39*B39)</f>
        <v>215</v>
      </c>
      <c r="E39" s="85"/>
      <c r="H39" s="7"/>
    </row>
    <row r="40" spans="1:8" ht="15" x14ac:dyDescent="0.25">
      <c r="A40" s="43" t="s">
        <v>14</v>
      </c>
      <c r="B40" s="48" t="s">
        <v>56</v>
      </c>
      <c r="C40" s="40">
        <v>1</v>
      </c>
      <c r="D40" s="40">
        <v>1201.03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3142.7341927381062</v>
      </c>
    </row>
    <row r="46" spans="1:8" x14ac:dyDescent="0.25">
      <c r="C46" s="6" t="s">
        <v>49</v>
      </c>
      <c r="D46" s="47">
        <f>F24-D45</f>
        <v>-1.838192738106045</v>
      </c>
    </row>
    <row r="48" spans="1:8" ht="39" customHeight="1" x14ac:dyDescent="0.25">
      <c r="C48" s="58" t="s">
        <v>48</v>
      </c>
      <c r="D48" s="59">
        <f>D46/F24</f>
        <v>-5.8524470027216595E-4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E863991E-DA5C-4952-804D-26E8CB678581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FF11033-D2A1-40CB-A703-8053E9285300}">
          <x14:formula1>
            <xm:f>Liste!$C$2:$C$5</xm:f>
          </x14:formula1>
          <xm:sqref>B29</xm:sqref>
        </x14:dataValidation>
        <x14:dataValidation type="list" allowBlank="1" showInputMessage="1" showErrorMessage="1" xr:uid="{E8CC55AD-BBC8-491B-A5F2-0A34E9F414D4}">
          <x14:formula1>
            <xm:f>Liste!$A$21:$A$22</xm:f>
          </x14:formula1>
          <xm:sqref>B40</xm:sqref>
        </x14:dataValidation>
        <x14:dataValidation type="list" allowBlank="1" showInputMessage="1" showErrorMessage="1" xr:uid="{6EBC63ED-EC68-48CD-8937-4F917A9B4CDF}">
          <x14:formula1>
            <xm:f>Liste!$A$24:$A$25</xm:f>
          </x14:formula1>
          <xm:sqref>B42</xm:sqref>
        </x14:dataValidation>
        <x14:dataValidation type="list" allowBlank="1" showInputMessage="1" showErrorMessage="1" xr:uid="{4EE94E4B-36AE-405E-A504-A0CD5F1FD526}">
          <x14:formula1>
            <xm:f>Liste!$C$7:$C$16</xm:f>
          </x14:formula1>
          <xm:sqref>B30:B33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F88D1-17D3-40D6-A2AF-20379E0C929A}">
  <sheetPr>
    <tabColor theme="4" tint="0.39997558519241921"/>
  </sheetPr>
  <dimension ref="A1:H48"/>
  <sheetViews>
    <sheetView workbookViewId="0">
      <selection sqref="A1:G1"/>
    </sheetView>
  </sheetViews>
  <sheetFormatPr baseColWidth="10" defaultColWidth="11.44140625" defaultRowHeight="13.2" x14ac:dyDescent="0.25"/>
  <cols>
    <col min="1" max="1" width="32.44140625" style="1" customWidth="1"/>
    <col min="2" max="2" width="20.6640625" style="1" customWidth="1"/>
    <col min="3" max="3" width="20.44140625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7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7" x14ac:dyDescent="0.25">
      <c r="A3" s="126" t="s">
        <v>5</v>
      </c>
      <c r="B3" s="126"/>
      <c r="C3" s="126"/>
      <c r="D3" s="126"/>
      <c r="E3" s="126"/>
      <c r="F3" s="126"/>
      <c r="G3" s="126"/>
    </row>
    <row r="4" spans="1:7" ht="15" x14ac:dyDescent="0.25">
      <c r="A4" s="2"/>
      <c r="B4" s="5" t="s">
        <v>10</v>
      </c>
      <c r="D4" s="11" t="s">
        <v>12</v>
      </c>
      <c r="F4" s="129" t="s">
        <v>15</v>
      </c>
      <c r="G4" s="130" t="s">
        <v>689</v>
      </c>
    </row>
    <row r="5" spans="1:7" ht="15" x14ac:dyDescent="0.25">
      <c r="A5" s="5" t="s">
        <v>8</v>
      </c>
      <c r="B5" s="10" t="s">
        <v>411</v>
      </c>
      <c r="C5" s="10"/>
      <c r="D5" s="17">
        <v>32.450000000000003</v>
      </c>
      <c r="E5" s="6"/>
      <c r="F5" s="129"/>
      <c r="G5" s="131"/>
    </row>
    <row r="6" spans="1:7" ht="15" x14ac:dyDescent="0.25">
      <c r="A6" s="5" t="s">
        <v>9</v>
      </c>
      <c r="B6" s="10" t="s">
        <v>83</v>
      </c>
      <c r="C6" s="10"/>
      <c r="D6" s="6">
        <v>1.9E-2</v>
      </c>
      <c r="F6" s="2"/>
      <c r="G6" s="2"/>
    </row>
    <row r="7" spans="1:7" ht="15" x14ac:dyDescent="0.25">
      <c r="A7" s="5" t="s">
        <v>16</v>
      </c>
      <c r="B7" s="12" t="s">
        <v>412</v>
      </c>
      <c r="C7" s="12"/>
    </row>
    <row r="8" spans="1:7" ht="15" x14ac:dyDescent="0.25">
      <c r="A8" s="11" t="s">
        <v>71</v>
      </c>
      <c r="B8" s="18">
        <v>46.85</v>
      </c>
    </row>
    <row r="9" spans="1:7" x14ac:dyDescent="0.25">
      <c r="A9" s="11" t="s">
        <v>72</v>
      </c>
      <c r="B9" s="77">
        <v>35.53</v>
      </c>
    </row>
    <row r="10" spans="1:7" ht="15" x14ac:dyDescent="0.25">
      <c r="A10" s="5"/>
      <c r="B10" s="11" t="s">
        <v>70</v>
      </c>
      <c r="C10" s="2"/>
      <c r="D10" s="2"/>
      <c r="G10" s="11" t="s">
        <v>61</v>
      </c>
    </row>
    <row r="11" spans="1:7" ht="15" x14ac:dyDescent="0.25">
      <c r="B11" s="17">
        <v>2368</v>
      </c>
      <c r="D11" s="2"/>
      <c r="G11" s="18">
        <v>0</v>
      </c>
    </row>
    <row r="12" spans="1:7" ht="15.6" x14ac:dyDescent="0.3">
      <c r="A12" s="5" t="s">
        <v>62</v>
      </c>
      <c r="B12" s="17">
        <v>138</v>
      </c>
      <c r="C12" s="72"/>
      <c r="D12" s="2"/>
      <c r="E12" s="2"/>
      <c r="F12" s="53" t="s">
        <v>55</v>
      </c>
      <c r="G12" s="53" t="s">
        <v>56</v>
      </c>
    </row>
    <row r="13" spans="1:7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7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7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7" x14ac:dyDescent="0.25">
      <c r="A16" s="66" t="s">
        <v>413</v>
      </c>
      <c r="B16" s="66" t="s">
        <v>208</v>
      </c>
      <c r="C16" s="66">
        <v>640</v>
      </c>
      <c r="D16" s="66">
        <v>5</v>
      </c>
      <c r="E16" s="68">
        <f>C16*D16</f>
        <v>3200</v>
      </c>
      <c r="F16" s="87">
        <v>-2.2599999999999999E-2</v>
      </c>
      <c r="G16" s="68">
        <f t="shared" ref="G16:G22" si="0">(E16*F16)+E16</f>
        <v>3127.68</v>
      </c>
    </row>
    <row r="17" spans="1:8" x14ac:dyDescent="0.25">
      <c r="A17" s="66" t="s">
        <v>414</v>
      </c>
      <c r="B17" s="66" t="s">
        <v>258</v>
      </c>
      <c r="C17" s="66">
        <v>196.64</v>
      </c>
      <c r="D17" s="66">
        <v>1</v>
      </c>
      <c r="E17" s="68">
        <f t="shared" ref="E17:E22" si="1">C17*D17</f>
        <v>196.64</v>
      </c>
      <c r="F17" s="87">
        <v>3.9774999999999998E-2</v>
      </c>
      <c r="G17" s="68">
        <f t="shared" si="0"/>
        <v>204.46135599999999</v>
      </c>
    </row>
    <row r="18" spans="1:8" x14ac:dyDescent="0.25">
      <c r="A18" s="66" t="s">
        <v>415</v>
      </c>
      <c r="B18" s="66" t="s">
        <v>258</v>
      </c>
      <c r="C18" s="66">
        <v>228.27</v>
      </c>
      <c r="D18" s="66">
        <v>1</v>
      </c>
      <c r="E18" s="68">
        <f t="shared" si="1"/>
        <v>228.27</v>
      </c>
      <c r="F18" s="87">
        <v>3.9774999999999998E-2</v>
      </c>
      <c r="G18" s="68">
        <f t="shared" si="0"/>
        <v>237.34943925000002</v>
      </c>
    </row>
    <row r="19" spans="1:8" x14ac:dyDescent="0.25">
      <c r="A19" s="66" t="s">
        <v>705</v>
      </c>
      <c r="B19" s="66" t="s">
        <v>258</v>
      </c>
      <c r="C19" s="66">
        <v>127.84</v>
      </c>
      <c r="D19" s="66">
        <v>1</v>
      </c>
      <c r="E19" s="68">
        <f t="shared" si="1"/>
        <v>127.84</v>
      </c>
      <c r="F19" s="87">
        <v>3.9774999999999998E-2</v>
      </c>
      <c r="G19" s="68">
        <f t="shared" si="0"/>
        <v>132.924836</v>
      </c>
    </row>
    <row r="20" spans="1:8" ht="15" customHeight="1" x14ac:dyDescent="0.25">
      <c r="A20" s="15"/>
      <c r="B20" s="66"/>
      <c r="C20" s="69"/>
      <c r="D20" s="69"/>
      <c r="E20" s="66">
        <f t="shared" si="1"/>
        <v>0</v>
      </c>
      <c r="F20" s="66"/>
      <c r="G20" s="68">
        <f t="shared" si="0"/>
        <v>0</v>
      </c>
    </row>
    <row r="21" spans="1:8" ht="15" customHeight="1" x14ac:dyDescent="0.25">
      <c r="A21" s="15"/>
      <c r="B21" s="66"/>
      <c r="C21" s="69"/>
      <c r="D21" s="69"/>
      <c r="E21" s="66">
        <f t="shared" si="1"/>
        <v>0</v>
      </c>
      <c r="F21" s="66"/>
      <c r="G21" s="68">
        <f t="shared" si="0"/>
        <v>0</v>
      </c>
    </row>
    <row r="22" spans="1:8" ht="15" customHeight="1" x14ac:dyDescent="0.25">
      <c r="A22" s="66"/>
      <c r="B22" s="69"/>
      <c r="C22" s="69"/>
      <c r="D22" s="69"/>
      <c r="E22" s="66">
        <f t="shared" si="1"/>
        <v>0</v>
      </c>
      <c r="F22" s="66"/>
      <c r="G22" s="68">
        <f t="shared" si="0"/>
        <v>0</v>
      </c>
    </row>
    <row r="23" spans="1:8" ht="15" x14ac:dyDescent="0.25">
      <c r="A23" s="2"/>
      <c r="B23" s="2"/>
      <c r="C23" s="2"/>
      <c r="D23" s="2"/>
      <c r="E23" s="2"/>
      <c r="F23" s="2"/>
      <c r="G23" s="2"/>
    </row>
    <row r="24" spans="1:8" ht="30" customHeight="1" x14ac:dyDescent="0.25">
      <c r="A24" s="106" t="s">
        <v>314</v>
      </c>
      <c r="B24" s="132" t="s">
        <v>11</v>
      </c>
      <c r="C24" s="132"/>
      <c r="D24" s="132"/>
      <c r="E24" s="132"/>
      <c r="F24" s="113">
        <f>SUM(G16:G22)</f>
        <v>3702.4156312499999</v>
      </c>
      <c r="G24" s="113"/>
    </row>
    <row r="25" spans="1:8" ht="18" x14ac:dyDescent="0.35">
      <c r="A25" s="86" t="s">
        <v>371</v>
      </c>
      <c r="B25" s="2"/>
      <c r="C25" s="2"/>
      <c r="D25" s="2"/>
      <c r="E25" s="9"/>
      <c r="F25" s="2"/>
      <c r="G25" s="112"/>
    </row>
    <row r="26" spans="1:8" ht="15" x14ac:dyDescent="0.25">
      <c r="A26" s="2"/>
      <c r="B26" s="2"/>
      <c r="C26" s="2"/>
      <c r="D26" s="2"/>
      <c r="E26" s="2"/>
      <c r="F26" s="2"/>
      <c r="G26" s="2"/>
    </row>
    <row r="27" spans="1:8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8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8" ht="15" x14ac:dyDescent="0.25">
      <c r="A29" s="43" t="s">
        <v>236</v>
      </c>
      <c r="B29" s="41" t="s">
        <v>86</v>
      </c>
      <c r="C29" s="40">
        <f>IFERROR(VLOOKUP(B29,Liste!C1:D5,2,FALSE),"")</f>
        <v>2500</v>
      </c>
      <c r="D29" s="54">
        <f>IFERROR(C29/4.33,0)</f>
        <v>577.36720554272517</v>
      </c>
      <c r="H29" s="7"/>
    </row>
    <row r="30" spans="1:8" ht="15" x14ac:dyDescent="0.3">
      <c r="A30" s="43" t="s">
        <v>66</v>
      </c>
      <c r="B30" s="46" t="s">
        <v>43</v>
      </c>
      <c r="C30" s="40">
        <f>IFERROR(VLOOKUP(B30,Liste!$C$7:$D$15,2,FALSE),"")</f>
        <v>400</v>
      </c>
      <c r="D30" s="54">
        <f>IFERROR(C30/4.33,0)</f>
        <v>92.378752886836025</v>
      </c>
      <c r="H30" s="7"/>
    </row>
    <row r="31" spans="1:8" ht="15" x14ac:dyDescent="0.3">
      <c r="A31" s="43" t="s">
        <v>67</v>
      </c>
      <c r="B31" s="46" t="s">
        <v>69</v>
      </c>
      <c r="C31" s="40" t="str">
        <f>IFERROR(VLOOKUP(B31,Liste!$C$7:$D$15,2,FALSE),"")</f>
        <v/>
      </c>
      <c r="D31" s="54">
        <f t="shared" ref="D31:D33" si="2">IFERROR(C31/4.33,0)</f>
        <v>0</v>
      </c>
      <c r="H31" s="7"/>
    </row>
    <row r="32" spans="1:8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2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2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1.3553999999999999</v>
      </c>
      <c r="D34" s="54">
        <f>(B11*D5/100)*C34</f>
        <v>1041.5110463999999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0</v>
      </c>
      <c r="D35" s="54">
        <f>(D5*B11/100)*C35</f>
        <v>0</v>
      </c>
      <c r="H35" s="7"/>
    </row>
    <row r="36" spans="1:8" ht="15" x14ac:dyDescent="0.3">
      <c r="A36" s="43" t="s">
        <v>3</v>
      </c>
      <c r="B36" s="42"/>
      <c r="C36" s="65">
        <v>0.43090000000000001</v>
      </c>
      <c r="D36" s="54">
        <f>(D6*B11)*C36</f>
        <v>19.387052799999999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94.72</v>
      </c>
      <c r="E38" s="49"/>
      <c r="H38" s="7"/>
    </row>
    <row r="39" spans="1:8" ht="15" x14ac:dyDescent="0.25">
      <c r="A39" s="43" t="s">
        <v>13</v>
      </c>
      <c r="B39" s="41">
        <f>B12</f>
        <v>138</v>
      </c>
      <c r="C39" s="56">
        <v>5</v>
      </c>
      <c r="D39" s="54">
        <f>(C39*B39)</f>
        <v>690</v>
      </c>
      <c r="E39" s="85"/>
      <c r="H39" s="7"/>
    </row>
    <row r="40" spans="1:8" ht="15" x14ac:dyDescent="0.25">
      <c r="A40" s="43" t="s">
        <v>14</v>
      </c>
      <c r="B40" s="48" t="s">
        <v>56</v>
      </c>
      <c r="C40" s="40">
        <v>1</v>
      </c>
      <c r="D40" s="40">
        <v>1233.8699999999999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3749.234057629561</v>
      </c>
    </row>
    <row r="46" spans="1:8" x14ac:dyDescent="0.25">
      <c r="C46" s="6" t="s">
        <v>49</v>
      </c>
      <c r="D46" s="47">
        <f>F24-D45</f>
        <v>-46.81842637956106</v>
      </c>
    </row>
    <row r="48" spans="1:8" ht="39" customHeight="1" x14ac:dyDescent="0.25">
      <c r="C48" s="58" t="s">
        <v>48</v>
      </c>
      <c r="D48" s="59">
        <f>D46/F24</f>
        <v>-1.2645372924744904E-2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A68BB0D3-474D-48AA-BB8F-F03BE720D52C}"/>
  </hyperlink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D1CBB0B-BF93-47C8-96EC-40952E321549}">
          <x14:formula1>
            <xm:f>Liste!$C$7:$C$16</xm:f>
          </x14:formula1>
          <xm:sqref>B30:B33</xm:sqref>
        </x14:dataValidation>
        <x14:dataValidation type="list" allowBlank="1" showInputMessage="1" showErrorMessage="1" xr:uid="{E247A451-FFBA-4212-A454-4C21BA4B8A53}">
          <x14:formula1>
            <xm:f>Liste!$A$24:$A$25</xm:f>
          </x14:formula1>
          <xm:sqref>B42</xm:sqref>
        </x14:dataValidation>
        <x14:dataValidation type="list" allowBlank="1" showInputMessage="1" showErrorMessage="1" xr:uid="{389EDE6C-8F43-44E7-B0A3-587CE0DC0F52}">
          <x14:formula1>
            <xm:f>Liste!$A$21:$A$22</xm:f>
          </x14:formula1>
          <xm:sqref>B40</xm:sqref>
        </x14:dataValidation>
        <x14:dataValidation type="list" allowBlank="1" showInputMessage="1" showErrorMessage="1" xr:uid="{E17C9E5B-BBD2-4A5F-B63F-CC3140B5BE10}">
          <x14:formula1>
            <xm:f>Liste!$C$2:$C$5</xm:f>
          </x14:formula1>
          <xm:sqref>B29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C2B7B-E580-4766-B686-D9D963CD42B5}">
  <sheetPr>
    <tabColor theme="4" tint="0.39997558519241921"/>
  </sheetPr>
  <dimension ref="A1:H48"/>
  <sheetViews>
    <sheetView workbookViewId="0">
      <selection sqref="A1:XFD1048576"/>
    </sheetView>
  </sheetViews>
  <sheetFormatPr baseColWidth="10" defaultColWidth="11.44140625" defaultRowHeight="13.2" x14ac:dyDescent="0.25"/>
  <cols>
    <col min="1" max="1" width="32.44140625" style="1" customWidth="1"/>
    <col min="2" max="2" width="20.6640625" style="1" customWidth="1"/>
    <col min="3" max="3" width="20.44140625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7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7" x14ac:dyDescent="0.25">
      <c r="A3" s="126" t="s">
        <v>5</v>
      </c>
      <c r="B3" s="126"/>
      <c r="C3" s="126"/>
      <c r="D3" s="126"/>
      <c r="E3" s="126"/>
      <c r="F3" s="126"/>
      <c r="G3" s="126"/>
    </row>
    <row r="4" spans="1:7" ht="15" x14ac:dyDescent="0.25">
      <c r="A4" s="2"/>
      <c r="B4" s="5" t="s">
        <v>10</v>
      </c>
      <c r="D4" s="11" t="s">
        <v>12</v>
      </c>
      <c r="F4" s="129" t="s">
        <v>15</v>
      </c>
      <c r="G4" s="130" t="s">
        <v>688</v>
      </c>
    </row>
    <row r="5" spans="1:7" ht="15" x14ac:dyDescent="0.25">
      <c r="A5" s="5" t="s">
        <v>8</v>
      </c>
      <c r="B5" s="10" t="s">
        <v>417</v>
      </c>
      <c r="C5" s="10"/>
      <c r="D5" s="17">
        <v>36.57</v>
      </c>
      <c r="E5" s="6"/>
      <c r="F5" s="129"/>
      <c r="G5" s="131"/>
    </row>
    <row r="6" spans="1:7" ht="15" x14ac:dyDescent="0.25">
      <c r="A6" s="5" t="s">
        <v>9</v>
      </c>
      <c r="B6" s="10" t="s">
        <v>83</v>
      </c>
      <c r="C6" s="10"/>
      <c r="D6" s="6">
        <v>1.9E-2</v>
      </c>
      <c r="F6" s="2"/>
      <c r="G6" s="2"/>
    </row>
    <row r="7" spans="1:7" ht="15" x14ac:dyDescent="0.25">
      <c r="A7" s="5" t="s">
        <v>16</v>
      </c>
      <c r="B7" s="12" t="s">
        <v>418</v>
      </c>
      <c r="C7" s="12"/>
    </row>
    <row r="8" spans="1:7" ht="15" x14ac:dyDescent="0.25">
      <c r="A8" s="11" t="s">
        <v>71</v>
      </c>
      <c r="B8" s="18">
        <v>42.87</v>
      </c>
    </row>
    <row r="9" spans="1:7" x14ac:dyDescent="0.25">
      <c r="A9" s="11" t="s">
        <v>72</v>
      </c>
      <c r="B9" s="77">
        <v>29.73</v>
      </c>
    </row>
    <row r="10" spans="1:7" ht="15" x14ac:dyDescent="0.25">
      <c r="A10" s="5"/>
      <c r="B10" s="11" t="s">
        <v>70</v>
      </c>
      <c r="C10" s="2"/>
      <c r="D10" s="2"/>
      <c r="G10" s="11" t="s">
        <v>61</v>
      </c>
    </row>
    <row r="11" spans="1:7" ht="15" x14ac:dyDescent="0.25">
      <c r="B11" s="17">
        <v>1227</v>
      </c>
      <c r="D11" s="2"/>
      <c r="G11" s="18">
        <v>0</v>
      </c>
    </row>
    <row r="12" spans="1:7" ht="15.6" x14ac:dyDescent="0.3">
      <c r="A12" s="5" t="s">
        <v>62</v>
      </c>
      <c r="B12" s="17">
        <v>0</v>
      </c>
      <c r="C12" s="89" t="s">
        <v>419</v>
      </c>
      <c r="D12" s="2"/>
      <c r="E12" s="2"/>
      <c r="F12" s="53" t="s">
        <v>55</v>
      </c>
      <c r="G12" s="53" t="s">
        <v>56</v>
      </c>
    </row>
    <row r="13" spans="1:7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7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7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7" x14ac:dyDescent="0.25">
      <c r="A16" s="66" t="s">
        <v>420</v>
      </c>
      <c r="B16" s="66" t="s">
        <v>208</v>
      </c>
      <c r="C16" s="66">
        <v>559</v>
      </c>
      <c r="D16" s="66">
        <v>5</v>
      </c>
      <c r="E16" s="68">
        <f>C16*D16</f>
        <v>2795</v>
      </c>
      <c r="F16" s="87">
        <v>-4.2999999999999997E-2</v>
      </c>
      <c r="G16" s="68">
        <f t="shared" ref="G16:G22" si="0">(E16*F16)+E16</f>
        <v>2674.8150000000001</v>
      </c>
    </row>
    <row r="17" spans="1:8" x14ac:dyDescent="0.25">
      <c r="A17" s="66"/>
      <c r="B17" s="66"/>
      <c r="C17" s="66"/>
      <c r="D17" s="66"/>
      <c r="E17" s="68">
        <f t="shared" ref="E17:E22" si="1">C17*D17</f>
        <v>0</v>
      </c>
      <c r="F17" s="87"/>
      <c r="G17" s="68">
        <f t="shared" si="0"/>
        <v>0</v>
      </c>
    </row>
    <row r="18" spans="1:8" x14ac:dyDescent="0.25">
      <c r="A18" s="83" t="s">
        <v>269</v>
      </c>
      <c r="B18" s="66"/>
      <c r="C18" s="66"/>
      <c r="D18" s="66"/>
      <c r="E18" s="68">
        <f t="shared" si="1"/>
        <v>0</v>
      </c>
      <c r="F18" s="87"/>
      <c r="G18" s="68">
        <f t="shared" si="0"/>
        <v>0</v>
      </c>
    </row>
    <row r="19" spans="1:8" x14ac:dyDescent="0.25">
      <c r="A19" s="66"/>
      <c r="B19" s="66"/>
      <c r="C19" s="66"/>
      <c r="D19" s="66"/>
      <c r="E19" s="68">
        <f t="shared" si="1"/>
        <v>0</v>
      </c>
      <c r="F19" s="66"/>
      <c r="G19" s="68">
        <f t="shared" si="0"/>
        <v>0</v>
      </c>
    </row>
    <row r="20" spans="1:8" ht="15" customHeight="1" x14ac:dyDescent="0.25">
      <c r="A20" s="15"/>
      <c r="B20" s="66"/>
      <c r="C20" s="69"/>
      <c r="D20" s="69"/>
      <c r="E20" s="66">
        <f t="shared" si="1"/>
        <v>0</v>
      </c>
      <c r="F20" s="66"/>
      <c r="G20" s="68">
        <f t="shared" si="0"/>
        <v>0</v>
      </c>
    </row>
    <row r="21" spans="1:8" ht="15" customHeight="1" x14ac:dyDescent="0.25">
      <c r="A21" s="15"/>
      <c r="B21" s="66"/>
      <c r="C21" s="69"/>
      <c r="D21" s="69"/>
      <c r="E21" s="66">
        <f t="shared" si="1"/>
        <v>0</v>
      </c>
      <c r="F21" s="66"/>
      <c r="G21" s="68">
        <f t="shared" si="0"/>
        <v>0</v>
      </c>
    </row>
    <row r="22" spans="1:8" ht="15" customHeight="1" x14ac:dyDescent="0.25">
      <c r="A22" s="66"/>
      <c r="B22" s="69"/>
      <c r="C22" s="69"/>
      <c r="D22" s="69"/>
      <c r="E22" s="66">
        <f t="shared" si="1"/>
        <v>0</v>
      </c>
      <c r="F22" s="66"/>
      <c r="G22" s="68">
        <f t="shared" si="0"/>
        <v>0</v>
      </c>
    </row>
    <row r="23" spans="1:8" ht="15" x14ac:dyDescent="0.25">
      <c r="A23" s="2"/>
      <c r="B23" s="2"/>
      <c r="C23" s="2"/>
      <c r="D23" s="2"/>
      <c r="E23" s="2"/>
      <c r="F23" s="2"/>
      <c r="G23" s="2"/>
    </row>
    <row r="24" spans="1:8" ht="30" customHeight="1" x14ac:dyDescent="0.25">
      <c r="A24" s="106" t="s">
        <v>315</v>
      </c>
      <c r="B24" s="132" t="s">
        <v>11</v>
      </c>
      <c r="C24" s="132"/>
      <c r="D24" s="132"/>
      <c r="E24" s="132"/>
      <c r="F24" s="113">
        <f>SUM(G16:G22)</f>
        <v>2674.8150000000001</v>
      </c>
      <c r="G24" s="113"/>
    </row>
    <row r="25" spans="1:8" ht="18" x14ac:dyDescent="0.35">
      <c r="A25" s="86" t="s">
        <v>371</v>
      </c>
      <c r="B25" s="2"/>
      <c r="C25" s="2"/>
      <c r="D25" s="2"/>
      <c r="E25" s="9"/>
      <c r="F25" s="2"/>
      <c r="G25" s="112"/>
    </row>
    <row r="26" spans="1:8" ht="15" x14ac:dyDescent="0.25">
      <c r="A26" s="2"/>
      <c r="B26" s="2"/>
      <c r="C26" s="2"/>
      <c r="D26" s="2"/>
      <c r="E26" s="2"/>
      <c r="F26" s="2"/>
      <c r="G26" s="2"/>
    </row>
    <row r="27" spans="1:8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8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8" ht="15" x14ac:dyDescent="0.25">
      <c r="A29" s="43" t="s">
        <v>236</v>
      </c>
      <c r="B29" s="41" t="s">
        <v>86</v>
      </c>
      <c r="C29" s="40">
        <f>IFERROR(VLOOKUP(B29,Liste!C1:D5,2,FALSE),"")</f>
        <v>2500</v>
      </c>
      <c r="D29" s="54">
        <f>IFERROR(C29/4.33,0)</f>
        <v>577.36720554272517</v>
      </c>
      <c r="H29" s="7"/>
    </row>
    <row r="30" spans="1:8" ht="15" x14ac:dyDescent="0.3">
      <c r="A30" s="43" t="s">
        <v>66</v>
      </c>
      <c r="B30" s="46" t="s">
        <v>43</v>
      </c>
      <c r="C30" s="40">
        <f>IFERROR(VLOOKUP(B30,Liste!$C$7:$D$15,2,FALSE),"")</f>
        <v>400</v>
      </c>
      <c r="D30" s="54">
        <f>IFERROR(C30/4.33,0)</f>
        <v>92.378752886836025</v>
      </c>
      <c r="H30" s="7"/>
    </row>
    <row r="31" spans="1:8" ht="15" x14ac:dyDescent="0.3">
      <c r="A31" s="43" t="s">
        <v>67</v>
      </c>
      <c r="B31" s="46" t="s">
        <v>69</v>
      </c>
      <c r="C31" s="40" t="str">
        <f>IFERROR(VLOOKUP(B31,Liste!$C$7:$D$15,2,FALSE),"")</f>
        <v/>
      </c>
      <c r="D31" s="54">
        <f t="shared" ref="D31:D33" si="2">IFERROR(C31/4.33,0)</f>
        <v>0</v>
      </c>
      <c r="H31" s="7"/>
    </row>
    <row r="32" spans="1:8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2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2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1.3553999999999999</v>
      </c>
      <c r="D34" s="54">
        <f>(B11*D5/100)*C34</f>
        <v>608.18682005999995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0</v>
      </c>
      <c r="D35" s="54">
        <f>(D5*B11/100)*C35</f>
        <v>0</v>
      </c>
      <c r="H35" s="7"/>
    </row>
    <row r="36" spans="1:8" ht="15" x14ac:dyDescent="0.3">
      <c r="A36" s="43" t="s">
        <v>3</v>
      </c>
      <c r="B36" s="42"/>
      <c r="C36" s="65">
        <v>0.43090000000000001</v>
      </c>
      <c r="D36" s="54">
        <f>(D6*B11)*C36</f>
        <v>10.0455717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49.08</v>
      </c>
      <c r="E38" s="49"/>
      <c r="H38" s="7"/>
    </row>
    <row r="39" spans="1:8" ht="15" x14ac:dyDescent="0.25">
      <c r="A39" s="43" t="s">
        <v>13</v>
      </c>
      <c r="B39" s="41">
        <f>B12</f>
        <v>0</v>
      </c>
      <c r="C39" s="56">
        <v>5</v>
      </c>
      <c r="D39" s="54">
        <f>(C39*B39)</f>
        <v>0</v>
      </c>
      <c r="E39" s="85"/>
      <c r="H39" s="7"/>
    </row>
    <row r="40" spans="1:8" ht="15" x14ac:dyDescent="0.25">
      <c r="A40" s="43" t="s">
        <v>14</v>
      </c>
      <c r="B40" s="48" t="s">
        <v>56</v>
      </c>
      <c r="C40" s="40">
        <v>1</v>
      </c>
      <c r="D40" s="40">
        <v>939.75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2276.8083501895608</v>
      </c>
    </row>
    <row r="46" spans="1:8" x14ac:dyDescent="0.25">
      <c r="C46" s="6" t="s">
        <v>49</v>
      </c>
      <c r="D46" s="47">
        <f>F24-D45</f>
        <v>398.00664981043928</v>
      </c>
    </row>
    <row r="48" spans="1:8" ht="39" customHeight="1" x14ac:dyDescent="0.25">
      <c r="C48" s="58" t="s">
        <v>48</v>
      </c>
      <c r="D48" s="59">
        <f>D46/F24</f>
        <v>0.14879782333000199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E86D7C88-62CA-4E1E-993E-CFA64D0478B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708B618-7553-49A8-BA85-A85F646F8730}">
          <x14:formula1>
            <xm:f>Liste!$C$2:$C$5</xm:f>
          </x14:formula1>
          <xm:sqref>B29</xm:sqref>
        </x14:dataValidation>
        <x14:dataValidation type="list" allowBlank="1" showInputMessage="1" showErrorMessage="1" xr:uid="{C2B74AFC-2027-4B8B-B44E-127750FCB9A3}">
          <x14:formula1>
            <xm:f>Liste!$A$21:$A$22</xm:f>
          </x14:formula1>
          <xm:sqref>B40</xm:sqref>
        </x14:dataValidation>
        <x14:dataValidation type="list" allowBlank="1" showInputMessage="1" showErrorMessage="1" xr:uid="{E193120D-38F6-493B-9782-94EA39A3FA0D}">
          <x14:formula1>
            <xm:f>Liste!$A$24:$A$25</xm:f>
          </x14:formula1>
          <xm:sqref>B42</xm:sqref>
        </x14:dataValidation>
        <x14:dataValidation type="list" allowBlank="1" showInputMessage="1" showErrorMessage="1" xr:uid="{9414343C-540D-4118-86D3-4F90ECAA7533}">
          <x14:formula1>
            <xm:f>Liste!$C$7:$C$16</xm:f>
          </x14:formula1>
          <xm:sqref>B30:B33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62A20-5E20-4E16-8522-6384F2ECA0BB}">
  <sheetPr>
    <tabColor theme="4" tint="0.39997558519241921"/>
  </sheetPr>
  <dimension ref="A1:I48"/>
  <sheetViews>
    <sheetView workbookViewId="0">
      <selection activeCell="E8" sqref="E8"/>
    </sheetView>
  </sheetViews>
  <sheetFormatPr baseColWidth="10" defaultColWidth="11.44140625" defaultRowHeight="13.2" x14ac:dyDescent="0.25"/>
  <cols>
    <col min="1" max="1" width="32.44140625" style="1" customWidth="1"/>
    <col min="2" max="2" width="20.6640625" style="1" customWidth="1"/>
    <col min="3" max="3" width="20.44140625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9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9" x14ac:dyDescent="0.25">
      <c r="A3" s="126" t="s">
        <v>5</v>
      </c>
      <c r="B3" s="126"/>
      <c r="C3" s="126"/>
      <c r="D3" s="126"/>
      <c r="E3" s="126"/>
      <c r="F3" s="126"/>
      <c r="G3" s="126"/>
    </row>
    <row r="4" spans="1:9" ht="15" x14ac:dyDescent="0.25">
      <c r="A4" s="2"/>
      <c r="B4" s="5" t="s">
        <v>10</v>
      </c>
      <c r="D4" s="11" t="s">
        <v>12</v>
      </c>
      <c r="F4" s="129" t="s">
        <v>15</v>
      </c>
      <c r="G4" s="130" t="s">
        <v>689</v>
      </c>
    </row>
    <row r="5" spans="1:9" ht="15" x14ac:dyDescent="0.25">
      <c r="A5" s="5" t="s">
        <v>8</v>
      </c>
      <c r="B5" s="10" t="s">
        <v>776</v>
      </c>
      <c r="C5" s="10"/>
      <c r="D5" s="17">
        <v>35</v>
      </c>
      <c r="E5" s="6"/>
      <c r="F5" s="129"/>
      <c r="G5" s="131"/>
    </row>
    <row r="6" spans="1:9" ht="15" x14ac:dyDescent="0.25">
      <c r="A6" s="5" t="s">
        <v>9</v>
      </c>
      <c r="B6" s="10"/>
      <c r="C6" s="10"/>
      <c r="D6" s="6">
        <v>1.9E-2</v>
      </c>
      <c r="F6" s="2"/>
      <c r="G6" s="2"/>
    </row>
    <row r="7" spans="1:9" ht="15" x14ac:dyDescent="0.25">
      <c r="A7" s="5" t="s">
        <v>16</v>
      </c>
      <c r="B7" s="12" t="s">
        <v>775</v>
      </c>
      <c r="C7" s="12"/>
    </row>
    <row r="8" spans="1:9" ht="15" x14ac:dyDescent="0.25">
      <c r="A8" s="11" t="s">
        <v>71</v>
      </c>
      <c r="B8" s="18">
        <v>53.25</v>
      </c>
    </row>
    <row r="9" spans="1:9" x14ac:dyDescent="0.25">
      <c r="A9" s="11" t="s">
        <v>72</v>
      </c>
      <c r="B9" s="77">
        <v>46.17</v>
      </c>
    </row>
    <row r="10" spans="1:9" ht="15" x14ac:dyDescent="0.25">
      <c r="A10" s="5"/>
      <c r="B10" s="11" t="s">
        <v>70</v>
      </c>
      <c r="C10" s="2"/>
      <c r="D10" s="2"/>
      <c r="G10" s="11" t="s">
        <v>61</v>
      </c>
    </row>
    <row r="11" spans="1:9" ht="15" x14ac:dyDescent="0.25">
      <c r="B11" s="17">
        <v>351</v>
      </c>
      <c r="D11" s="2"/>
      <c r="G11" s="18">
        <v>0</v>
      </c>
    </row>
    <row r="12" spans="1:9" ht="15.6" x14ac:dyDescent="0.3">
      <c r="A12" s="5" t="s">
        <v>62</v>
      </c>
      <c r="B12" s="17">
        <v>0</v>
      </c>
      <c r="C12" s="89" t="s">
        <v>419</v>
      </c>
      <c r="D12" s="2"/>
      <c r="E12" s="2"/>
      <c r="F12" s="53" t="s">
        <v>55</v>
      </c>
      <c r="G12" s="53" t="s">
        <v>56</v>
      </c>
    </row>
    <row r="13" spans="1:9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9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9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9" x14ac:dyDescent="0.25">
      <c r="A16" s="66" t="s">
        <v>777</v>
      </c>
      <c r="B16" s="66" t="s">
        <v>381</v>
      </c>
      <c r="C16" s="66">
        <v>310.66000000000003</v>
      </c>
      <c r="D16" s="66">
        <v>5</v>
      </c>
      <c r="E16" s="68">
        <f>C16*D16</f>
        <v>1553.3000000000002</v>
      </c>
      <c r="F16" s="87">
        <v>0</v>
      </c>
      <c r="G16" s="68">
        <f t="shared" ref="G16:G22" si="0">(E16*F16)+E16</f>
        <v>1553.3000000000002</v>
      </c>
      <c r="I16" s="1" t="s">
        <v>778</v>
      </c>
    </row>
    <row r="17" spans="1:8" x14ac:dyDescent="0.25">
      <c r="A17" s="66" t="s">
        <v>780</v>
      </c>
      <c r="B17" s="66" t="s">
        <v>779</v>
      </c>
      <c r="C17" s="66">
        <v>410</v>
      </c>
      <c r="D17" s="66">
        <v>1</v>
      </c>
      <c r="E17" s="68">
        <f t="shared" ref="E17:E22" si="1">C17*D17</f>
        <v>410</v>
      </c>
      <c r="F17" s="87">
        <v>-9.1000000000000004E-3</v>
      </c>
      <c r="G17" s="68">
        <f t="shared" si="0"/>
        <v>406.26900000000001</v>
      </c>
    </row>
    <row r="18" spans="1:8" x14ac:dyDescent="0.25">
      <c r="A18" s="83"/>
      <c r="B18" s="66"/>
      <c r="C18" s="66"/>
      <c r="D18" s="66"/>
      <c r="E18" s="68">
        <f t="shared" si="1"/>
        <v>0</v>
      </c>
      <c r="F18" s="87"/>
      <c r="G18" s="68">
        <f t="shared" si="0"/>
        <v>0</v>
      </c>
    </row>
    <row r="19" spans="1:8" x14ac:dyDescent="0.25">
      <c r="A19" s="66"/>
      <c r="B19" s="66"/>
      <c r="C19" s="66"/>
      <c r="D19" s="66"/>
      <c r="E19" s="68">
        <f t="shared" si="1"/>
        <v>0</v>
      </c>
      <c r="F19" s="66"/>
      <c r="G19" s="68">
        <f t="shared" si="0"/>
        <v>0</v>
      </c>
    </row>
    <row r="20" spans="1:8" ht="15" customHeight="1" x14ac:dyDescent="0.25">
      <c r="A20" s="15"/>
      <c r="B20" s="66"/>
      <c r="C20" s="69"/>
      <c r="D20" s="69"/>
      <c r="E20" s="66">
        <f t="shared" si="1"/>
        <v>0</v>
      </c>
      <c r="F20" s="66"/>
      <c r="G20" s="68">
        <f t="shared" si="0"/>
        <v>0</v>
      </c>
    </row>
    <row r="21" spans="1:8" ht="15" customHeight="1" x14ac:dyDescent="0.25">
      <c r="A21" s="15"/>
      <c r="B21" s="66"/>
      <c r="C21" s="69"/>
      <c r="D21" s="69"/>
      <c r="E21" s="66">
        <f t="shared" si="1"/>
        <v>0</v>
      </c>
      <c r="F21" s="66"/>
      <c r="G21" s="68">
        <f t="shared" si="0"/>
        <v>0</v>
      </c>
    </row>
    <row r="22" spans="1:8" ht="15" customHeight="1" x14ac:dyDescent="0.25">
      <c r="A22" s="66"/>
      <c r="B22" s="69"/>
      <c r="C22" s="69"/>
      <c r="D22" s="69"/>
      <c r="E22" s="66">
        <f t="shared" si="1"/>
        <v>0</v>
      </c>
      <c r="F22" s="66"/>
      <c r="G22" s="68">
        <f t="shared" si="0"/>
        <v>0</v>
      </c>
    </row>
    <row r="23" spans="1:8" ht="15" x14ac:dyDescent="0.25">
      <c r="A23" s="2"/>
      <c r="B23" s="2"/>
      <c r="C23" s="2"/>
      <c r="D23" s="2"/>
      <c r="E23" s="2"/>
      <c r="F23" s="2"/>
      <c r="G23" s="2"/>
    </row>
    <row r="24" spans="1:8" ht="30" customHeight="1" x14ac:dyDescent="0.25">
      <c r="A24" s="106" t="s">
        <v>781</v>
      </c>
      <c r="B24" s="132" t="s">
        <v>11</v>
      </c>
      <c r="C24" s="132"/>
      <c r="D24" s="132"/>
      <c r="E24" s="132"/>
      <c r="F24" s="113">
        <f>SUM(G16:G22)</f>
        <v>1959.5690000000002</v>
      </c>
      <c r="G24" s="113"/>
    </row>
    <row r="25" spans="1:8" ht="18" x14ac:dyDescent="0.35">
      <c r="A25" s="86" t="s">
        <v>371</v>
      </c>
      <c r="B25" s="2"/>
      <c r="C25" s="2"/>
      <c r="D25" s="2"/>
      <c r="E25" s="9"/>
      <c r="F25" s="2"/>
      <c r="G25" s="112"/>
    </row>
    <row r="26" spans="1:8" ht="15" x14ac:dyDescent="0.25">
      <c r="A26" s="2"/>
      <c r="B26" s="2"/>
      <c r="C26" s="2"/>
      <c r="D26" s="2"/>
      <c r="E26" s="2"/>
      <c r="F26" s="2"/>
      <c r="G26" s="2"/>
    </row>
    <row r="27" spans="1:8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8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8" ht="15" x14ac:dyDescent="0.25">
      <c r="A29" s="43" t="s">
        <v>236</v>
      </c>
      <c r="B29" s="41" t="s">
        <v>86</v>
      </c>
      <c r="C29" s="40">
        <f>IFERROR(VLOOKUP(B29,Liste!C1:D5,2,FALSE),"")</f>
        <v>2500</v>
      </c>
      <c r="D29" s="54">
        <f>IFERROR(C29/4.33,0)</f>
        <v>577.36720554272517</v>
      </c>
      <c r="H29" s="7"/>
    </row>
    <row r="30" spans="1:8" ht="15" x14ac:dyDescent="0.3">
      <c r="A30" s="43" t="s">
        <v>66</v>
      </c>
      <c r="B30" s="46" t="s">
        <v>69</v>
      </c>
      <c r="C30" s="40" t="str">
        <f>IFERROR(VLOOKUP(B30,Liste!$C$7:$D$15,2,FALSE),"")</f>
        <v/>
      </c>
      <c r="D30" s="54">
        <f>IFERROR(C30/4.33,0)</f>
        <v>0</v>
      </c>
      <c r="H30" s="7"/>
    </row>
    <row r="31" spans="1:8" ht="15" x14ac:dyDescent="0.3">
      <c r="A31" s="43" t="s">
        <v>67</v>
      </c>
      <c r="B31" s="46" t="s">
        <v>69</v>
      </c>
      <c r="C31" s="40" t="str">
        <f>IFERROR(VLOOKUP(B31,Liste!$C$7:$D$15,2,FALSE),"")</f>
        <v/>
      </c>
      <c r="D31" s="54">
        <f t="shared" ref="D31:D33" si="2">IFERROR(C31/4.33,0)</f>
        <v>0</v>
      </c>
      <c r="H31" s="7"/>
    </row>
    <row r="32" spans="1:8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2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2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1.3553999999999999</v>
      </c>
      <c r="D34" s="54">
        <f>(B11*D5/100)*C34</f>
        <v>166.51088999999999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0</v>
      </c>
      <c r="D35" s="54">
        <f>(D5*B11/100)*C35</f>
        <v>0</v>
      </c>
      <c r="H35" s="7"/>
    </row>
    <row r="36" spans="1:8" ht="15" x14ac:dyDescent="0.3">
      <c r="A36" s="43" t="s">
        <v>3</v>
      </c>
      <c r="B36" s="42"/>
      <c r="C36" s="65">
        <v>0.43090000000000001</v>
      </c>
      <c r="D36" s="54">
        <f>(D6*B11)*C36</f>
        <v>2.8736720999999998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14.040000000000001</v>
      </c>
      <c r="E38" s="49"/>
      <c r="H38" s="7"/>
    </row>
    <row r="39" spans="1:8" ht="15" x14ac:dyDescent="0.25">
      <c r="A39" s="43" t="s">
        <v>13</v>
      </c>
      <c r="B39" s="41">
        <f>B12</f>
        <v>0</v>
      </c>
      <c r="C39" s="56">
        <v>5</v>
      </c>
      <c r="D39" s="54">
        <f>(C39*B39)</f>
        <v>0</v>
      </c>
      <c r="E39" s="85"/>
      <c r="H39" s="7"/>
    </row>
    <row r="40" spans="1:8" ht="15" x14ac:dyDescent="0.25">
      <c r="A40" s="43" t="s">
        <v>14</v>
      </c>
      <c r="B40" s="48" t="s">
        <v>56</v>
      </c>
      <c r="C40" s="40">
        <v>1</v>
      </c>
      <c r="D40" s="40">
        <v>957.28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1718.0717676427253</v>
      </c>
    </row>
    <row r="46" spans="1:8" x14ac:dyDescent="0.25">
      <c r="C46" s="6" t="s">
        <v>49</v>
      </c>
      <c r="D46" s="47">
        <f>F24-D45</f>
        <v>241.49723235727492</v>
      </c>
    </row>
    <row r="48" spans="1:8" ht="39" customHeight="1" x14ac:dyDescent="0.25">
      <c r="C48" s="58" t="s">
        <v>48</v>
      </c>
      <c r="D48" s="59">
        <f>D46/F24</f>
        <v>0.12323997387041483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5D3C4936-A512-469B-AE38-41170F63DCF2}"/>
  </hyperlink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B046357-F861-4374-A9DB-E98D8671C50A}">
          <x14:formula1>
            <xm:f>Liste!$C$7:$C$16</xm:f>
          </x14:formula1>
          <xm:sqref>B30:B33</xm:sqref>
        </x14:dataValidation>
        <x14:dataValidation type="list" allowBlank="1" showInputMessage="1" showErrorMessage="1" xr:uid="{7B394190-B542-4322-8581-787A97E7AF0C}">
          <x14:formula1>
            <xm:f>Liste!$A$24:$A$25</xm:f>
          </x14:formula1>
          <xm:sqref>B42</xm:sqref>
        </x14:dataValidation>
        <x14:dataValidation type="list" allowBlank="1" showInputMessage="1" showErrorMessage="1" xr:uid="{66BD6394-4FAE-40E7-AAD6-3EBF859CE168}">
          <x14:formula1>
            <xm:f>Liste!$A$21:$A$22</xm:f>
          </x14:formula1>
          <xm:sqref>B40</xm:sqref>
        </x14:dataValidation>
        <x14:dataValidation type="list" allowBlank="1" showInputMessage="1" showErrorMessage="1" xr:uid="{A15426FC-C223-4060-98A3-EC6D95DDEFCE}">
          <x14:formula1>
            <xm:f>Liste!$C$2:$C$5</xm:f>
          </x14:formula1>
          <xm:sqref>B29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E946F-00B0-4912-95F3-8ABD02968452}">
  <sheetPr>
    <tabColor theme="4" tint="0.39997558519241921"/>
  </sheetPr>
  <dimension ref="A1:H48"/>
  <sheetViews>
    <sheetView topLeftCell="A30" workbookViewId="0">
      <selection activeCell="G33" sqref="G33"/>
    </sheetView>
  </sheetViews>
  <sheetFormatPr baseColWidth="10" defaultColWidth="11.44140625" defaultRowHeight="13.2" x14ac:dyDescent="0.25"/>
  <cols>
    <col min="1" max="1" width="32.44140625" style="1" customWidth="1"/>
    <col min="2" max="2" width="20.6640625" style="1" customWidth="1"/>
    <col min="3" max="3" width="20.44140625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7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7" x14ac:dyDescent="0.25">
      <c r="A3" s="126" t="s">
        <v>5</v>
      </c>
      <c r="B3" s="126"/>
      <c r="C3" s="126"/>
      <c r="D3" s="126"/>
      <c r="E3" s="126"/>
      <c r="F3" s="126"/>
      <c r="G3" s="126"/>
    </row>
    <row r="4" spans="1:7" ht="15" x14ac:dyDescent="0.25">
      <c r="A4" s="2"/>
      <c r="B4" s="5" t="s">
        <v>10</v>
      </c>
      <c r="D4" s="11" t="s">
        <v>12</v>
      </c>
      <c r="F4" s="129" t="s">
        <v>15</v>
      </c>
      <c r="G4" s="130" t="s">
        <v>251</v>
      </c>
    </row>
    <row r="5" spans="1:7" ht="15" x14ac:dyDescent="0.25">
      <c r="A5" s="5" t="s">
        <v>8</v>
      </c>
      <c r="B5" s="10"/>
      <c r="C5" s="10"/>
      <c r="D5" s="17"/>
      <c r="E5" s="6"/>
      <c r="F5" s="129"/>
      <c r="G5" s="131"/>
    </row>
    <row r="6" spans="1:7" ht="15" x14ac:dyDescent="0.25">
      <c r="A6" s="5" t="s">
        <v>9</v>
      </c>
      <c r="B6" s="10"/>
      <c r="C6" s="10"/>
      <c r="D6" s="6">
        <v>1.9E-2</v>
      </c>
      <c r="F6" s="2"/>
      <c r="G6" s="2"/>
    </row>
    <row r="7" spans="1:7" ht="15" x14ac:dyDescent="0.25">
      <c r="A7" s="5" t="s">
        <v>16</v>
      </c>
      <c r="B7" s="12"/>
      <c r="C7" s="12"/>
    </row>
    <row r="8" spans="1:7" ht="15" x14ac:dyDescent="0.25">
      <c r="A8" s="11" t="s">
        <v>71</v>
      </c>
      <c r="B8" s="18"/>
    </row>
    <row r="9" spans="1:7" x14ac:dyDescent="0.25">
      <c r="A9" s="11" t="s">
        <v>72</v>
      </c>
      <c r="B9" s="77"/>
    </row>
    <row r="10" spans="1:7" ht="15" x14ac:dyDescent="0.25">
      <c r="A10" s="5"/>
      <c r="B10" s="11" t="s">
        <v>70</v>
      </c>
      <c r="C10" s="2"/>
      <c r="D10" s="2"/>
      <c r="G10" s="11" t="s">
        <v>61</v>
      </c>
    </row>
    <row r="11" spans="1:7" ht="15" x14ac:dyDescent="0.25">
      <c r="B11" s="17"/>
      <c r="D11" s="2"/>
      <c r="G11" s="18">
        <v>0</v>
      </c>
    </row>
    <row r="12" spans="1:7" ht="15.6" x14ac:dyDescent="0.3">
      <c r="A12" s="5" t="s">
        <v>62</v>
      </c>
      <c r="B12" s="17">
        <v>0</v>
      </c>
      <c r="C12" s="89"/>
      <c r="D12" s="2"/>
      <c r="E12" s="2"/>
      <c r="F12" s="53" t="s">
        <v>55</v>
      </c>
      <c r="G12" s="53" t="s">
        <v>56</v>
      </c>
    </row>
    <row r="13" spans="1:7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7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7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7" x14ac:dyDescent="0.25">
      <c r="A16" s="134" t="s">
        <v>678</v>
      </c>
      <c r="B16" s="135"/>
      <c r="C16" s="135"/>
      <c r="D16" s="135"/>
      <c r="E16" s="135"/>
      <c r="F16" s="135"/>
      <c r="G16" s="136"/>
    </row>
    <row r="17" spans="1:8" x14ac:dyDescent="0.25">
      <c r="A17" s="137"/>
      <c r="B17" s="138"/>
      <c r="C17" s="138"/>
      <c r="D17" s="138"/>
      <c r="E17" s="138"/>
      <c r="F17" s="138"/>
      <c r="G17" s="139"/>
    </row>
    <row r="18" spans="1:8" x14ac:dyDescent="0.25">
      <c r="A18" s="137"/>
      <c r="B18" s="138"/>
      <c r="C18" s="138"/>
      <c r="D18" s="138"/>
      <c r="E18" s="138"/>
      <c r="F18" s="138"/>
      <c r="G18" s="139"/>
    </row>
    <row r="19" spans="1:8" x14ac:dyDescent="0.25">
      <c r="A19" s="137"/>
      <c r="B19" s="138"/>
      <c r="C19" s="138"/>
      <c r="D19" s="138"/>
      <c r="E19" s="138"/>
      <c r="F19" s="138"/>
      <c r="G19" s="139"/>
    </row>
    <row r="20" spans="1:8" ht="15" customHeight="1" x14ac:dyDescent="0.25">
      <c r="A20" s="137"/>
      <c r="B20" s="138"/>
      <c r="C20" s="138"/>
      <c r="D20" s="138"/>
      <c r="E20" s="138"/>
      <c r="F20" s="138"/>
      <c r="G20" s="139"/>
    </row>
    <row r="21" spans="1:8" ht="15" customHeight="1" x14ac:dyDescent="0.25">
      <c r="A21" s="137"/>
      <c r="B21" s="138"/>
      <c r="C21" s="138"/>
      <c r="D21" s="138"/>
      <c r="E21" s="138"/>
      <c r="F21" s="138"/>
      <c r="G21" s="139"/>
    </row>
    <row r="22" spans="1:8" ht="15" customHeight="1" x14ac:dyDescent="0.25">
      <c r="A22" s="140"/>
      <c r="B22" s="141"/>
      <c r="C22" s="141"/>
      <c r="D22" s="141"/>
      <c r="E22" s="141"/>
      <c r="F22" s="141"/>
      <c r="G22" s="142"/>
    </row>
    <row r="23" spans="1:8" ht="15" x14ac:dyDescent="0.25">
      <c r="A23" s="2"/>
      <c r="B23" s="2"/>
      <c r="C23" s="2"/>
      <c r="D23" s="2"/>
      <c r="E23" s="2"/>
      <c r="F23" s="2"/>
      <c r="G23" s="2"/>
    </row>
    <row r="24" spans="1:8" ht="30" customHeight="1" x14ac:dyDescent="0.25">
      <c r="A24" s="106" t="s">
        <v>678</v>
      </c>
      <c r="B24" s="132" t="s">
        <v>11</v>
      </c>
      <c r="C24" s="132"/>
      <c r="D24" s="132"/>
      <c r="E24" s="132"/>
      <c r="F24" s="114">
        <f>'CM21'!F24+'CM24'!F24+'CM27'!F24+'CM29'!F24+'CM34'!F24+'CM37'!F24+'CM39'!F24+'CM41'!F24+'CM42'!F24+'CM48'!F24+'CM60'!F24+'CM59'!F24+'CM26'!F24+'CM25'!F24+'CM23'!F24+'CM19'!F24+'CM15'!F24+'CM14'!F24+'CM7'!F24+'CM53'!F24+'CM44'!F24+'CM5'!F24+'CM10'!F24+'CM9'!F24+'CM8'!F24+'CM6'!F24+'CM4'!F24+'CM61'!F24</f>
        <v>132381.54423250002</v>
      </c>
      <c r="G24" s="2"/>
    </row>
    <row r="25" spans="1:8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8" ht="15" x14ac:dyDescent="0.25">
      <c r="A26" s="2"/>
      <c r="B26" s="2"/>
      <c r="C26" s="2"/>
      <c r="D26" s="2"/>
      <c r="E26" s="2"/>
      <c r="F26" s="2"/>
      <c r="G26" s="2"/>
    </row>
    <row r="27" spans="1:8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8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8" ht="15" x14ac:dyDescent="0.25">
      <c r="A29" s="43" t="s">
        <v>236</v>
      </c>
      <c r="B29" s="41" t="s">
        <v>86</v>
      </c>
      <c r="C29" s="40"/>
      <c r="D29" s="54">
        <f>'CM4'!D29+'CM6'!D29+'CM8'!D29+'CM9'!D29+'CM10'!D29+'CM5'!D29+'CM5'!D30+'CM44'!D29+'CM44'!D30+'CM53'!D29+'CM53'!D30+'CM7'!D29+'CM14'!D29+'CM15'!D29+'CM19'!D29+'CM19'!D30+'CM23'!D29+'CM25'!D29+'CM26'!D29+'CM59'!D29+'CM60'!D29+'CM48'!D29+'CM42'!D29+'CM41'!D29+'CM39'!D29+'CM37'!D29+'CM34'!D29+'CM29'!D29+'CM27'!D29+'CM24'!D29+'CM21'!D29+'CM61'!D29</f>
        <v>19399.53810623557</v>
      </c>
      <c r="H29" s="7"/>
    </row>
    <row r="30" spans="1:8" ht="15" x14ac:dyDescent="0.3">
      <c r="A30" s="43" t="s">
        <v>66</v>
      </c>
      <c r="B30" s="46" t="s">
        <v>43</v>
      </c>
      <c r="C30" s="40"/>
      <c r="D30" s="54">
        <f>'CM4'!D30+'CM6'!D30+'CM8'!D30+'CM9'!D30+'CM10'!D30+'CM5'!D31+'CM5'!D32+'CM44'!D31+'CM44'!D32+'CM53'!D31+'CM53'!D32+'CM7'!D30+'CM14'!D30+'CM15'!D30+'CM19'!D31+'CM19'!D32+'CM23'!D30+'CM25'!D30+'CM26'!D30+'CM59'!D30+'CM60'!D30+'CM48'!D30+'CM42'!D30+'CM41'!D30+'CM39'!D30+'CM37'!D30+'CM34'!D30+'CM29'!D30+'CM27'!D30+'CM24'!D30+'CM21'!D30</f>
        <v>2863.7413394919181</v>
      </c>
      <c r="H30" s="7"/>
    </row>
    <row r="31" spans="1:8" ht="15" x14ac:dyDescent="0.3">
      <c r="A31" s="43" t="s">
        <v>67</v>
      </c>
      <c r="B31" s="46" t="s">
        <v>69</v>
      </c>
      <c r="C31" s="40" t="str">
        <f>IFERROR(VLOOKUP(B31,Liste!$C$7:$D$15,2,FALSE),"")</f>
        <v/>
      </c>
      <c r="D31" s="54"/>
      <c r="H31" s="7"/>
    </row>
    <row r="32" spans="1:8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/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/>
      <c r="H33" s="7"/>
    </row>
    <row r="34" spans="1:8" ht="15" x14ac:dyDescent="0.25">
      <c r="A34" s="43" t="s">
        <v>2</v>
      </c>
      <c r="B34" s="41" t="s">
        <v>32</v>
      </c>
      <c r="C34" s="65"/>
      <c r="D34" s="54">
        <f>'CM21'!D34+'CM24'!D34+'CM27'!D34+'CM29'!D34+'CM34'!D34+'CM37'!D34+'CM39'!D34+'CM41'!D34+'CM42'!D34+'CM48'!D34+'CM60'!D34+'CM59'!D34+'CM26'!D34+'CM25'!D34+'CM23'!D34+'CM19'!D35+'CM15'!D34+'CM14'!D34+'CM7'!D34+'CM53'!D35+'CM44'!D35+'CM5'!D35+'CM10'!D34+'CM9'!D34+'CM8'!D34+'CM6'!D34+'CM4'!D34+'CM61'!D34</f>
        <v>25037.724495420003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/>
      <c r="D35" s="54">
        <f>'CM21'!D35+'CM24'!D35+'CM27'!D35+'CM29'!D35+'CM34'!D35+'CM37'!D35+'CM39'!D35+'CM41'!D35+'CM42'!D35+'CM48'!D35+'CM60'!D35+'CM59'!D35+'CM26'!D35+'CM25'!D35+'CM23'!D35+'CM19'!D36+'CM15'!D35+'CM14'!D35+'CM7'!D35+'CM53'!D36+'CM44'!D36+'CM5'!D36+'CM10'!D35+'CM9'!D35+'CM8'!D35+'CM6'!D35+'CM4'!D35</f>
        <v>6612.4046172000008</v>
      </c>
      <c r="H35" s="7"/>
    </row>
    <row r="36" spans="1:8" ht="15" x14ac:dyDescent="0.3">
      <c r="A36" s="43" t="s">
        <v>3</v>
      </c>
      <c r="B36" s="42"/>
      <c r="C36" s="65"/>
      <c r="D36" s="54">
        <f>'CM21'!D36+'CM24'!D36+'CM27'!D36+'CM29'!D36+'CM34'!D36+'CM37'!D36+'CM39'!D36+'CM41'!D36+'CM42'!D36+'CM48'!D36+'CM60'!D36+'CM59'!D36+'CM26'!D36+'CM25'!D36+'CM23'!D36+'CM19'!D37+'CM15'!D36+'CM14'!D36+'CM7'!D36+'CM53'!D37+'CM44'!D37+'CM5'!D37+'CM10'!D36+'CM9'!D36+'CM8'!D36+'CM6'!D36+'CM4'!D36+'CM61'!D36</f>
        <v>501.33706849999999</v>
      </c>
      <c r="H36" s="7"/>
    </row>
    <row r="37" spans="1:8" ht="15" x14ac:dyDescent="0.3">
      <c r="A37" s="43" t="s">
        <v>4</v>
      </c>
      <c r="B37" s="42"/>
      <c r="C37" s="48"/>
      <c r="D37" s="54"/>
      <c r="H37" s="7"/>
    </row>
    <row r="38" spans="1:8" ht="30" x14ac:dyDescent="0.3">
      <c r="A38" s="43" t="s">
        <v>52</v>
      </c>
      <c r="B38" s="42"/>
      <c r="C38" s="44">
        <v>0.04</v>
      </c>
      <c r="D38" s="54">
        <f>'CM21'!D38+'CM24'!D38+'CM27'!D38+'CM29'!D38+'CM34'!D38+'CM37'!D38+'CM39'!D38+'CM41'!D38+'CM42'!D38+'CM48'!D38+'CM60'!D38+'CM59'!D38+'CM26'!D38+'CM25'!D38+'CM23'!D38+'CM19'!D39+'CM15'!D38+'CM14'!D38+'CM7'!D38+'CM53'!D39+'CM44'!D39+'CM5'!D39+'CM10'!D38+'CM9'!D38+'CM8'!D38+'CM6'!D38+'CM4'!D38+'CM61'!D38</f>
        <v>3076.2799999999997</v>
      </c>
      <c r="E38" s="49"/>
      <c r="H38" s="7"/>
    </row>
    <row r="39" spans="1:8" ht="15" x14ac:dyDescent="0.25">
      <c r="A39" s="43" t="s">
        <v>13</v>
      </c>
      <c r="B39" s="41">
        <f>B12</f>
        <v>0</v>
      </c>
      <c r="C39" s="56"/>
      <c r="D39" s="54">
        <f>'CM21'!D39+'CM24'!D39+'CM27'!D39+'CM29'!D39+'CM34'!D39+'CM37'!D39+'CM39'!D39+'CM41'!D39+'CM42'!D39+'CM48'!D39+'CM60'!D39+'CM59'!D39+'CM26'!D39+'CM25'!D39+'CM23'!D39+'CM19'!D40+'CM15'!D39+'CM14'!D39+'CM7'!D39+'CM53'!D40+'CM44'!D40+'CM5'!D40+'CM10'!D39+'CM9'!D39+'CM8'!D39+'CM6'!D39+'CM4'!D39</f>
        <v>11876.08</v>
      </c>
      <c r="E39" s="85"/>
      <c r="H39" s="7"/>
    </row>
    <row r="40" spans="1:8" ht="15" x14ac:dyDescent="0.25">
      <c r="A40" s="43" t="s">
        <v>14</v>
      </c>
      <c r="B40" s="48" t="s">
        <v>56</v>
      </c>
      <c r="C40" s="40">
        <v>1</v>
      </c>
      <c r="D40" s="54">
        <f>'CM21'!D40+'CM24'!D40+'CM27'!D40+'CM29'!D40+'CM34'!D40+'CM37'!D40+'CM39'!D40+'CM41'!D40+'CM42'!D40+'CM48'!D40+'CM60'!D40+'CM59'!D40+'CM26'!D40+'CM25'!D40+'CM23'!D40+'CM19'!D41+'CM15'!D40+'CM14'!D40+'CM7'!D40+'CM53'!D41+'CM44'!D41+'CM5'!D41+'CM10'!D40+'CM9'!D40+'CM8'!D40+'CM6'!D40+'CM4'!D40+'CM61'!D40</f>
        <v>39453.040000000001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'CM21'!D41+'CM24'!D41+'CM27'!D41+'CM29'!D41+'CM34'!D41+'CM37'!D41+'CM39'!D41+'CM41'!D41+'CM42'!D41+'CM48'!D41+'CM59'!D41+'CM26'!D41+'CM25'!D41+'CM23'!D41+'CM19'!D42+'CM15'!D41+'CM14'!D41+'CM7'!D41+'CM53'!D42+'CM44'!D42+'CM5'!D42+'CM10'!D41+'CM9'!D41+'CM8'!D41+'CM6'!D41+'CM4'!D41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'CM21'!D42+'CM24'!D42+'CM27'!D42+'CM29'!D42+'CM34'!D42+'CM37'!D42+'CM39'!D42+'CM41'!D42+'CM42'!D42+'CM48'!D42+'CM59'!D42+'CM26'!D42+'CM25'!D42+'CM23'!D42+'CM19'!D42+'CM15'!D42+'CM14'!D42+'CM7'!D42+'CM53'!D42+'CM44'!D42+'CM5'!D42+'CM10'!D42+'CM9'!D42+'CM8'!D42+'CM6'!D42+'CM4'!D42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f>'CM21'!D43+'CM24'!D43+'CM27'!D43+'CM29'!D43+'CM34'!D43+'CM37'!D43+'CM39'!D43+'CM41'!D43+'CM42'!D43+'CM48'!D43+'CM59'!D43+'CM26'!D43+'CM25'!D43+'CM23'!D43+'CM19'!D43+'CM15'!D43+'CM14'!D43+'CM7'!D43+'CM53'!D43+'CM44'!D43+'CM5'!D43+'CM10'!D43+'CM9'!D43+'CM8'!D43+'CM6'!D43+'CM4'!D43</f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108820.14562684749</v>
      </c>
    </row>
    <row r="46" spans="1:8" x14ac:dyDescent="0.25">
      <c r="C46" s="6" t="s">
        <v>49</v>
      </c>
      <c r="D46" s="47">
        <f>F24-D45</f>
        <v>23561.398605652532</v>
      </c>
    </row>
    <row r="48" spans="1:8" ht="39" customHeight="1" x14ac:dyDescent="0.25">
      <c r="C48" s="58" t="s">
        <v>48</v>
      </c>
      <c r="D48" s="59">
        <f>D46/F24</f>
        <v>0.17798099230714479</v>
      </c>
    </row>
  </sheetData>
  <mergeCells count="7">
    <mergeCell ref="A27:G27"/>
    <mergeCell ref="A16:G22"/>
    <mergeCell ref="A1:G1"/>
    <mergeCell ref="A3:G3"/>
    <mergeCell ref="F4:F5"/>
    <mergeCell ref="G4:G5"/>
    <mergeCell ref="B24:E24"/>
  </mergeCells>
  <hyperlinks>
    <hyperlink ref="A25" location="Sommaire!A1" display="SOMMAIRE" xr:uid="{98256E7A-7BDD-4D1D-82EA-9536111FDB15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ADF4534-F5AF-4480-A300-D2F6DF29BFD4}">
          <x14:formula1>
            <xm:f>Liste!$C$7:$C$16</xm:f>
          </x14:formula1>
          <xm:sqref>B30:B33</xm:sqref>
        </x14:dataValidation>
        <x14:dataValidation type="list" allowBlank="1" showInputMessage="1" showErrorMessage="1" xr:uid="{F441C6EF-7F3A-47D0-ADC1-42B1452D3590}">
          <x14:formula1>
            <xm:f>Liste!$A$24:$A$25</xm:f>
          </x14:formula1>
          <xm:sqref>B42</xm:sqref>
        </x14:dataValidation>
        <x14:dataValidation type="list" allowBlank="1" showInputMessage="1" showErrorMessage="1" xr:uid="{1383C82E-9C84-4126-9BDD-43E2BF277BC7}">
          <x14:formula1>
            <xm:f>Liste!$A$21:$A$22</xm:f>
          </x14:formula1>
          <xm:sqref>B40</xm:sqref>
        </x14:dataValidation>
        <x14:dataValidation type="list" allowBlank="1" showInputMessage="1" showErrorMessage="1" xr:uid="{A5E78AE4-D87D-43EA-AD81-D7EFC2EC5DE4}">
          <x14:formula1>
            <xm:f>Liste!$C$2:$C$5</xm:f>
          </x14:formula1>
          <xm:sqref>B29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52417-2629-4153-8CAC-B9C1C47D2532}">
  <sheetPr>
    <tabColor theme="7" tint="0.39997558519241921"/>
  </sheetPr>
  <dimension ref="A1:I48"/>
  <sheetViews>
    <sheetView workbookViewId="0">
      <selection activeCell="B11" sqref="B11"/>
    </sheetView>
  </sheetViews>
  <sheetFormatPr baseColWidth="10" defaultColWidth="11.44140625" defaultRowHeight="13.2" x14ac:dyDescent="0.25"/>
  <cols>
    <col min="1" max="1" width="32.44140625" style="1" customWidth="1"/>
    <col min="2" max="2" width="20.6640625" style="1" customWidth="1"/>
    <col min="3" max="3" width="19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9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9" x14ac:dyDescent="0.25">
      <c r="A3" s="126" t="s">
        <v>5</v>
      </c>
      <c r="B3" s="126"/>
      <c r="C3" s="126"/>
      <c r="D3" s="126"/>
      <c r="E3" s="126"/>
      <c r="F3" s="126"/>
      <c r="G3" s="126"/>
    </row>
    <row r="4" spans="1:9" ht="15" x14ac:dyDescent="0.25">
      <c r="A4" s="2"/>
      <c r="B4" s="5" t="s">
        <v>10</v>
      </c>
      <c r="D4" s="11" t="s">
        <v>12</v>
      </c>
      <c r="F4" s="129" t="s">
        <v>15</v>
      </c>
      <c r="G4" s="130" t="s">
        <v>688</v>
      </c>
    </row>
    <row r="5" spans="1:9" ht="15" x14ac:dyDescent="0.25">
      <c r="A5" s="5" t="s">
        <v>8</v>
      </c>
      <c r="B5" s="10" t="s">
        <v>164</v>
      </c>
      <c r="C5" s="10"/>
      <c r="D5" s="17">
        <v>24.18</v>
      </c>
      <c r="E5" s="6"/>
      <c r="F5" s="129"/>
      <c r="G5" s="131"/>
    </row>
    <row r="6" spans="1:9" ht="15" x14ac:dyDescent="0.25">
      <c r="A6" s="5" t="s">
        <v>9</v>
      </c>
      <c r="B6" s="10" t="s">
        <v>295</v>
      </c>
      <c r="C6" s="10"/>
      <c r="D6" s="6">
        <v>1.9E-2</v>
      </c>
      <c r="F6" s="2"/>
      <c r="G6" s="2"/>
    </row>
    <row r="7" spans="1:9" ht="15" x14ac:dyDescent="0.25">
      <c r="A7" s="5" t="s">
        <v>16</v>
      </c>
      <c r="B7" s="12" t="s">
        <v>165</v>
      </c>
      <c r="C7" s="12"/>
      <c r="D7" s="63"/>
    </row>
    <row r="8" spans="1:9" ht="15" x14ac:dyDescent="0.25">
      <c r="A8" s="11" t="s">
        <v>71</v>
      </c>
      <c r="B8" s="18">
        <v>57.95</v>
      </c>
    </row>
    <row r="9" spans="1:9" x14ac:dyDescent="0.25">
      <c r="A9" s="11" t="s">
        <v>72</v>
      </c>
      <c r="B9" s="77">
        <v>46.68</v>
      </c>
    </row>
    <row r="10" spans="1:9" ht="15" x14ac:dyDescent="0.25">
      <c r="A10" s="5"/>
      <c r="B10" s="11" t="s">
        <v>70</v>
      </c>
      <c r="C10" s="2"/>
      <c r="D10" s="2"/>
      <c r="G10" s="11" t="s">
        <v>61</v>
      </c>
    </row>
    <row r="11" spans="1:9" ht="15" x14ac:dyDescent="0.25">
      <c r="B11" s="17">
        <v>2784</v>
      </c>
      <c r="C11" s="2"/>
      <c r="D11" s="2"/>
      <c r="G11" s="18">
        <v>0</v>
      </c>
    </row>
    <row r="12" spans="1:9" ht="15" x14ac:dyDescent="0.25">
      <c r="A12" s="5" t="s">
        <v>62</v>
      </c>
      <c r="B12" s="17">
        <v>94</v>
      </c>
      <c r="C12" s="74">
        <v>73</v>
      </c>
      <c r="D12" s="2"/>
      <c r="E12" s="2"/>
      <c r="F12" s="53" t="s">
        <v>55</v>
      </c>
      <c r="G12" s="53" t="s">
        <v>56</v>
      </c>
    </row>
    <row r="13" spans="1:9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9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9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9" x14ac:dyDescent="0.25">
      <c r="A16" s="15" t="s">
        <v>166</v>
      </c>
      <c r="B16" s="66" t="s">
        <v>88</v>
      </c>
      <c r="C16" s="66">
        <v>753</v>
      </c>
      <c r="D16" s="66">
        <v>5</v>
      </c>
      <c r="E16" s="66">
        <f>C16*D16</f>
        <v>3765</v>
      </c>
      <c r="F16" s="67">
        <v>9.4600000000000004E-2</v>
      </c>
      <c r="G16" s="68">
        <f>((E16-(C12*5))*F16)+E16</f>
        <v>4086.64</v>
      </c>
      <c r="I16" s="49" t="s">
        <v>167</v>
      </c>
    </row>
    <row r="17" spans="1:8" x14ac:dyDescent="0.25">
      <c r="A17" s="15"/>
      <c r="B17" s="66"/>
      <c r="C17" s="66"/>
      <c r="D17" s="66"/>
      <c r="E17" s="68">
        <f t="shared" ref="E17:E22" si="0">C17*D17</f>
        <v>0</v>
      </c>
      <c r="F17" s="66"/>
      <c r="G17" s="68">
        <f t="shared" ref="G17:G22" si="1">(E17*F17)+E17</f>
        <v>0</v>
      </c>
    </row>
    <row r="18" spans="1:8" x14ac:dyDescent="0.25">
      <c r="A18" s="78" t="s">
        <v>254</v>
      </c>
      <c r="B18" s="66"/>
      <c r="C18" s="66"/>
      <c r="D18" s="66"/>
      <c r="E18" s="66">
        <f t="shared" si="0"/>
        <v>0</v>
      </c>
      <c r="F18" s="67"/>
      <c r="G18" s="68">
        <f t="shared" si="1"/>
        <v>0</v>
      </c>
    </row>
    <row r="19" spans="1:8" x14ac:dyDescent="0.25">
      <c r="A19" s="15"/>
      <c r="B19" s="15"/>
      <c r="C19" s="66"/>
      <c r="D19" s="66"/>
      <c r="E19" s="66">
        <f t="shared" si="0"/>
        <v>0</v>
      </c>
      <c r="F19" s="15"/>
      <c r="G19" s="68">
        <f t="shared" si="1"/>
        <v>0</v>
      </c>
    </row>
    <row r="20" spans="1:8" ht="15" customHeight="1" x14ac:dyDescent="0.25">
      <c r="A20" s="15"/>
      <c r="B20" s="15"/>
      <c r="C20" s="69"/>
      <c r="D20" s="69"/>
      <c r="E20" s="66">
        <f t="shared" si="0"/>
        <v>0</v>
      </c>
      <c r="F20" s="15"/>
      <c r="G20" s="68">
        <f t="shared" si="1"/>
        <v>0</v>
      </c>
    </row>
    <row r="21" spans="1:8" ht="15" customHeight="1" x14ac:dyDescent="0.25">
      <c r="A21" s="15"/>
      <c r="B21" s="15"/>
      <c r="C21" s="69"/>
      <c r="D21" s="69"/>
      <c r="E21" s="66">
        <f t="shared" si="0"/>
        <v>0</v>
      </c>
      <c r="F21" s="15"/>
      <c r="G21" s="68">
        <f t="shared" si="1"/>
        <v>0</v>
      </c>
    </row>
    <row r="22" spans="1:8" ht="15" customHeight="1" x14ac:dyDescent="0.25">
      <c r="A22" s="66"/>
      <c r="B22" s="70"/>
      <c r="C22" s="69"/>
      <c r="D22" s="69"/>
      <c r="E22" s="66">
        <f t="shared" si="0"/>
        <v>0</v>
      </c>
      <c r="F22" s="15"/>
      <c r="G22" s="68">
        <f t="shared" si="1"/>
        <v>0</v>
      </c>
    </row>
    <row r="23" spans="1:8" ht="15" x14ac:dyDescent="0.25">
      <c r="A23" s="2"/>
      <c r="B23" s="2"/>
      <c r="C23" s="2"/>
      <c r="D23" s="2"/>
      <c r="E23" s="2"/>
      <c r="F23" s="2"/>
      <c r="G23" s="2"/>
    </row>
    <row r="24" spans="1:8" ht="30" customHeight="1" x14ac:dyDescent="0.25">
      <c r="A24" s="106" t="s">
        <v>160</v>
      </c>
      <c r="B24" s="132" t="s">
        <v>11</v>
      </c>
      <c r="C24" s="132"/>
      <c r="D24" s="132"/>
      <c r="E24" s="132"/>
      <c r="F24" s="113">
        <f>SUM(G16:G22)</f>
        <v>4086.64</v>
      </c>
      <c r="G24" s="113"/>
    </row>
    <row r="25" spans="1:8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8" ht="15" x14ac:dyDescent="0.25">
      <c r="A26" s="2"/>
      <c r="B26" s="2"/>
      <c r="C26" s="2"/>
      <c r="D26" s="2"/>
      <c r="E26" s="2"/>
      <c r="F26" s="2"/>
      <c r="G26" s="2"/>
    </row>
    <row r="27" spans="1:8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8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8" ht="15" x14ac:dyDescent="0.25">
      <c r="A29" s="43" t="s">
        <v>134</v>
      </c>
      <c r="B29" s="41" t="s">
        <v>54</v>
      </c>
      <c r="C29" s="40">
        <f>IFERROR(VLOOKUP(B29,Liste!C1:D5,2,FALSE),"")</f>
        <v>2300</v>
      </c>
      <c r="D29" s="54">
        <f>IFERROR(C29/4.33,0)</f>
        <v>531.17782909930713</v>
      </c>
      <c r="H29" s="7"/>
    </row>
    <row r="30" spans="1:8" ht="15" x14ac:dyDescent="0.3">
      <c r="A30" s="43" t="s">
        <v>66</v>
      </c>
      <c r="B30" s="46" t="s">
        <v>69</v>
      </c>
      <c r="C30" s="40" t="str">
        <f>IFERROR(VLOOKUP(B30,Liste!$C$7:$D$15,2,FALSE),"")</f>
        <v/>
      </c>
      <c r="D30" s="54">
        <f>IFERROR(C30/4.33,0)</f>
        <v>0</v>
      </c>
      <c r="H30" s="7"/>
    </row>
    <row r="31" spans="1:8" ht="15" x14ac:dyDescent="0.3">
      <c r="A31" s="43" t="s">
        <v>67</v>
      </c>
      <c r="B31" s="46" t="s">
        <v>69</v>
      </c>
      <c r="C31" s="40" t="str">
        <f>IFERROR(VLOOKUP(B31,Liste!$C$7:$D$15,2,FALSE),"")</f>
        <v/>
      </c>
      <c r="D31" s="54">
        <f t="shared" ref="D31:D33" si="2">IFERROR(C31/4.33,0)</f>
        <v>0</v>
      </c>
      <c r="H31" s="7"/>
    </row>
    <row r="32" spans="1:8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2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2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1.3553999999999999</v>
      </c>
      <c r="D34" s="54">
        <f>(B11*D5/100)*C34</f>
        <v>912.41624447999993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0</v>
      </c>
      <c r="D35" s="54">
        <f>(D5*B11/100)*C35</f>
        <v>0</v>
      </c>
      <c r="H35" s="7"/>
    </row>
    <row r="36" spans="1:8" ht="15" x14ac:dyDescent="0.3">
      <c r="A36" s="43" t="s">
        <v>3</v>
      </c>
      <c r="B36" s="42"/>
      <c r="C36" s="65">
        <v>0.43090000000000001</v>
      </c>
      <c r="D36" s="54">
        <f>(D6*B11)*C36</f>
        <v>22.7928864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111.36</v>
      </c>
      <c r="E38" s="49"/>
      <c r="H38" s="7"/>
    </row>
    <row r="39" spans="1:8" ht="15" x14ac:dyDescent="0.25">
      <c r="A39" s="43" t="s">
        <v>13</v>
      </c>
      <c r="B39" s="41">
        <f>B12</f>
        <v>94</v>
      </c>
      <c r="C39" s="56">
        <v>5</v>
      </c>
      <c r="D39" s="54">
        <f>C39*B39</f>
        <v>470</v>
      </c>
      <c r="H39" s="7"/>
    </row>
    <row r="40" spans="1:8" ht="15" x14ac:dyDescent="0.25">
      <c r="A40" s="43" t="s">
        <v>14</v>
      </c>
      <c r="B40" s="48" t="s">
        <v>55</v>
      </c>
      <c r="C40" s="40">
        <v>1</v>
      </c>
      <c r="D40" s="40">
        <v>1348.46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3396.2069599793067</v>
      </c>
    </row>
    <row r="46" spans="1:8" x14ac:dyDescent="0.25">
      <c r="C46" s="6" t="s">
        <v>49</v>
      </c>
      <c r="D46" s="47">
        <f>F24-D45</f>
        <v>690.43304002069317</v>
      </c>
    </row>
    <row r="48" spans="1:8" ht="39" customHeight="1" x14ac:dyDescent="0.25">
      <c r="C48" s="58" t="s">
        <v>48</v>
      </c>
      <c r="D48" s="59">
        <f>D46/F24</f>
        <v>0.16894882838241029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05B60BB2-3B83-4BC5-98FC-7F256073A337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214E4D7-351A-4BEA-B165-05976C9099F7}">
          <x14:formula1>
            <xm:f>Liste!$C$7:$C$16</xm:f>
          </x14:formula1>
          <xm:sqref>B30:B33</xm:sqref>
        </x14:dataValidation>
        <x14:dataValidation type="list" allowBlank="1" showInputMessage="1" showErrorMessage="1" xr:uid="{A9DCA790-C42A-4272-BEDC-E2E28C4E1174}">
          <x14:formula1>
            <xm:f>Liste!$A$24:$A$25</xm:f>
          </x14:formula1>
          <xm:sqref>B42</xm:sqref>
        </x14:dataValidation>
        <x14:dataValidation type="list" allowBlank="1" showInputMessage="1" showErrorMessage="1" xr:uid="{A78B98F1-2AB3-47B7-BE21-829E73899CB6}">
          <x14:formula1>
            <xm:f>Liste!$A$21:$A$22</xm:f>
          </x14:formula1>
          <xm:sqref>B40</xm:sqref>
        </x14:dataValidation>
        <x14:dataValidation type="list" allowBlank="1" showInputMessage="1" showErrorMessage="1" xr:uid="{393BB582-CE40-468F-AA4D-64277F1D25BD}">
          <x14:formula1>
            <xm:f>Liste!$C$2:$C$5</xm:f>
          </x14:formula1>
          <xm:sqref>B29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8132A-208E-4444-95CC-3D355AA294B7}">
  <sheetPr>
    <tabColor theme="7" tint="0.39997558519241921"/>
  </sheetPr>
  <dimension ref="A1:I48"/>
  <sheetViews>
    <sheetView workbookViewId="0">
      <selection activeCell="J23" sqref="J23"/>
    </sheetView>
  </sheetViews>
  <sheetFormatPr baseColWidth="10" defaultColWidth="11.44140625" defaultRowHeight="13.2" x14ac:dyDescent="0.25"/>
  <cols>
    <col min="1" max="1" width="32.44140625" style="1" customWidth="1"/>
    <col min="2" max="2" width="20.6640625" style="1" customWidth="1"/>
    <col min="3" max="3" width="19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9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9" x14ac:dyDescent="0.25">
      <c r="A3" s="126" t="s">
        <v>5</v>
      </c>
      <c r="B3" s="126"/>
      <c r="C3" s="126"/>
      <c r="D3" s="126"/>
      <c r="E3" s="126"/>
      <c r="F3" s="126"/>
      <c r="G3" s="126"/>
    </row>
    <row r="4" spans="1:9" ht="15" x14ac:dyDescent="0.25">
      <c r="A4" s="2"/>
      <c r="B4" s="5" t="s">
        <v>10</v>
      </c>
      <c r="D4" s="11" t="s">
        <v>12</v>
      </c>
      <c r="F4" s="129" t="s">
        <v>15</v>
      </c>
      <c r="G4" s="130" t="s">
        <v>689</v>
      </c>
    </row>
    <row r="5" spans="1:9" ht="15" x14ac:dyDescent="0.25">
      <c r="A5" s="5" t="s">
        <v>8</v>
      </c>
      <c r="B5" s="10" t="s">
        <v>179</v>
      </c>
      <c r="C5" s="10"/>
      <c r="D5" s="17">
        <v>28.01</v>
      </c>
      <c r="E5" s="6"/>
      <c r="F5" s="129"/>
      <c r="G5" s="131"/>
    </row>
    <row r="6" spans="1:9" ht="15" x14ac:dyDescent="0.25">
      <c r="A6" s="5" t="s">
        <v>9</v>
      </c>
      <c r="B6" s="10" t="s">
        <v>174</v>
      </c>
      <c r="C6" s="10"/>
      <c r="D6" s="6">
        <v>1.9E-2</v>
      </c>
      <c r="F6" s="2"/>
      <c r="G6" s="2"/>
    </row>
    <row r="7" spans="1:9" ht="15" x14ac:dyDescent="0.25">
      <c r="A7" s="5" t="s">
        <v>16</v>
      </c>
      <c r="B7" s="12" t="s">
        <v>180</v>
      </c>
      <c r="C7" s="12" t="s">
        <v>706</v>
      </c>
      <c r="D7" s="63"/>
    </row>
    <row r="8" spans="1:9" ht="15" x14ac:dyDescent="0.25">
      <c r="A8" s="11" t="s">
        <v>71</v>
      </c>
      <c r="B8" s="18">
        <v>50.63</v>
      </c>
      <c r="C8" s="18">
        <v>41.64</v>
      </c>
    </row>
    <row r="9" spans="1:9" x14ac:dyDescent="0.25">
      <c r="A9" s="11" t="s">
        <v>72</v>
      </c>
      <c r="B9" s="77">
        <v>43.6</v>
      </c>
      <c r="C9" s="77">
        <v>34.81</v>
      </c>
    </row>
    <row r="10" spans="1:9" ht="15" x14ac:dyDescent="0.25">
      <c r="A10" s="5"/>
      <c r="B10" s="11" t="s">
        <v>70</v>
      </c>
      <c r="C10" s="2"/>
      <c r="D10" s="2"/>
      <c r="G10" s="11" t="s">
        <v>61</v>
      </c>
    </row>
    <row r="11" spans="1:9" ht="15" x14ac:dyDescent="0.25">
      <c r="B11" s="17">
        <f>1549+696</f>
        <v>2245</v>
      </c>
      <c r="C11" s="2"/>
      <c r="D11" s="2"/>
      <c r="G11" s="18">
        <v>0</v>
      </c>
    </row>
    <row r="12" spans="1:9" ht="15" x14ac:dyDescent="0.25">
      <c r="A12" s="5" t="s">
        <v>62</v>
      </c>
      <c r="B12" s="17">
        <v>9.06</v>
      </c>
      <c r="C12" s="75" t="s">
        <v>185</v>
      </c>
      <c r="D12" s="2"/>
      <c r="E12" s="2"/>
      <c r="F12" s="53" t="s">
        <v>55</v>
      </c>
      <c r="G12" s="53" t="s">
        <v>56</v>
      </c>
    </row>
    <row r="13" spans="1:9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9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9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9" x14ac:dyDescent="0.25">
      <c r="A16" s="15" t="s">
        <v>181</v>
      </c>
      <c r="B16" s="66" t="s">
        <v>182</v>
      </c>
      <c r="C16" s="66">
        <v>440</v>
      </c>
      <c r="D16" s="66">
        <v>6</v>
      </c>
      <c r="E16" s="66">
        <f>C16*D16</f>
        <v>2640</v>
      </c>
      <c r="F16" s="67">
        <v>-1.34E-2</v>
      </c>
      <c r="G16" s="68">
        <f>((E16*F16)+E16)</f>
        <v>2604.6239999999998</v>
      </c>
      <c r="I16" s="49" t="s">
        <v>186</v>
      </c>
    </row>
    <row r="17" spans="1:9" x14ac:dyDescent="0.25">
      <c r="A17" s="120" t="s">
        <v>183</v>
      </c>
      <c r="B17" s="66" t="s">
        <v>88</v>
      </c>
      <c r="C17" s="66">
        <v>0</v>
      </c>
      <c r="D17" s="66">
        <v>5</v>
      </c>
      <c r="E17" s="68">
        <f t="shared" ref="E17:E22" si="0">C17*D17</f>
        <v>0</v>
      </c>
      <c r="F17" s="67">
        <v>-1.34E-2</v>
      </c>
      <c r="G17" s="68">
        <f t="shared" ref="G17:G18" si="1">((E17*F17)+E17)</f>
        <v>0</v>
      </c>
      <c r="I17" s="117" t="s">
        <v>707</v>
      </c>
    </row>
    <row r="18" spans="1:9" x14ac:dyDescent="0.25">
      <c r="A18" s="15" t="s">
        <v>184</v>
      </c>
      <c r="B18" s="66" t="s">
        <v>88</v>
      </c>
      <c r="C18" s="66">
        <v>175</v>
      </c>
      <c r="D18" s="66">
        <v>5</v>
      </c>
      <c r="E18" s="66">
        <f t="shared" si="0"/>
        <v>875</v>
      </c>
      <c r="F18" s="67">
        <v>-1.34E-2</v>
      </c>
      <c r="G18" s="68">
        <f t="shared" si="1"/>
        <v>863.27499999999998</v>
      </c>
    </row>
    <row r="19" spans="1:9" x14ac:dyDescent="0.25">
      <c r="A19" s="15"/>
      <c r="B19" s="66"/>
      <c r="C19" s="66"/>
      <c r="D19" s="66"/>
      <c r="E19" s="68">
        <f t="shared" si="0"/>
        <v>0</v>
      </c>
      <c r="F19" s="73">
        <v>0</v>
      </c>
      <c r="G19" s="68">
        <f t="shared" ref="G19:G22" si="2">(E19*F19)+E19</f>
        <v>0</v>
      </c>
    </row>
    <row r="20" spans="1:9" ht="15" customHeight="1" x14ac:dyDescent="0.25">
      <c r="A20" s="15"/>
      <c r="B20" s="15"/>
      <c r="C20" s="69"/>
      <c r="D20" s="69"/>
      <c r="E20" s="66">
        <f t="shared" si="0"/>
        <v>0</v>
      </c>
      <c r="F20" s="15"/>
      <c r="G20" s="68">
        <f t="shared" si="2"/>
        <v>0</v>
      </c>
    </row>
    <row r="21" spans="1:9" ht="15" customHeight="1" x14ac:dyDescent="0.25">
      <c r="A21" s="15"/>
      <c r="B21" s="15"/>
      <c r="C21" s="69"/>
      <c r="D21" s="69"/>
      <c r="E21" s="66">
        <f t="shared" si="0"/>
        <v>0</v>
      </c>
      <c r="F21" s="15"/>
      <c r="G21" s="68">
        <f t="shared" si="2"/>
        <v>0</v>
      </c>
    </row>
    <row r="22" spans="1:9" ht="15" customHeight="1" x14ac:dyDescent="0.25">
      <c r="A22" s="66"/>
      <c r="B22" s="70"/>
      <c r="C22" s="69"/>
      <c r="D22" s="69"/>
      <c r="E22" s="66">
        <f t="shared" si="0"/>
        <v>0</v>
      </c>
      <c r="F22" s="15"/>
      <c r="G22" s="68">
        <f t="shared" si="2"/>
        <v>0</v>
      </c>
    </row>
    <row r="23" spans="1:9" ht="15" x14ac:dyDescent="0.25">
      <c r="A23" s="2"/>
      <c r="B23" s="2"/>
      <c r="C23" s="2"/>
      <c r="D23" s="2"/>
      <c r="E23" s="2"/>
      <c r="F23" s="2"/>
      <c r="G23" s="2"/>
    </row>
    <row r="24" spans="1:9" ht="30" customHeight="1" x14ac:dyDescent="0.25">
      <c r="A24" s="106" t="s">
        <v>172</v>
      </c>
      <c r="B24" s="132" t="s">
        <v>11</v>
      </c>
      <c r="C24" s="132"/>
      <c r="D24" s="132"/>
      <c r="E24" s="132"/>
      <c r="F24" s="113">
        <f>SUM(G16:G22)</f>
        <v>3467.8989999999999</v>
      </c>
      <c r="G24" s="113"/>
    </row>
    <row r="25" spans="1:9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9" ht="15" x14ac:dyDescent="0.25">
      <c r="A26" s="2"/>
      <c r="B26" s="2"/>
      <c r="C26" s="2"/>
      <c r="D26" s="2"/>
      <c r="E26" s="2"/>
      <c r="F26" s="2"/>
      <c r="G26" s="2"/>
    </row>
    <row r="27" spans="1:9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9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9" ht="15" x14ac:dyDescent="0.25">
      <c r="A29" s="43" t="s">
        <v>134</v>
      </c>
      <c r="B29" s="41" t="s">
        <v>193</v>
      </c>
      <c r="C29" s="40">
        <f>IFERROR(VLOOKUP(B29,Liste!C1:D5,2,FALSE),"")</f>
        <v>2500</v>
      </c>
      <c r="D29" s="54">
        <f>IFERROR(C29/4.33,0)</f>
        <v>577.36720554272517</v>
      </c>
      <c r="H29" s="7"/>
    </row>
    <row r="30" spans="1:9" ht="15" x14ac:dyDescent="0.3">
      <c r="A30" s="43" t="s">
        <v>66</v>
      </c>
      <c r="B30" s="46" t="s">
        <v>40</v>
      </c>
      <c r="C30" s="40">
        <f>IFERROR(VLOOKUP(B30,Liste!$C$7:$D$15,2,FALSE),"")</f>
        <v>1400</v>
      </c>
      <c r="D30" s="54">
        <f>IFERROR(C30/4.33,0)</f>
        <v>323.32563510392612</v>
      </c>
      <c r="H30" s="7"/>
    </row>
    <row r="31" spans="1:9" ht="15" x14ac:dyDescent="0.3">
      <c r="A31" s="43" t="s">
        <v>67</v>
      </c>
      <c r="B31" s="46" t="s">
        <v>69</v>
      </c>
      <c r="C31" s="40" t="str">
        <f>IFERROR(VLOOKUP(B31,Liste!$C$7:$D$15,2,FALSE),"")</f>
        <v/>
      </c>
      <c r="D31" s="54">
        <f t="shared" ref="D31:D33" si="3">IFERROR(C31/4.33,0)</f>
        <v>0</v>
      </c>
      <c r="H31" s="7"/>
    </row>
    <row r="32" spans="1:9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3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3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0</v>
      </c>
      <c r="D34" s="54">
        <f>(B11*D5/100)*C34</f>
        <v>0</v>
      </c>
      <c r="E34" s="49"/>
      <c r="H34" s="7"/>
    </row>
    <row r="35" spans="1:8" ht="15" x14ac:dyDescent="0.25">
      <c r="A35" s="43" t="s">
        <v>2</v>
      </c>
      <c r="B35" s="41" t="s">
        <v>34</v>
      </c>
      <c r="C35" s="65">
        <v>1.365</v>
      </c>
      <c r="D35" s="54">
        <f>(D5*B11/100)*C35</f>
        <v>858.3454425000001</v>
      </c>
      <c r="H35" s="7"/>
    </row>
    <row r="36" spans="1:8" ht="15" x14ac:dyDescent="0.3">
      <c r="A36" s="43" t="s">
        <v>3</v>
      </c>
      <c r="B36" s="42"/>
      <c r="C36" s="65">
        <v>0</v>
      </c>
      <c r="D36" s="54">
        <f>(D6*B11)*C36</f>
        <v>0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4">
        <f>30*1.12</f>
        <v>33.6</v>
      </c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89.8</v>
      </c>
      <c r="E38" s="49"/>
      <c r="H38" s="7"/>
    </row>
    <row r="39" spans="1:8" ht="15" x14ac:dyDescent="0.25">
      <c r="A39" s="43" t="s">
        <v>13</v>
      </c>
      <c r="B39" s="41">
        <f>B12</f>
        <v>9.06</v>
      </c>
      <c r="C39" s="56">
        <v>5</v>
      </c>
      <c r="D39" s="54">
        <f>C39*B39</f>
        <v>45.300000000000004</v>
      </c>
      <c r="H39" s="7"/>
    </row>
    <row r="40" spans="1:8" ht="15" x14ac:dyDescent="0.25">
      <c r="A40" s="43" t="s">
        <v>14</v>
      </c>
      <c r="B40" s="48" t="s">
        <v>55</v>
      </c>
      <c r="C40" s="40">
        <v>2</v>
      </c>
      <c r="D40" s="40">
        <f>1041.68+980.04</f>
        <v>2021.72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3949.4582831466514</v>
      </c>
    </row>
    <row r="46" spans="1:8" x14ac:dyDescent="0.25">
      <c r="C46" s="6" t="s">
        <v>49</v>
      </c>
      <c r="D46" s="47">
        <f>F24-D45</f>
        <v>-481.55928314665152</v>
      </c>
    </row>
    <row r="48" spans="1:8" ht="39" customHeight="1" x14ac:dyDescent="0.25">
      <c r="C48" s="58" t="s">
        <v>48</v>
      </c>
      <c r="D48" s="59">
        <f>D46/F24</f>
        <v>-0.13886196891739105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7E48267E-D990-4E0B-B2FE-B2049A524F25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3D8F30B-E214-4550-93F8-36400F9248A9}">
          <x14:formula1>
            <xm:f>Liste!$C$2:$C$5</xm:f>
          </x14:formula1>
          <xm:sqref>B29</xm:sqref>
        </x14:dataValidation>
        <x14:dataValidation type="list" allowBlank="1" showInputMessage="1" showErrorMessage="1" xr:uid="{FCE5D114-5691-4B6E-BDDD-1A9B9F8C8CE9}">
          <x14:formula1>
            <xm:f>Liste!$A$21:$A$22</xm:f>
          </x14:formula1>
          <xm:sqref>B40</xm:sqref>
        </x14:dataValidation>
        <x14:dataValidation type="list" allowBlank="1" showInputMessage="1" showErrorMessage="1" xr:uid="{145EE24E-029B-4BFE-BC5B-315260E084DA}">
          <x14:formula1>
            <xm:f>Liste!$A$24:$A$25</xm:f>
          </x14:formula1>
          <xm:sqref>B42</xm:sqref>
        </x14:dataValidation>
        <x14:dataValidation type="list" allowBlank="1" showInputMessage="1" showErrorMessage="1" xr:uid="{65DB9AF1-010B-4A7B-8B35-99E69D0395D8}">
          <x14:formula1>
            <xm:f>Liste!$C$7:$C$16</xm:f>
          </x14:formula1>
          <xm:sqref>B30:B33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55C5-AFA2-4FE9-97DE-EAD3FC96D548}">
  <sheetPr>
    <tabColor theme="7" tint="0.39997558519241921"/>
  </sheetPr>
  <dimension ref="A1:I48"/>
  <sheetViews>
    <sheetView workbookViewId="0">
      <selection activeCell="F38" sqref="F38"/>
    </sheetView>
  </sheetViews>
  <sheetFormatPr baseColWidth="10" defaultColWidth="11.44140625" defaultRowHeight="13.2" x14ac:dyDescent="0.25"/>
  <cols>
    <col min="1" max="1" width="32.44140625" style="1" customWidth="1"/>
    <col min="2" max="2" width="20.6640625" style="1" customWidth="1"/>
    <col min="3" max="3" width="19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9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9" x14ac:dyDescent="0.25">
      <c r="A3" s="126" t="s">
        <v>5</v>
      </c>
      <c r="B3" s="126"/>
      <c r="C3" s="126"/>
      <c r="D3" s="126"/>
      <c r="E3" s="126"/>
      <c r="F3" s="126"/>
      <c r="G3" s="126"/>
    </row>
    <row r="4" spans="1:9" ht="15" x14ac:dyDescent="0.25">
      <c r="A4" s="2"/>
      <c r="B4" s="5" t="s">
        <v>10</v>
      </c>
      <c r="D4" s="11" t="s">
        <v>12</v>
      </c>
      <c r="F4" s="129" t="s">
        <v>15</v>
      </c>
      <c r="G4" s="130" t="s">
        <v>689</v>
      </c>
    </row>
    <row r="5" spans="1:9" ht="15" x14ac:dyDescent="0.25">
      <c r="A5" s="5" t="s">
        <v>8</v>
      </c>
      <c r="B5" s="10" t="s">
        <v>187</v>
      </c>
      <c r="C5" s="10"/>
      <c r="D5" s="17">
        <v>38.93</v>
      </c>
      <c r="E5" s="76" t="s">
        <v>192</v>
      </c>
      <c r="F5" s="129"/>
      <c r="G5" s="131"/>
    </row>
    <row r="6" spans="1:9" ht="15" x14ac:dyDescent="0.25">
      <c r="A6" s="5" t="s">
        <v>9</v>
      </c>
      <c r="B6" s="10" t="s">
        <v>174</v>
      </c>
      <c r="C6" s="10"/>
      <c r="D6" s="6">
        <v>1.9E-2</v>
      </c>
      <c r="F6" s="2"/>
      <c r="G6" s="2"/>
    </row>
    <row r="7" spans="1:9" ht="15" x14ac:dyDescent="0.25">
      <c r="A7" s="5" t="s">
        <v>16</v>
      </c>
      <c r="B7" s="12" t="s">
        <v>190</v>
      </c>
      <c r="C7" s="12"/>
      <c r="D7" s="63"/>
    </row>
    <row r="8" spans="1:9" ht="15" x14ac:dyDescent="0.25">
      <c r="A8" s="11" t="s">
        <v>71</v>
      </c>
      <c r="B8" s="18">
        <v>49.42</v>
      </c>
    </row>
    <row r="9" spans="1:9" x14ac:dyDescent="0.25">
      <c r="A9" s="11" t="s">
        <v>72</v>
      </c>
      <c r="B9" s="77">
        <v>29.62</v>
      </c>
    </row>
    <row r="10" spans="1:9" ht="15" x14ac:dyDescent="0.25">
      <c r="A10" s="5"/>
      <c r="B10" s="11" t="s">
        <v>70</v>
      </c>
      <c r="C10" s="2"/>
      <c r="D10" s="2"/>
      <c r="G10" s="11" t="s">
        <v>61</v>
      </c>
    </row>
    <row r="11" spans="1:9" ht="15" x14ac:dyDescent="0.25">
      <c r="B11" s="17">
        <v>1103</v>
      </c>
      <c r="C11" s="2"/>
      <c r="D11" s="2"/>
      <c r="G11" s="18">
        <v>0</v>
      </c>
    </row>
    <row r="12" spans="1:9" ht="15" x14ac:dyDescent="0.25">
      <c r="A12" s="5" t="s">
        <v>62</v>
      </c>
      <c r="B12" s="17">
        <v>0</v>
      </c>
      <c r="C12" s="75" t="s">
        <v>185</v>
      </c>
      <c r="D12" s="2"/>
      <c r="E12" s="2"/>
      <c r="F12" s="53" t="s">
        <v>55</v>
      </c>
      <c r="G12" s="53" t="s">
        <v>56</v>
      </c>
    </row>
    <row r="13" spans="1:9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9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9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9" x14ac:dyDescent="0.25">
      <c r="A16" s="15" t="s">
        <v>189</v>
      </c>
      <c r="B16" s="66" t="s">
        <v>182</v>
      </c>
      <c r="C16" s="66">
        <v>440</v>
      </c>
      <c r="D16" s="66">
        <v>6</v>
      </c>
      <c r="E16" s="66">
        <f>C16*D16</f>
        <v>2640</v>
      </c>
      <c r="F16" s="67">
        <v>-1.34E-2</v>
      </c>
      <c r="G16" s="68">
        <f t="shared" ref="G16:G22" si="0">(E16*F16)+E16</f>
        <v>2604.6239999999998</v>
      </c>
      <c r="I16" s="49"/>
    </row>
    <row r="17" spans="1:8" x14ac:dyDescent="0.25">
      <c r="A17" s="15"/>
      <c r="B17" s="66"/>
      <c r="C17" s="66"/>
      <c r="D17" s="66"/>
      <c r="E17" s="68">
        <f t="shared" ref="E17:E22" si="1">C17*D17</f>
        <v>0</v>
      </c>
      <c r="F17" s="66"/>
      <c r="G17" s="68">
        <f t="shared" si="0"/>
        <v>0</v>
      </c>
    </row>
    <row r="18" spans="1:8" x14ac:dyDescent="0.25">
      <c r="A18" s="15"/>
      <c r="B18" s="66"/>
      <c r="C18" s="66"/>
      <c r="D18" s="66"/>
      <c r="E18" s="66">
        <f t="shared" si="1"/>
        <v>0</v>
      </c>
      <c r="F18" s="67"/>
      <c r="G18" s="68">
        <f t="shared" si="0"/>
        <v>0</v>
      </c>
    </row>
    <row r="19" spans="1:8" x14ac:dyDescent="0.25">
      <c r="A19" s="15"/>
      <c r="B19" s="15"/>
      <c r="C19" s="66"/>
      <c r="D19" s="66"/>
      <c r="E19" s="66">
        <f t="shared" si="1"/>
        <v>0</v>
      </c>
      <c r="F19" s="15"/>
      <c r="G19" s="68">
        <f t="shared" si="0"/>
        <v>0</v>
      </c>
    </row>
    <row r="20" spans="1:8" ht="15" customHeight="1" x14ac:dyDescent="0.25">
      <c r="A20" s="15"/>
      <c r="B20" s="15"/>
      <c r="C20" s="69"/>
      <c r="D20" s="69"/>
      <c r="E20" s="66">
        <f t="shared" si="1"/>
        <v>0</v>
      </c>
      <c r="F20" s="15"/>
      <c r="G20" s="68">
        <f t="shared" si="0"/>
        <v>0</v>
      </c>
    </row>
    <row r="21" spans="1:8" ht="15" customHeight="1" x14ac:dyDescent="0.25">
      <c r="A21" s="15"/>
      <c r="B21" s="15"/>
      <c r="C21" s="69"/>
      <c r="D21" s="69"/>
      <c r="E21" s="66">
        <f t="shared" si="1"/>
        <v>0</v>
      </c>
      <c r="F21" s="15"/>
      <c r="G21" s="68">
        <f t="shared" si="0"/>
        <v>0</v>
      </c>
    </row>
    <row r="22" spans="1:8" ht="15" customHeight="1" x14ac:dyDescent="0.25">
      <c r="A22" s="66"/>
      <c r="B22" s="70"/>
      <c r="C22" s="69"/>
      <c r="D22" s="69"/>
      <c r="E22" s="66">
        <f t="shared" si="1"/>
        <v>0</v>
      </c>
      <c r="F22" s="15"/>
      <c r="G22" s="68">
        <f t="shared" si="0"/>
        <v>0</v>
      </c>
    </row>
    <row r="23" spans="1:8" ht="15" x14ac:dyDescent="0.25">
      <c r="A23" s="2"/>
      <c r="B23" s="2"/>
      <c r="C23" s="2"/>
      <c r="D23" s="2"/>
      <c r="E23" s="2"/>
      <c r="F23" s="2"/>
      <c r="G23" s="2"/>
    </row>
    <row r="24" spans="1:8" ht="30" customHeight="1" x14ac:dyDescent="0.25">
      <c r="A24" s="106" t="s">
        <v>175</v>
      </c>
      <c r="B24" s="132" t="s">
        <v>11</v>
      </c>
      <c r="C24" s="132"/>
      <c r="D24" s="132"/>
      <c r="E24" s="132"/>
      <c r="F24" s="113">
        <f>SUM(G16:G22)</f>
        <v>2604.6239999999998</v>
      </c>
      <c r="G24" s="113"/>
    </row>
    <row r="25" spans="1:8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8" ht="15" x14ac:dyDescent="0.25">
      <c r="A26" s="2"/>
      <c r="B26" s="2"/>
      <c r="C26" s="2"/>
      <c r="D26" s="2"/>
      <c r="E26" s="2"/>
      <c r="F26" s="2"/>
      <c r="G26" s="2"/>
    </row>
    <row r="27" spans="1:8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8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8" ht="15" x14ac:dyDescent="0.25">
      <c r="A29" s="43" t="s">
        <v>134</v>
      </c>
      <c r="B29" s="41" t="s">
        <v>54</v>
      </c>
      <c r="C29" s="40">
        <f>IFERROR(VLOOKUP(B29,Liste!C1:D5,2,FALSE),"")</f>
        <v>2300</v>
      </c>
      <c r="D29" s="54">
        <f>IFERROR(C29/4.33,0)</f>
        <v>531.17782909930713</v>
      </c>
      <c r="H29" s="7"/>
    </row>
    <row r="30" spans="1:8" ht="15" x14ac:dyDescent="0.3">
      <c r="A30" s="43" t="s">
        <v>66</v>
      </c>
      <c r="B30" s="46" t="s">
        <v>40</v>
      </c>
      <c r="C30" s="40">
        <f>IFERROR(VLOOKUP(B30,Liste!$C$7:$D$15,2,FALSE),"")</f>
        <v>1400</v>
      </c>
      <c r="D30" s="54">
        <f>IFERROR(C30/4.33,0)</f>
        <v>323.32563510392612</v>
      </c>
      <c r="H30" s="7"/>
    </row>
    <row r="31" spans="1:8" ht="15" x14ac:dyDescent="0.3">
      <c r="A31" s="43" t="s">
        <v>67</v>
      </c>
      <c r="B31" s="46" t="s">
        <v>69</v>
      </c>
      <c r="C31" s="40" t="str">
        <f>IFERROR(VLOOKUP(B31,Liste!$C$7:$D$15,2,FALSE),"")</f>
        <v/>
      </c>
      <c r="D31" s="54">
        <f t="shared" ref="D31:D33" si="2">IFERROR(C31/4.33,0)</f>
        <v>0</v>
      </c>
      <c r="H31" s="7"/>
    </row>
    <row r="32" spans="1:8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2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2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1.3553999999999999</v>
      </c>
      <c r="D34" s="54">
        <f>(B11*D5/100)*C34</f>
        <v>582.00591365999992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0</v>
      </c>
      <c r="D35" s="54">
        <f>(D5*B11/100)*C35</f>
        <v>0</v>
      </c>
      <c r="H35" s="7"/>
    </row>
    <row r="36" spans="1:8" ht="15" x14ac:dyDescent="0.3">
      <c r="A36" s="43" t="s">
        <v>3</v>
      </c>
      <c r="B36" s="42"/>
      <c r="C36" s="65">
        <v>0.43090000000000001</v>
      </c>
      <c r="D36" s="54">
        <f>(D6*B11)*C36</f>
        <v>9.0303713000000005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E37" s="1" t="s">
        <v>191</v>
      </c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44.12</v>
      </c>
      <c r="E38" s="49"/>
      <c r="H38" s="7"/>
    </row>
    <row r="39" spans="1:8" ht="15" x14ac:dyDescent="0.25">
      <c r="A39" s="43" t="s">
        <v>13</v>
      </c>
      <c r="B39" s="41">
        <f>B12</f>
        <v>0</v>
      </c>
      <c r="C39" s="56">
        <v>5</v>
      </c>
      <c r="D39" s="54">
        <f>C39*B39</f>
        <v>0</v>
      </c>
      <c r="H39" s="7"/>
    </row>
    <row r="40" spans="1:8" ht="15" x14ac:dyDescent="0.25">
      <c r="A40" s="43" t="s">
        <v>14</v>
      </c>
      <c r="B40" s="48" t="s">
        <v>55</v>
      </c>
      <c r="C40" s="40">
        <v>1</v>
      </c>
      <c r="D40" s="40">
        <v>892.61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2382.269749163233</v>
      </c>
    </row>
    <row r="46" spans="1:8" x14ac:dyDescent="0.25">
      <c r="C46" s="6" t="s">
        <v>49</v>
      </c>
      <c r="D46" s="47">
        <f>F24-D45</f>
        <v>222.35425083676682</v>
      </c>
    </row>
    <row r="48" spans="1:8" ht="39" customHeight="1" x14ac:dyDescent="0.25">
      <c r="C48" s="58" t="s">
        <v>48</v>
      </c>
      <c r="D48" s="59">
        <f>D46/F24</f>
        <v>8.5369040151963144E-2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A6E61651-6226-49E8-B0A2-6674ED8F2C5D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130F7A3-2D85-4DEB-8BDA-5AE8C3736752}">
          <x14:formula1>
            <xm:f>Liste!$C$7:$C$16</xm:f>
          </x14:formula1>
          <xm:sqref>B30:B33</xm:sqref>
        </x14:dataValidation>
        <x14:dataValidation type="list" allowBlank="1" showInputMessage="1" showErrorMessage="1" xr:uid="{4E50BC64-875F-4BD4-AFB0-26946289502B}">
          <x14:formula1>
            <xm:f>Liste!$A$24:$A$25</xm:f>
          </x14:formula1>
          <xm:sqref>B42</xm:sqref>
        </x14:dataValidation>
        <x14:dataValidation type="list" allowBlank="1" showInputMessage="1" showErrorMessage="1" xr:uid="{6B7E32F4-C07D-4660-BDCB-D11689B4877D}">
          <x14:formula1>
            <xm:f>Liste!$A$21:$A$22</xm:f>
          </x14:formula1>
          <xm:sqref>B40</xm:sqref>
        </x14:dataValidation>
        <x14:dataValidation type="list" allowBlank="1" showInputMessage="1" showErrorMessage="1" xr:uid="{36703AEC-D465-41F4-A4A2-18AF61F1135D}">
          <x14:formula1>
            <xm:f>Liste!$C$2:$C$5</xm:f>
          </x14:formula1>
          <xm:sqref>B29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8658A-D30E-4DDC-844E-9B02D2285D53}">
  <sheetPr>
    <tabColor theme="7" tint="0.39997558519241921"/>
  </sheetPr>
  <dimension ref="A1:I48"/>
  <sheetViews>
    <sheetView workbookViewId="0">
      <selection activeCell="B11" sqref="B11"/>
    </sheetView>
  </sheetViews>
  <sheetFormatPr baseColWidth="10" defaultColWidth="11.44140625" defaultRowHeight="13.2" x14ac:dyDescent="0.25"/>
  <cols>
    <col min="1" max="1" width="32.44140625" style="1" customWidth="1"/>
    <col min="2" max="2" width="20.6640625" style="1" customWidth="1"/>
    <col min="3" max="3" width="19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9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9" x14ac:dyDescent="0.25">
      <c r="A3" s="126" t="s">
        <v>5</v>
      </c>
      <c r="B3" s="126"/>
      <c r="C3" s="126"/>
      <c r="D3" s="126"/>
      <c r="E3" s="126"/>
      <c r="F3" s="126"/>
      <c r="G3" s="126"/>
    </row>
    <row r="4" spans="1:9" ht="15" x14ac:dyDescent="0.25">
      <c r="A4" s="2"/>
      <c r="B4" s="5" t="s">
        <v>10</v>
      </c>
      <c r="D4" s="11" t="s">
        <v>12</v>
      </c>
      <c r="F4" s="129" t="s">
        <v>15</v>
      </c>
      <c r="G4" s="130" t="s">
        <v>688</v>
      </c>
    </row>
    <row r="5" spans="1:9" ht="15" x14ac:dyDescent="0.25">
      <c r="A5" s="5" t="s">
        <v>8</v>
      </c>
      <c r="B5" s="10" t="s">
        <v>195</v>
      </c>
      <c r="C5" s="10"/>
      <c r="D5" s="17">
        <v>34.49</v>
      </c>
      <c r="E5" s="4" t="s">
        <v>196</v>
      </c>
      <c r="F5" s="129"/>
      <c r="G5" s="131"/>
    </row>
    <row r="6" spans="1:9" ht="15" x14ac:dyDescent="0.25">
      <c r="A6" s="5" t="s">
        <v>9</v>
      </c>
      <c r="B6" s="10" t="s">
        <v>174</v>
      </c>
      <c r="C6" s="10"/>
      <c r="D6" s="6">
        <v>1.9E-2</v>
      </c>
      <c r="F6" s="2"/>
      <c r="G6" s="2"/>
    </row>
    <row r="7" spans="1:9" ht="15" x14ac:dyDescent="0.25">
      <c r="A7" s="5" t="s">
        <v>16</v>
      </c>
      <c r="B7" s="12" t="s">
        <v>197</v>
      </c>
      <c r="C7" s="12"/>
      <c r="D7" s="63"/>
    </row>
    <row r="8" spans="1:9" ht="15" x14ac:dyDescent="0.25">
      <c r="A8" s="11" t="s">
        <v>71</v>
      </c>
      <c r="B8" s="18">
        <v>51.08</v>
      </c>
    </row>
    <row r="9" spans="1:9" ht="15" x14ac:dyDescent="0.25">
      <c r="A9" s="11" t="s">
        <v>72</v>
      </c>
      <c r="B9" s="18">
        <v>41.41</v>
      </c>
    </row>
    <row r="10" spans="1:9" ht="15" x14ac:dyDescent="0.25">
      <c r="A10" s="5"/>
      <c r="B10" s="11" t="s">
        <v>70</v>
      </c>
      <c r="C10" s="2"/>
      <c r="D10" s="2"/>
      <c r="G10" s="11" t="s">
        <v>61</v>
      </c>
    </row>
    <row r="11" spans="1:9" ht="15" x14ac:dyDescent="0.25">
      <c r="B11" s="17">
        <v>1021</v>
      </c>
      <c r="C11" s="2"/>
      <c r="D11" s="2"/>
      <c r="G11" s="18">
        <v>0</v>
      </c>
    </row>
    <row r="12" spans="1:9" ht="15" x14ac:dyDescent="0.25">
      <c r="A12" s="5" t="s">
        <v>62</v>
      </c>
      <c r="B12" s="17">
        <v>0</v>
      </c>
      <c r="C12" s="74"/>
      <c r="D12" s="2"/>
      <c r="E12" s="2"/>
      <c r="F12" s="53" t="s">
        <v>55</v>
      </c>
      <c r="G12" s="53" t="s">
        <v>56</v>
      </c>
    </row>
    <row r="13" spans="1:9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9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9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9" x14ac:dyDescent="0.25">
      <c r="A16" s="15" t="s">
        <v>202</v>
      </c>
      <c r="B16" s="66" t="s">
        <v>182</v>
      </c>
      <c r="C16" s="66">
        <v>440</v>
      </c>
      <c r="D16" s="66">
        <v>6</v>
      </c>
      <c r="E16" s="66">
        <f>C16*D16</f>
        <v>2640</v>
      </c>
      <c r="F16" s="67">
        <v>-1.34E-2</v>
      </c>
      <c r="G16" s="68">
        <f t="shared" ref="G16:G22" si="0">(E16*F16)+E16</f>
        <v>2604.6239999999998</v>
      </c>
      <c r="I16" s="49"/>
    </row>
    <row r="17" spans="1:8" x14ac:dyDescent="0.25">
      <c r="A17" s="15"/>
      <c r="B17" s="66"/>
      <c r="C17" s="66"/>
      <c r="D17" s="66"/>
      <c r="E17" s="68">
        <f t="shared" ref="E17:E22" si="1">C17*D17</f>
        <v>0</v>
      </c>
      <c r="F17" s="66"/>
      <c r="G17" s="68">
        <f t="shared" si="0"/>
        <v>0</v>
      </c>
    </row>
    <row r="18" spans="1:8" x14ac:dyDescent="0.25">
      <c r="A18" s="15"/>
      <c r="B18" s="66"/>
      <c r="C18" s="66"/>
      <c r="D18" s="66"/>
      <c r="E18" s="66">
        <f t="shared" si="1"/>
        <v>0</v>
      </c>
      <c r="F18" s="67"/>
      <c r="G18" s="68">
        <f t="shared" si="0"/>
        <v>0</v>
      </c>
    </row>
    <row r="19" spans="1:8" x14ac:dyDescent="0.25">
      <c r="A19" s="15"/>
      <c r="B19" s="15"/>
      <c r="C19" s="66"/>
      <c r="D19" s="66"/>
      <c r="E19" s="66">
        <f t="shared" si="1"/>
        <v>0</v>
      </c>
      <c r="F19" s="15"/>
      <c r="G19" s="68">
        <f t="shared" si="0"/>
        <v>0</v>
      </c>
    </row>
    <row r="20" spans="1:8" ht="15" customHeight="1" x14ac:dyDescent="0.25">
      <c r="A20" s="15"/>
      <c r="B20" s="15"/>
      <c r="C20" s="69"/>
      <c r="D20" s="69"/>
      <c r="E20" s="66">
        <f t="shared" si="1"/>
        <v>0</v>
      </c>
      <c r="F20" s="15"/>
      <c r="G20" s="68">
        <f t="shared" si="0"/>
        <v>0</v>
      </c>
    </row>
    <row r="21" spans="1:8" ht="15" customHeight="1" x14ac:dyDescent="0.25">
      <c r="A21" s="15"/>
      <c r="B21" s="15"/>
      <c r="C21" s="69"/>
      <c r="D21" s="69"/>
      <c r="E21" s="66">
        <f t="shared" si="1"/>
        <v>0</v>
      </c>
      <c r="F21" s="15"/>
      <c r="G21" s="68">
        <f t="shared" si="0"/>
        <v>0</v>
      </c>
    </row>
    <row r="22" spans="1:8" ht="15" customHeight="1" x14ac:dyDescent="0.25">
      <c r="A22" s="66"/>
      <c r="B22" s="70"/>
      <c r="C22" s="69"/>
      <c r="D22" s="69"/>
      <c r="E22" s="66">
        <f t="shared" si="1"/>
        <v>0</v>
      </c>
      <c r="F22" s="15"/>
      <c r="G22" s="68">
        <f t="shared" si="0"/>
        <v>0</v>
      </c>
    </row>
    <row r="23" spans="1:8" ht="15" x14ac:dyDescent="0.25">
      <c r="A23" s="2"/>
      <c r="B23" s="2"/>
      <c r="C23" s="2"/>
      <c r="D23" s="2"/>
      <c r="E23" s="2"/>
      <c r="F23" s="2"/>
      <c r="G23" s="2"/>
    </row>
    <row r="24" spans="1:8" ht="30" customHeight="1" x14ac:dyDescent="0.25">
      <c r="A24" s="106" t="s">
        <v>176</v>
      </c>
      <c r="B24" s="132" t="s">
        <v>11</v>
      </c>
      <c r="C24" s="132"/>
      <c r="D24" s="132"/>
      <c r="E24" s="132"/>
      <c r="F24" s="113">
        <f>SUM(G16:G22)</f>
        <v>2604.6239999999998</v>
      </c>
      <c r="G24" s="113"/>
    </row>
    <row r="25" spans="1:8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8" ht="15" x14ac:dyDescent="0.25">
      <c r="A26" s="2"/>
      <c r="B26" s="2"/>
      <c r="C26" s="2"/>
      <c r="D26" s="2"/>
      <c r="E26" s="2"/>
      <c r="F26" s="2"/>
      <c r="G26" s="2"/>
    </row>
    <row r="27" spans="1:8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8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8" ht="15" x14ac:dyDescent="0.25">
      <c r="A29" s="43" t="s">
        <v>134</v>
      </c>
      <c r="B29" s="41" t="s">
        <v>54</v>
      </c>
      <c r="C29" s="40">
        <f>IFERROR(VLOOKUP(B29,Liste!C1:D5,2,FALSE),"")</f>
        <v>2300</v>
      </c>
      <c r="D29" s="54">
        <f>IFERROR(C29/4.33,0)</f>
        <v>531.17782909930713</v>
      </c>
      <c r="H29" s="7"/>
    </row>
    <row r="30" spans="1:8" ht="15" x14ac:dyDescent="0.3">
      <c r="A30" s="43" t="s">
        <v>66</v>
      </c>
      <c r="B30" s="46" t="s">
        <v>40</v>
      </c>
      <c r="C30" s="40">
        <f>IFERROR(VLOOKUP(B30,Liste!$C$7:$D$15,2,FALSE),"")</f>
        <v>1400</v>
      </c>
      <c r="D30" s="54">
        <f>IFERROR(C30/4.33,0)</f>
        <v>323.32563510392612</v>
      </c>
      <c r="H30" s="7"/>
    </row>
    <row r="31" spans="1:8" ht="15" x14ac:dyDescent="0.3">
      <c r="A31" s="43" t="s">
        <v>67</v>
      </c>
      <c r="B31" s="46" t="s">
        <v>69</v>
      </c>
      <c r="C31" s="40" t="str">
        <f>IFERROR(VLOOKUP(B31,Liste!$C$7:$D$15,2,FALSE),"")</f>
        <v/>
      </c>
      <c r="D31" s="54">
        <f t="shared" ref="D31:D33" si="2">IFERROR(C31/4.33,0)</f>
        <v>0</v>
      </c>
      <c r="H31" s="7"/>
    </row>
    <row r="32" spans="1:8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2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2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1.3553999999999999</v>
      </c>
      <c r="D34" s="54">
        <f>(B11*D5/100)*C34</f>
        <v>477.29448665999996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0</v>
      </c>
      <c r="D35" s="54">
        <f>(D5*B11/100)*C35</f>
        <v>0</v>
      </c>
      <c r="H35" s="7"/>
    </row>
    <row r="36" spans="1:8" ht="15" x14ac:dyDescent="0.3">
      <c r="A36" s="43" t="s">
        <v>3</v>
      </c>
      <c r="B36" s="42"/>
      <c r="C36" s="65">
        <v>0.43090000000000001</v>
      </c>
      <c r="D36" s="54">
        <f>(D6*B11)*C36</f>
        <v>8.3590291000000008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E37" s="1" t="s">
        <v>191</v>
      </c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40.840000000000003</v>
      </c>
      <c r="E38" s="49"/>
      <c r="H38" s="7"/>
    </row>
    <row r="39" spans="1:8" ht="15" x14ac:dyDescent="0.25">
      <c r="A39" s="43" t="s">
        <v>13</v>
      </c>
      <c r="B39" s="41">
        <f>B12</f>
        <v>0</v>
      </c>
      <c r="C39" s="56">
        <v>5</v>
      </c>
      <c r="D39" s="54">
        <f>C39*B39</f>
        <v>0</v>
      </c>
      <c r="H39" s="7"/>
    </row>
    <row r="40" spans="1:8" ht="15" x14ac:dyDescent="0.25">
      <c r="A40" s="43" t="s">
        <v>14</v>
      </c>
      <c r="B40" s="48" t="s">
        <v>55</v>
      </c>
      <c r="C40" s="40">
        <v>1</v>
      </c>
      <c r="D40" s="40">
        <v>893.37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2274.3669799632335</v>
      </c>
    </row>
    <row r="46" spans="1:8" x14ac:dyDescent="0.25">
      <c r="C46" s="6" t="s">
        <v>49</v>
      </c>
      <c r="D46" s="47">
        <f>F24-D45</f>
        <v>330.25702003676633</v>
      </c>
    </row>
    <row r="48" spans="1:8" ht="39" customHeight="1" x14ac:dyDescent="0.25">
      <c r="C48" s="58" t="s">
        <v>48</v>
      </c>
      <c r="D48" s="59">
        <f>D46/F24</f>
        <v>0.1267964282125813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C6968082-3946-4040-930A-3E36F72721DE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325FF0B-662C-4F0C-831C-678E4B36095E}">
          <x14:formula1>
            <xm:f>Liste!$C$2:$C$5</xm:f>
          </x14:formula1>
          <xm:sqref>B29</xm:sqref>
        </x14:dataValidation>
        <x14:dataValidation type="list" allowBlank="1" showInputMessage="1" showErrorMessage="1" xr:uid="{26C3444B-9399-4BEE-96C1-765D20E024A0}">
          <x14:formula1>
            <xm:f>Liste!$A$21:$A$22</xm:f>
          </x14:formula1>
          <xm:sqref>B40</xm:sqref>
        </x14:dataValidation>
        <x14:dataValidation type="list" allowBlank="1" showInputMessage="1" showErrorMessage="1" xr:uid="{606E396A-6E95-48E3-9A3F-249412AFF5AA}">
          <x14:formula1>
            <xm:f>Liste!$A$24:$A$25</xm:f>
          </x14:formula1>
          <xm:sqref>B42</xm:sqref>
        </x14:dataValidation>
        <x14:dataValidation type="list" allowBlank="1" showInputMessage="1" showErrorMessage="1" xr:uid="{E96CF549-5AB5-49E8-A3D8-2EA5F22C4E55}">
          <x14:formula1>
            <xm:f>Liste!$C$7:$C$16</xm:f>
          </x14:formula1>
          <xm:sqref>B30:B33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A7F33-D66A-4323-93FE-BED683A35945}">
  <sheetPr>
    <tabColor theme="7" tint="0.39997558519241921"/>
  </sheetPr>
  <dimension ref="A1:I48"/>
  <sheetViews>
    <sheetView workbookViewId="0">
      <selection activeCell="B12" sqref="B12"/>
    </sheetView>
  </sheetViews>
  <sheetFormatPr baseColWidth="10" defaultColWidth="11.44140625" defaultRowHeight="13.2" x14ac:dyDescent="0.25"/>
  <cols>
    <col min="1" max="1" width="32.44140625" style="1" customWidth="1"/>
    <col min="2" max="2" width="20.6640625" style="1" customWidth="1"/>
    <col min="3" max="3" width="19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9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9" x14ac:dyDescent="0.25">
      <c r="A3" s="126" t="s">
        <v>5</v>
      </c>
      <c r="B3" s="126"/>
      <c r="C3" s="126"/>
      <c r="D3" s="126"/>
      <c r="E3" s="126"/>
      <c r="F3" s="126"/>
      <c r="G3" s="126"/>
    </row>
    <row r="4" spans="1:9" ht="15" x14ac:dyDescent="0.25">
      <c r="A4" s="2"/>
      <c r="B4" s="5" t="s">
        <v>10</v>
      </c>
      <c r="D4" s="11" t="s">
        <v>12</v>
      </c>
      <c r="F4" s="129" t="s">
        <v>15</v>
      </c>
      <c r="G4" s="130" t="s">
        <v>688</v>
      </c>
    </row>
    <row r="5" spans="1:9" ht="15" x14ac:dyDescent="0.25">
      <c r="A5" s="5" t="s">
        <v>8</v>
      </c>
      <c r="B5" s="10" t="s">
        <v>199</v>
      </c>
      <c r="C5" s="10"/>
      <c r="D5" s="17">
        <v>31.8</v>
      </c>
      <c r="E5" s="76"/>
      <c r="F5" s="129"/>
      <c r="G5" s="131"/>
    </row>
    <row r="6" spans="1:9" ht="15" x14ac:dyDescent="0.25">
      <c r="A6" s="5" t="s">
        <v>9</v>
      </c>
      <c r="B6" s="10" t="s">
        <v>174</v>
      </c>
      <c r="C6" s="10"/>
      <c r="D6" s="6">
        <v>1.9E-2</v>
      </c>
      <c r="F6" s="2"/>
      <c r="G6" s="2"/>
    </row>
    <row r="7" spans="1:9" ht="15" x14ac:dyDescent="0.25">
      <c r="A7" s="5" t="s">
        <v>16</v>
      </c>
      <c r="B7" s="12" t="s">
        <v>200</v>
      </c>
      <c r="C7" s="12"/>
      <c r="D7" s="63"/>
    </row>
    <row r="8" spans="1:9" ht="15" x14ac:dyDescent="0.25">
      <c r="A8" s="11" t="s">
        <v>71</v>
      </c>
      <c r="B8" s="18">
        <v>57.86</v>
      </c>
    </row>
    <row r="9" spans="1:9" x14ac:dyDescent="0.25">
      <c r="A9" s="11" t="s">
        <v>72</v>
      </c>
      <c r="B9" s="77">
        <v>44.59</v>
      </c>
    </row>
    <row r="10" spans="1:9" ht="15" x14ac:dyDescent="0.25">
      <c r="A10" s="5"/>
      <c r="B10" s="11" t="s">
        <v>70</v>
      </c>
      <c r="C10" s="2"/>
      <c r="D10" s="2"/>
      <c r="G10" s="11" t="s">
        <v>61</v>
      </c>
    </row>
    <row r="11" spans="1:9" ht="15" x14ac:dyDescent="0.25">
      <c r="B11" s="17">
        <v>958</v>
      </c>
      <c r="C11" s="2"/>
      <c r="D11" s="2"/>
      <c r="G11" s="18">
        <v>0</v>
      </c>
    </row>
    <row r="12" spans="1:9" ht="15" x14ac:dyDescent="0.25">
      <c r="A12" s="5" t="s">
        <v>62</v>
      </c>
      <c r="B12" s="17">
        <v>0</v>
      </c>
      <c r="C12" s="75" t="s">
        <v>185</v>
      </c>
      <c r="D12" s="2"/>
      <c r="E12" s="2"/>
      <c r="F12" s="53" t="s">
        <v>55</v>
      </c>
      <c r="G12" s="53" t="s">
        <v>56</v>
      </c>
    </row>
    <row r="13" spans="1:9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9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9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9" x14ac:dyDescent="0.25">
      <c r="A16" s="15" t="s">
        <v>201</v>
      </c>
      <c r="B16" s="66" t="s">
        <v>182</v>
      </c>
      <c r="C16" s="66">
        <v>440</v>
      </c>
      <c r="D16" s="66">
        <v>6</v>
      </c>
      <c r="E16" s="66">
        <f>C16*D16</f>
        <v>2640</v>
      </c>
      <c r="F16" s="67">
        <v>-1.34E-2</v>
      </c>
      <c r="G16" s="68">
        <f t="shared" ref="G16:G22" si="0">(E16*F16)+E16</f>
        <v>2604.6239999999998</v>
      </c>
      <c r="I16" s="49"/>
    </row>
    <row r="17" spans="1:8" x14ac:dyDescent="0.25">
      <c r="A17" s="15"/>
      <c r="B17" s="66"/>
      <c r="C17" s="66"/>
      <c r="D17" s="66"/>
      <c r="E17" s="68">
        <f t="shared" ref="E17:E22" si="1">C17*D17</f>
        <v>0</v>
      </c>
      <c r="F17" s="66"/>
      <c r="G17" s="68">
        <f t="shared" si="0"/>
        <v>0</v>
      </c>
    </row>
    <row r="18" spans="1:8" x14ac:dyDescent="0.25">
      <c r="A18" s="15"/>
      <c r="B18" s="66"/>
      <c r="C18" s="66"/>
      <c r="D18" s="66"/>
      <c r="E18" s="66">
        <f t="shared" si="1"/>
        <v>0</v>
      </c>
      <c r="F18" s="67"/>
      <c r="G18" s="68">
        <f t="shared" si="0"/>
        <v>0</v>
      </c>
    </row>
    <row r="19" spans="1:8" x14ac:dyDescent="0.25">
      <c r="A19" s="15"/>
      <c r="B19" s="15"/>
      <c r="C19" s="66"/>
      <c r="D19" s="66"/>
      <c r="E19" s="66">
        <f t="shared" si="1"/>
        <v>0</v>
      </c>
      <c r="F19" s="15"/>
      <c r="G19" s="68">
        <f t="shared" si="0"/>
        <v>0</v>
      </c>
    </row>
    <row r="20" spans="1:8" ht="15" customHeight="1" x14ac:dyDescent="0.25">
      <c r="A20" s="15"/>
      <c r="B20" s="15"/>
      <c r="C20" s="69"/>
      <c r="D20" s="69"/>
      <c r="E20" s="66">
        <f t="shared" si="1"/>
        <v>0</v>
      </c>
      <c r="F20" s="15"/>
      <c r="G20" s="68">
        <f t="shared" si="0"/>
        <v>0</v>
      </c>
    </row>
    <row r="21" spans="1:8" ht="15" customHeight="1" x14ac:dyDescent="0.25">
      <c r="A21" s="15"/>
      <c r="B21" s="15"/>
      <c r="C21" s="69"/>
      <c r="D21" s="69"/>
      <c r="E21" s="66">
        <f t="shared" si="1"/>
        <v>0</v>
      </c>
      <c r="F21" s="15"/>
      <c r="G21" s="68">
        <f t="shared" si="0"/>
        <v>0</v>
      </c>
    </row>
    <row r="22" spans="1:8" ht="15" customHeight="1" x14ac:dyDescent="0.25">
      <c r="A22" s="66"/>
      <c r="B22" s="70"/>
      <c r="C22" s="69"/>
      <c r="D22" s="69"/>
      <c r="E22" s="66">
        <f t="shared" si="1"/>
        <v>0</v>
      </c>
      <c r="F22" s="15"/>
      <c r="G22" s="68">
        <f t="shared" si="0"/>
        <v>0</v>
      </c>
    </row>
    <row r="23" spans="1:8" ht="15" x14ac:dyDescent="0.25">
      <c r="A23" s="2"/>
      <c r="B23" s="2"/>
      <c r="C23" s="2"/>
      <c r="D23" s="2"/>
      <c r="E23" s="2"/>
      <c r="F23" s="2"/>
      <c r="G23" s="2"/>
    </row>
    <row r="24" spans="1:8" ht="30" customHeight="1" x14ac:dyDescent="0.25">
      <c r="A24" s="106" t="s">
        <v>177</v>
      </c>
      <c r="B24" s="132" t="s">
        <v>11</v>
      </c>
      <c r="C24" s="132"/>
      <c r="D24" s="132"/>
      <c r="E24" s="132"/>
      <c r="F24" s="113">
        <f>SUM(G16:G22)</f>
        <v>2604.6239999999998</v>
      </c>
      <c r="G24" s="113"/>
    </row>
    <row r="25" spans="1:8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8" ht="15" x14ac:dyDescent="0.25">
      <c r="A26" s="2"/>
      <c r="B26" s="2"/>
      <c r="C26" s="2"/>
      <c r="D26" s="2"/>
      <c r="E26" s="2"/>
      <c r="F26" s="2"/>
      <c r="G26" s="2"/>
    </row>
    <row r="27" spans="1:8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8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8" ht="15" x14ac:dyDescent="0.25">
      <c r="A29" s="43" t="s">
        <v>134</v>
      </c>
      <c r="B29" s="41" t="s">
        <v>54</v>
      </c>
      <c r="C29" s="40">
        <f>IFERROR(VLOOKUP(B29,Liste!C1:D5,2,FALSE),"")</f>
        <v>2300</v>
      </c>
      <c r="D29" s="54">
        <f>IFERROR(C29/4.33,0)</f>
        <v>531.17782909930713</v>
      </c>
      <c r="H29" s="7"/>
    </row>
    <row r="30" spans="1:8" ht="15" x14ac:dyDescent="0.3">
      <c r="A30" s="43" t="s">
        <v>66</v>
      </c>
      <c r="B30" s="46" t="s">
        <v>40</v>
      </c>
      <c r="C30" s="40">
        <f>IFERROR(VLOOKUP(B30,Liste!$C$7:$D$15,2,FALSE),"")</f>
        <v>1400</v>
      </c>
      <c r="D30" s="54">
        <f>IFERROR(C30/4.33,0)</f>
        <v>323.32563510392612</v>
      </c>
      <c r="H30" s="7"/>
    </row>
    <row r="31" spans="1:8" ht="15" x14ac:dyDescent="0.3">
      <c r="A31" s="43" t="s">
        <v>67</v>
      </c>
      <c r="B31" s="46" t="s">
        <v>69</v>
      </c>
      <c r="C31" s="40" t="str">
        <f>IFERROR(VLOOKUP(B31,Liste!$C$7:$D$15,2,FALSE),"")</f>
        <v/>
      </c>
      <c r="D31" s="54">
        <f t="shared" ref="D31:D33" si="2">IFERROR(C31/4.33,0)</f>
        <v>0</v>
      </c>
      <c r="H31" s="7"/>
    </row>
    <row r="32" spans="1:8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2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2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1.3553999999999999</v>
      </c>
      <c r="D34" s="54">
        <f>(B11*D5/100)*C34</f>
        <v>412.9144776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0</v>
      </c>
      <c r="D35" s="54">
        <f>(D5*B11/100)*C35</f>
        <v>0</v>
      </c>
      <c r="H35" s="7"/>
    </row>
    <row r="36" spans="1:8" ht="15" x14ac:dyDescent="0.3">
      <c r="A36" s="43" t="s">
        <v>3</v>
      </c>
      <c r="B36" s="42"/>
      <c r="C36" s="65">
        <v>0.43090000000000001</v>
      </c>
      <c r="D36" s="54">
        <f>(D6*B11)*C36</f>
        <v>7.8432417999999995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4">
        <f>(199.36/26)*6</f>
        <v>46.00615384615385</v>
      </c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38.32</v>
      </c>
      <c r="E38" s="49"/>
      <c r="H38" s="7"/>
    </row>
    <row r="39" spans="1:8" ht="15" x14ac:dyDescent="0.25">
      <c r="A39" s="43" t="s">
        <v>13</v>
      </c>
      <c r="B39" s="41">
        <f>B12</f>
        <v>0</v>
      </c>
      <c r="C39" s="56">
        <v>5</v>
      </c>
      <c r="D39" s="54">
        <f>C39*B39</f>
        <v>0</v>
      </c>
      <c r="H39" s="7"/>
    </row>
    <row r="40" spans="1:8" ht="15" x14ac:dyDescent="0.25">
      <c r="A40" s="43" t="s">
        <v>14</v>
      </c>
      <c r="B40" s="48" t="s">
        <v>55</v>
      </c>
      <c r="C40" s="40">
        <v>1</v>
      </c>
      <c r="D40" s="40">
        <v>1075.29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2434.8773374493871</v>
      </c>
    </row>
    <row r="46" spans="1:8" x14ac:dyDescent="0.25">
      <c r="C46" s="6" t="s">
        <v>49</v>
      </c>
      <c r="D46" s="47">
        <f>F24-D45</f>
        <v>169.74666255061265</v>
      </c>
    </row>
    <row r="48" spans="1:8" ht="39" customHeight="1" x14ac:dyDescent="0.25">
      <c r="C48" s="58" t="s">
        <v>48</v>
      </c>
      <c r="D48" s="59">
        <f>D46/F24</f>
        <v>6.5171273301103214E-2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1D2D15FB-6891-4AB0-AA89-6349E74F79C7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F37CD2E-0202-4101-B9A7-07413712598A}">
          <x14:formula1>
            <xm:f>Liste!$C$7:$C$16</xm:f>
          </x14:formula1>
          <xm:sqref>B30:B33</xm:sqref>
        </x14:dataValidation>
        <x14:dataValidation type="list" allowBlank="1" showInputMessage="1" showErrorMessage="1" xr:uid="{4F44CCA3-2CEF-4163-B42B-B625577ECB65}">
          <x14:formula1>
            <xm:f>Liste!$A$24:$A$25</xm:f>
          </x14:formula1>
          <xm:sqref>B42</xm:sqref>
        </x14:dataValidation>
        <x14:dataValidation type="list" allowBlank="1" showInputMessage="1" showErrorMessage="1" xr:uid="{011A8740-EC95-4D64-A98A-59249A527474}">
          <x14:formula1>
            <xm:f>Liste!$A$21:$A$22</xm:f>
          </x14:formula1>
          <xm:sqref>B40</xm:sqref>
        </x14:dataValidation>
        <x14:dataValidation type="list" allowBlank="1" showInputMessage="1" showErrorMessage="1" xr:uid="{8A91D74D-D730-43CF-A105-62C5E17FBAFE}">
          <x14:formula1>
            <xm:f>Liste!$C$2:$C$5</xm:f>
          </x14:formula1>
          <xm:sqref>B29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1303-1BC4-4B5A-940C-6D908406CB1A}">
  <sheetPr>
    <tabColor theme="7" tint="0.39997558519241921"/>
  </sheetPr>
  <dimension ref="A1:I48"/>
  <sheetViews>
    <sheetView workbookViewId="0">
      <selection activeCell="B11" sqref="B11"/>
    </sheetView>
  </sheetViews>
  <sheetFormatPr baseColWidth="10" defaultColWidth="11.44140625" defaultRowHeight="13.2" x14ac:dyDescent="0.25"/>
  <cols>
    <col min="1" max="1" width="32.44140625" style="1" customWidth="1"/>
    <col min="2" max="2" width="20.6640625" style="1" customWidth="1"/>
    <col min="3" max="3" width="19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9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9" x14ac:dyDescent="0.25">
      <c r="A3" s="126" t="s">
        <v>5</v>
      </c>
      <c r="B3" s="126"/>
      <c r="C3" s="126"/>
      <c r="D3" s="126"/>
      <c r="E3" s="126"/>
      <c r="F3" s="126"/>
      <c r="G3" s="126"/>
    </row>
    <row r="4" spans="1:9" ht="15" x14ac:dyDescent="0.25">
      <c r="A4" s="2"/>
      <c r="B4" s="5" t="s">
        <v>10</v>
      </c>
      <c r="D4" s="11" t="s">
        <v>12</v>
      </c>
      <c r="F4" s="129" t="s">
        <v>15</v>
      </c>
      <c r="G4" s="130" t="s">
        <v>688</v>
      </c>
    </row>
    <row r="5" spans="1:9" ht="15" x14ac:dyDescent="0.25">
      <c r="A5" s="5" t="s">
        <v>8</v>
      </c>
      <c r="B5" s="10" t="s">
        <v>289</v>
      </c>
      <c r="C5" s="10"/>
      <c r="D5" s="17">
        <v>26.44</v>
      </c>
      <c r="E5" s="6"/>
      <c r="F5" s="129"/>
      <c r="G5" s="131"/>
    </row>
    <row r="6" spans="1:9" ht="15" x14ac:dyDescent="0.25">
      <c r="A6" s="5" t="s">
        <v>9</v>
      </c>
      <c r="B6" s="10" t="s">
        <v>291</v>
      </c>
      <c r="C6" s="10"/>
      <c r="D6" s="6">
        <v>1.9E-2</v>
      </c>
      <c r="F6" s="2"/>
      <c r="G6" s="2"/>
    </row>
    <row r="7" spans="1:9" ht="15" x14ac:dyDescent="0.25">
      <c r="A7" s="5" t="s">
        <v>16</v>
      </c>
      <c r="B7" s="12" t="s">
        <v>290</v>
      </c>
      <c r="C7" s="12"/>
      <c r="D7" s="63"/>
    </row>
    <row r="8" spans="1:9" ht="15" x14ac:dyDescent="0.25">
      <c r="A8" s="11" t="s">
        <v>71</v>
      </c>
      <c r="B8" s="18">
        <v>61.3</v>
      </c>
    </row>
    <row r="9" spans="1:9" x14ac:dyDescent="0.25">
      <c r="A9" s="11" t="s">
        <v>72</v>
      </c>
      <c r="B9" s="77">
        <v>41.13</v>
      </c>
    </row>
    <row r="10" spans="1:9" ht="15" x14ac:dyDescent="0.25">
      <c r="A10" s="5"/>
      <c r="B10" s="11" t="s">
        <v>70</v>
      </c>
      <c r="C10" s="2"/>
      <c r="D10" s="2"/>
      <c r="G10" s="11" t="s">
        <v>61</v>
      </c>
    </row>
    <row r="11" spans="1:9" ht="15" x14ac:dyDescent="0.25">
      <c r="B11" s="17">
        <v>3158</v>
      </c>
      <c r="C11" s="2"/>
      <c r="D11" s="2"/>
      <c r="G11" s="18">
        <v>0</v>
      </c>
    </row>
    <row r="12" spans="1:9" ht="15" x14ac:dyDescent="0.25">
      <c r="A12" s="5" t="s">
        <v>62</v>
      </c>
      <c r="B12" s="17">
        <v>109.92</v>
      </c>
      <c r="C12" s="74"/>
      <c r="D12" s="2"/>
      <c r="E12" s="2"/>
      <c r="F12" s="53" t="s">
        <v>55</v>
      </c>
      <c r="G12" s="53" t="s">
        <v>56</v>
      </c>
    </row>
    <row r="13" spans="1:9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9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9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9" x14ac:dyDescent="0.25">
      <c r="A16" s="15" t="s">
        <v>292</v>
      </c>
      <c r="B16" s="66" t="s">
        <v>208</v>
      </c>
      <c r="C16" s="66">
        <v>773</v>
      </c>
      <c r="D16" s="66">
        <v>5</v>
      </c>
      <c r="E16" s="66">
        <f>C16*D16</f>
        <v>3865</v>
      </c>
      <c r="F16" s="67">
        <v>0.13700000000000001</v>
      </c>
      <c r="G16" s="68">
        <f t="shared" ref="G16:G22" si="0">(E16*F16)+E16</f>
        <v>4394.5050000000001</v>
      </c>
      <c r="I16" s="49"/>
    </row>
    <row r="17" spans="1:8" x14ac:dyDescent="0.25">
      <c r="A17" s="15"/>
      <c r="B17" s="66"/>
      <c r="C17" s="66"/>
      <c r="D17" s="66"/>
      <c r="E17" s="68">
        <f t="shared" ref="E17:E22" si="1">C17*D17</f>
        <v>0</v>
      </c>
      <c r="F17" s="66"/>
      <c r="G17" s="68">
        <f t="shared" si="0"/>
        <v>0</v>
      </c>
    </row>
    <row r="18" spans="1:8" x14ac:dyDescent="0.25">
      <c r="A18" s="83" t="s">
        <v>269</v>
      </c>
      <c r="B18" s="66"/>
      <c r="C18" s="66"/>
      <c r="D18" s="66"/>
      <c r="E18" s="66">
        <f t="shared" si="1"/>
        <v>0</v>
      </c>
      <c r="F18" s="67"/>
      <c r="G18" s="68">
        <f t="shared" si="0"/>
        <v>0</v>
      </c>
    </row>
    <row r="19" spans="1:8" x14ac:dyDescent="0.25">
      <c r="A19" s="15"/>
      <c r="B19" s="15"/>
      <c r="C19" s="66"/>
      <c r="D19" s="66"/>
      <c r="E19" s="66">
        <f t="shared" si="1"/>
        <v>0</v>
      </c>
      <c r="F19" s="15"/>
      <c r="G19" s="68">
        <f t="shared" si="0"/>
        <v>0</v>
      </c>
    </row>
    <row r="20" spans="1:8" ht="15" customHeight="1" x14ac:dyDescent="0.25">
      <c r="A20" s="15"/>
      <c r="B20" s="15"/>
      <c r="C20" s="69"/>
      <c r="D20" s="69"/>
      <c r="E20" s="66">
        <f t="shared" si="1"/>
        <v>0</v>
      </c>
      <c r="F20" s="15"/>
      <c r="G20" s="68">
        <f t="shared" si="0"/>
        <v>0</v>
      </c>
    </row>
    <row r="21" spans="1:8" ht="15" customHeight="1" x14ac:dyDescent="0.25">
      <c r="A21" s="15"/>
      <c r="B21" s="15"/>
      <c r="C21" s="69"/>
      <c r="D21" s="69"/>
      <c r="E21" s="66">
        <f t="shared" si="1"/>
        <v>0</v>
      </c>
      <c r="F21" s="15"/>
      <c r="G21" s="68">
        <f t="shared" si="0"/>
        <v>0</v>
      </c>
    </row>
    <row r="22" spans="1:8" ht="15" customHeight="1" x14ac:dyDescent="0.25">
      <c r="A22" s="66"/>
      <c r="B22" s="70"/>
      <c r="C22" s="69"/>
      <c r="D22" s="69"/>
      <c r="E22" s="66">
        <f t="shared" si="1"/>
        <v>0</v>
      </c>
      <c r="F22" s="15"/>
      <c r="G22" s="68">
        <f t="shared" si="0"/>
        <v>0</v>
      </c>
    </row>
    <row r="23" spans="1:8" ht="15" x14ac:dyDescent="0.25">
      <c r="A23" s="2"/>
      <c r="B23" s="2"/>
      <c r="C23" s="2"/>
      <c r="D23" s="2"/>
      <c r="E23" s="2"/>
      <c r="F23" s="2"/>
      <c r="G23" s="2"/>
    </row>
    <row r="24" spans="1:8" ht="30" customHeight="1" x14ac:dyDescent="0.25">
      <c r="A24" s="106" t="s">
        <v>286</v>
      </c>
      <c r="B24" s="132" t="s">
        <v>11</v>
      </c>
      <c r="C24" s="132"/>
      <c r="D24" s="132"/>
      <c r="E24" s="132"/>
      <c r="F24" s="113">
        <f>SUM(G16:G22)</f>
        <v>4394.5050000000001</v>
      </c>
      <c r="G24" s="113"/>
    </row>
    <row r="25" spans="1:8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8" ht="15" x14ac:dyDescent="0.25">
      <c r="A26" s="2"/>
      <c r="B26" s="2"/>
      <c r="C26" s="2"/>
      <c r="D26" s="2"/>
      <c r="E26" s="2"/>
      <c r="F26" s="2"/>
      <c r="G26" s="2"/>
    </row>
    <row r="27" spans="1:8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8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8" ht="15" x14ac:dyDescent="0.25">
      <c r="A29" s="43" t="s">
        <v>134</v>
      </c>
      <c r="B29" s="41" t="s">
        <v>54</v>
      </c>
      <c r="C29" s="40">
        <f>IFERROR(VLOOKUP(B29,Liste!C1:D5,2,FALSE),"")</f>
        <v>2300</v>
      </c>
      <c r="D29" s="54">
        <f>IFERROR(C29/4.33,0)</f>
        <v>531.17782909930713</v>
      </c>
      <c r="H29" s="7"/>
    </row>
    <row r="30" spans="1:8" ht="15" x14ac:dyDescent="0.3">
      <c r="A30" s="43" t="s">
        <v>66</v>
      </c>
      <c r="B30" s="46" t="s">
        <v>39</v>
      </c>
      <c r="C30" s="40">
        <f>IFERROR(VLOOKUP(B30,Liste!$C$7:$D$15,2,FALSE),"")</f>
        <v>1000</v>
      </c>
      <c r="D30" s="54">
        <f>IFERROR(C30/4.33,0)</f>
        <v>230.94688221709006</v>
      </c>
      <c r="H30" s="7"/>
    </row>
    <row r="31" spans="1:8" ht="15" x14ac:dyDescent="0.3">
      <c r="A31" s="43" t="s">
        <v>67</v>
      </c>
      <c r="B31" s="46" t="s">
        <v>39</v>
      </c>
      <c r="C31" s="40">
        <f>IFERROR(VLOOKUP(B31,Liste!$C$7:$D$15,2,FALSE),"")</f>
        <v>1000</v>
      </c>
      <c r="D31" s="54">
        <f t="shared" ref="D31:D33" si="2">IFERROR(C31/4.33,0)</f>
        <v>230.94688221709006</v>
      </c>
      <c r="H31" s="7"/>
    </row>
    <row r="32" spans="1:8" ht="15" x14ac:dyDescent="0.3">
      <c r="A32" s="43" t="s">
        <v>68</v>
      </c>
      <c r="B32" s="46" t="s">
        <v>39</v>
      </c>
      <c r="C32" s="40">
        <f>IFERROR(VLOOKUP(B32,Liste!$C$7:$D$15,2,FALSE),"")</f>
        <v>1000</v>
      </c>
      <c r="D32" s="54">
        <f t="shared" si="2"/>
        <v>230.94688221709006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2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1.3553999999999999</v>
      </c>
      <c r="D34" s="54">
        <f>(B11*D5/100)*C34</f>
        <v>1131.7253860800001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0</v>
      </c>
      <c r="D35" s="54">
        <f>(D5*B11/100)*C35</f>
        <v>0</v>
      </c>
      <c r="H35" s="7"/>
    </row>
    <row r="36" spans="1:8" ht="15" x14ac:dyDescent="0.3">
      <c r="A36" s="43" t="s">
        <v>3</v>
      </c>
      <c r="B36" s="42"/>
      <c r="C36" s="65">
        <v>0.43090000000000001</v>
      </c>
      <c r="D36" s="54">
        <f>(D6*B11)*C36</f>
        <v>25.854861799999998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126.32000000000001</v>
      </c>
      <c r="E38" s="49"/>
      <c r="H38" s="7"/>
    </row>
    <row r="39" spans="1:8" ht="15" x14ac:dyDescent="0.25">
      <c r="A39" s="43" t="s">
        <v>13</v>
      </c>
      <c r="B39" s="41">
        <f>B12</f>
        <v>109.92</v>
      </c>
      <c r="C39" s="56">
        <v>5</v>
      </c>
      <c r="D39" s="54">
        <f>C39*B39</f>
        <v>549.6</v>
      </c>
      <c r="H39" s="7"/>
    </row>
    <row r="40" spans="1:8" ht="15" x14ac:dyDescent="0.25">
      <c r="A40" s="43" t="s">
        <v>14</v>
      </c>
      <c r="B40" s="48" t="s">
        <v>55</v>
      </c>
      <c r="C40" s="40">
        <v>1</v>
      </c>
      <c r="D40" s="40">
        <v>887.65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3945.1687236305779</v>
      </c>
    </row>
    <row r="46" spans="1:8" x14ac:dyDescent="0.25">
      <c r="C46" s="6" t="s">
        <v>49</v>
      </c>
      <c r="D46" s="47">
        <f>F24-D45</f>
        <v>449.33627636942219</v>
      </c>
    </row>
    <row r="48" spans="1:8" ht="39" customHeight="1" x14ac:dyDescent="0.25">
      <c r="C48" s="58" t="s">
        <v>48</v>
      </c>
      <c r="D48" s="59">
        <f>D46/F24</f>
        <v>0.10224957677131376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5503E0B0-AD9E-4BF1-B46F-7D4E54599022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E744EC9-84BA-46E4-A34D-F1F8BAF90395}">
          <x14:formula1>
            <xm:f>Liste!$C$2:$C$5</xm:f>
          </x14:formula1>
          <xm:sqref>B29</xm:sqref>
        </x14:dataValidation>
        <x14:dataValidation type="list" allowBlank="1" showInputMessage="1" showErrorMessage="1" xr:uid="{F437D348-FEC1-45BE-BA98-9B1CBE365B38}">
          <x14:formula1>
            <xm:f>Liste!$A$21:$A$22</xm:f>
          </x14:formula1>
          <xm:sqref>B40</xm:sqref>
        </x14:dataValidation>
        <x14:dataValidation type="list" allowBlank="1" showInputMessage="1" showErrorMessage="1" xr:uid="{C159D5F5-EC78-4599-B249-A05A7CBC6E9E}">
          <x14:formula1>
            <xm:f>Liste!$A$24:$A$25</xm:f>
          </x14:formula1>
          <xm:sqref>B42</xm:sqref>
        </x14:dataValidation>
        <x14:dataValidation type="list" allowBlank="1" showInputMessage="1" showErrorMessage="1" xr:uid="{D86269EA-1C15-4EF8-8152-45C1B34A2BCB}">
          <x14:formula1>
            <xm:f>Liste!$C$7:$C$16</xm:f>
          </x14:formula1>
          <xm:sqref>B30:B33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14EF0-6213-4DEB-8AED-0D70CD687E3F}">
  <sheetPr>
    <tabColor theme="7" tint="0.39997558519241921"/>
  </sheetPr>
  <dimension ref="A1:I48"/>
  <sheetViews>
    <sheetView workbookViewId="0">
      <selection activeCell="B11" sqref="B11"/>
    </sheetView>
  </sheetViews>
  <sheetFormatPr baseColWidth="10" defaultColWidth="11.44140625" defaultRowHeight="13.2" x14ac:dyDescent="0.25"/>
  <cols>
    <col min="1" max="1" width="32.44140625" style="1" customWidth="1"/>
    <col min="2" max="2" width="20.6640625" style="1" customWidth="1"/>
    <col min="3" max="3" width="19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9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9" x14ac:dyDescent="0.25">
      <c r="A3" s="126" t="s">
        <v>5</v>
      </c>
      <c r="B3" s="126"/>
      <c r="C3" s="126"/>
      <c r="D3" s="126"/>
      <c r="E3" s="126"/>
      <c r="F3" s="126"/>
      <c r="G3" s="126"/>
    </row>
    <row r="4" spans="1:9" ht="15" x14ac:dyDescent="0.25">
      <c r="A4" s="2"/>
      <c r="B4" s="5" t="s">
        <v>10</v>
      </c>
      <c r="D4" s="11" t="s">
        <v>12</v>
      </c>
      <c r="F4" s="129" t="s">
        <v>15</v>
      </c>
      <c r="G4" s="130" t="s">
        <v>688</v>
      </c>
    </row>
    <row r="5" spans="1:9" ht="15" x14ac:dyDescent="0.25">
      <c r="A5" s="5" t="s">
        <v>8</v>
      </c>
      <c r="B5" s="10" t="s">
        <v>301</v>
      </c>
      <c r="C5" s="10"/>
      <c r="D5" s="17">
        <v>50.15</v>
      </c>
      <c r="E5" s="6"/>
      <c r="F5" s="129"/>
      <c r="G5" s="131"/>
    </row>
    <row r="6" spans="1:9" ht="15" x14ac:dyDescent="0.25">
      <c r="A6" s="5" t="s">
        <v>9</v>
      </c>
      <c r="B6" s="10" t="s">
        <v>299</v>
      </c>
      <c r="C6" s="10" t="s">
        <v>300</v>
      </c>
      <c r="D6" s="6">
        <v>1.9E-2</v>
      </c>
      <c r="F6" s="2"/>
      <c r="G6" s="2"/>
    </row>
    <row r="7" spans="1:9" ht="15" x14ac:dyDescent="0.25">
      <c r="A7" s="5" t="s">
        <v>16</v>
      </c>
      <c r="B7" s="12" t="s">
        <v>302</v>
      </c>
      <c r="C7" s="12"/>
      <c r="D7" s="63"/>
    </row>
    <row r="8" spans="1:9" ht="15" x14ac:dyDescent="0.25">
      <c r="A8" s="11" t="s">
        <v>71</v>
      </c>
      <c r="B8" s="18">
        <v>65.349999999999994</v>
      </c>
    </row>
    <row r="9" spans="1:9" x14ac:dyDescent="0.25">
      <c r="A9" s="11" t="s">
        <v>72</v>
      </c>
      <c r="B9" s="77">
        <v>48.13</v>
      </c>
    </row>
    <row r="10" spans="1:9" ht="15" x14ac:dyDescent="0.25">
      <c r="A10" s="5"/>
      <c r="B10" s="11" t="s">
        <v>70</v>
      </c>
      <c r="C10" s="2"/>
      <c r="D10" s="2"/>
      <c r="G10" s="11" t="s">
        <v>61</v>
      </c>
    </row>
    <row r="11" spans="1:9" ht="15" x14ac:dyDescent="0.25">
      <c r="B11" s="17">
        <v>573</v>
      </c>
      <c r="C11" s="2"/>
      <c r="D11" s="2"/>
      <c r="G11" s="18">
        <v>0</v>
      </c>
    </row>
    <row r="12" spans="1:9" ht="15" x14ac:dyDescent="0.25">
      <c r="A12" s="5" t="s">
        <v>62</v>
      </c>
      <c r="B12" s="17">
        <v>0</v>
      </c>
      <c r="C12" s="74"/>
      <c r="D12" s="2"/>
      <c r="E12" s="2"/>
      <c r="F12" s="53" t="s">
        <v>55</v>
      </c>
      <c r="G12" s="53" t="s">
        <v>56</v>
      </c>
    </row>
    <row r="13" spans="1:9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9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9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9" x14ac:dyDescent="0.25">
      <c r="A16" s="15" t="s">
        <v>297</v>
      </c>
      <c r="B16" s="66" t="s">
        <v>284</v>
      </c>
      <c r="C16" s="66">
        <v>455</v>
      </c>
      <c r="D16" s="66">
        <v>5</v>
      </c>
      <c r="E16" s="66">
        <f>C16*D16</f>
        <v>2275</v>
      </c>
      <c r="F16" s="73">
        <v>0</v>
      </c>
      <c r="G16" s="68">
        <f t="shared" ref="G16:G22" si="0">(E16*F16)+E16</f>
        <v>2275</v>
      </c>
      <c r="I16" s="49"/>
    </row>
    <row r="17" spans="1:8" x14ac:dyDescent="0.25">
      <c r="A17" s="15" t="s">
        <v>303</v>
      </c>
      <c r="B17" s="66" t="s">
        <v>258</v>
      </c>
      <c r="C17" s="66">
        <v>455</v>
      </c>
      <c r="D17" s="66">
        <v>1</v>
      </c>
      <c r="E17" s="68">
        <f t="shared" ref="E17:E22" si="1">C17*D17</f>
        <v>455</v>
      </c>
      <c r="F17" s="84">
        <v>0</v>
      </c>
      <c r="G17" s="68">
        <f t="shared" si="0"/>
        <v>455</v>
      </c>
    </row>
    <row r="18" spans="1:8" x14ac:dyDescent="0.25">
      <c r="A18" s="15" t="s">
        <v>708</v>
      </c>
      <c r="B18" s="66" t="s">
        <v>258</v>
      </c>
      <c r="C18" s="66">
        <v>220</v>
      </c>
      <c r="D18" s="66">
        <v>1</v>
      </c>
      <c r="E18" s="66">
        <f t="shared" si="1"/>
        <v>220</v>
      </c>
      <c r="F18" s="73">
        <v>0</v>
      </c>
      <c r="G18" s="68">
        <f t="shared" si="0"/>
        <v>220</v>
      </c>
    </row>
    <row r="19" spans="1:8" x14ac:dyDescent="0.25">
      <c r="A19" s="15"/>
      <c r="B19" s="15"/>
      <c r="C19" s="66"/>
      <c r="D19" s="66"/>
      <c r="E19" s="66">
        <f t="shared" si="1"/>
        <v>0</v>
      </c>
      <c r="F19" s="15"/>
      <c r="G19" s="68">
        <f t="shared" si="0"/>
        <v>0</v>
      </c>
    </row>
    <row r="20" spans="1:8" ht="15" customHeight="1" x14ac:dyDescent="0.25">
      <c r="A20" s="15"/>
      <c r="B20" s="15"/>
      <c r="C20" s="69"/>
      <c r="D20" s="69"/>
      <c r="E20" s="66">
        <f t="shared" si="1"/>
        <v>0</v>
      </c>
      <c r="F20" s="15"/>
      <c r="G20" s="68">
        <f t="shared" si="0"/>
        <v>0</v>
      </c>
    </row>
    <row r="21" spans="1:8" ht="15" customHeight="1" x14ac:dyDescent="0.25">
      <c r="A21" s="15"/>
      <c r="B21" s="15"/>
      <c r="C21" s="69"/>
      <c r="D21" s="69"/>
      <c r="E21" s="66">
        <f t="shared" si="1"/>
        <v>0</v>
      </c>
      <c r="F21" s="15"/>
      <c r="G21" s="68">
        <f t="shared" si="0"/>
        <v>0</v>
      </c>
    </row>
    <row r="22" spans="1:8" ht="15" customHeight="1" x14ac:dyDescent="0.25">
      <c r="A22" s="66"/>
      <c r="B22" s="70"/>
      <c r="C22" s="69"/>
      <c r="D22" s="69"/>
      <c r="E22" s="66">
        <f t="shared" si="1"/>
        <v>0</v>
      </c>
      <c r="F22" s="15"/>
      <c r="G22" s="68">
        <f t="shared" si="0"/>
        <v>0</v>
      </c>
    </row>
    <row r="23" spans="1:8" ht="15" x14ac:dyDescent="0.25">
      <c r="A23" s="2"/>
      <c r="B23" s="2"/>
      <c r="C23" s="2"/>
      <c r="D23" s="2"/>
      <c r="E23" s="2"/>
      <c r="F23" s="2"/>
      <c r="G23" s="2"/>
    </row>
    <row r="24" spans="1:8" ht="30" customHeight="1" x14ac:dyDescent="0.25">
      <c r="A24" s="106" t="s">
        <v>296</v>
      </c>
      <c r="B24" s="132" t="s">
        <v>11</v>
      </c>
      <c r="C24" s="132"/>
      <c r="D24" s="132"/>
      <c r="E24" s="132"/>
      <c r="F24" s="113">
        <f>SUM(G16:G22)</f>
        <v>2950</v>
      </c>
      <c r="G24" s="113"/>
    </row>
    <row r="25" spans="1:8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8" ht="15" x14ac:dyDescent="0.25">
      <c r="A26" s="2"/>
      <c r="B26" s="2"/>
      <c r="C26" s="2"/>
      <c r="D26" s="2"/>
      <c r="E26" s="2"/>
      <c r="F26" s="2"/>
      <c r="G26" s="2"/>
    </row>
    <row r="27" spans="1:8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8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8" ht="15" x14ac:dyDescent="0.25">
      <c r="A29" s="43" t="s">
        <v>134</v>
      </c>
      <c r="B29" s="41" t="s">
        <v>54</v>
      </c>
      <c r="C29" s="40">
        <f>IFERROR(VLOOKUP(B29,Liste!C1:D5,2,FALSE),"")</f>
        <v>2300</v>
      </c>
      <c r="D29" s="54">
        <f>IFERROR(C29/4.33,0)</f>
        <v>531.17782909930713</v>
      </c>
      <c r="H29" s="7"/>
    </row>
    <row r="30" spans="1:8" ht="15" x14ac:dyDescent="0.3">
      <c r="A30" s="43" t="s">
        <v>66</v>
      </c>
      <c r="B30" s="46" t="s">
        <v>39</v>
      </c>
      <c r="C30" s="40">
        <f>IFERROR(VLOOKUP(B30,Liste!$C$7:$D$15,2,FALSE),"")</f>
        <v>1000</v>
      </c>
      <c r="D30" s="54">
        <f>IFERROR(C30/4.33,0)</f>
        <v>230.94688221709006</v>
      </c>
      <c r="H30" s="7"/>
    </row>
    <row r="31" spans="1:8" ht="15" x14ac:dyDescent="0.3">
      <c r="A31" s="43" t="s">
        <v>67</v>
      </c>
      <c r="B31" s="46" t="s">
        <v>36</v>
      </c>
      <c r="C31" s="40">
        <f>IFERROR(VLOOKUP(B31,Liste!$C$7:$D$15,2,FALSE),"")</f>
        <v>1200</v>
      </c>
      <c r="D31" s="54">
        <f t="shared" ref="D31:D33" si="2">IFERROR(C31/4.33,0)</f>
        <v>277.13625866050808</v>
      </c>
      <c r="H31" s="7"/>
    </row>
    <row r="32" spans="1:8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2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2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1.3553999999999999</v>
      </c>
      <c r="D34" s="54">
        <f>(B11*D5/100)*C34</f>
        <v>389.48706630000004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0</v>
      </c>
      <c r="D35" s="54">
        <f>(D5*B11/100)*C35</f>
        <v>0</v>
      </c>
      <c r="H35" s="7"/>
    </row>
    <row r="36" spans="1:8" ht="15" x14ac:dyDescent="0.3">
      <c r="A36" s="43" t="s">
        <v>3</v>
      </c>
      <c r="B36" s="42"/>
      <c r="C36" s="65">
        <v>0.43090000000000001</v>
      </c>
      <c r="D36" s="54">
        <f>(D6*B11)*C36</f>
        <v>4.6912083000000004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22.92</v>
      </c>
      <c r="E38" s="49"/>
      <c r="H38" s="7"/>
    </row>
    <row r="39" spans="1:8" ht="15" x14ac:dyDescent="0.25">
      <c r="A39" s="43" t="s">
        <v>13</v>
      </c>
      <c r="B39" s="41">
        <f>B12</f>
        <v>0</v>
      </c>
      <c r="C39" s="56">
        <v>5</v>
      </c>
      <c r="D39" s="54">
        <f>C39*B39</f>
        <v>0</v>
      </c>
      <c r="H39" s="7"/>
    </row>
    <row r="40" spans="1:8" ht="15" x14ac:dyDescent="0.25">
      <c r="A40" s="43" t="s">
        <v>14</v>
      </c>
      <c r="B40" s="48" t="s">
        <v>55</v>
      </c>
      <c r="C40" s="40">
        <v>1</v>
      </c>
      <c r="D40" s="40">
        <v>1002.52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2458.879244576905</v>
      </c>
    </row>
    <row r="46" spans="1:8" x14ac:dyDescent="0.25">
      <c r="C46" s="6" t="s">
        <v>49</v>
      </c>
      <c r="D46" s="47">
        <f>F24-D45</f>
        <v>491.12075542309503</v>
      </c>
    </row>
    <row r="48" spans="1:8" ht="39" customHeight="1" x14ac:dyDescent="0.25">
      <c r="C48" s="58" t="s">
        <v>48</v>
      </c>
      <c r="D48" s="59">
        <f>D46/F24</f>
        <v>0.16648161200782882</v>
      </c>
    </row>
  </sheetData>
  <mergeCells count="6">
    <mergeCell ref="A27:G27"/>
    <mergeCell ref="A1:G1"/>
    <mergeCell ref="A3:G3"/>
    <mergeCell ref="F4:F5"/>
    <mergeCell ref="G4:G5"/>
    <mergeCell ref="B24:E24"/>
  </mergeCells>
  <phoneticPr fontId="41" type="noConversion"/>
  <hyperlinks>
    <hyperlink ref="A25" location="Sommaire!A1" display="SOMMAIRE" xr:uid="{87D60A78-4242-48A0-953C-53FC54816DBA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C81B80C-86EA-4E05-B485-5FE3E7ED0155}">
          <x14:formula1>
            <xm:f>Liste!$C$2:$C$5</xm:f>
          </x14:formula1>
          <xm:sqref>B29</xm:sqref>
        </x14:dataValidation>
        <x14:dataValidation type="list" allowBlank="1" showInputMessage="1" showErrorMessage="1" xr:uid="{CA6C24E7-2CA0-4987-BEA0-643C56493A5B}">
          <x14:formula1>
            <xm:f>Liste!$A$21:$A$22</xm:f>
          </x14:formula1>
          <xm:sqref>B40</xm:sqref>
        </x14:dataValidation>
        <x14:dataValidation type="list" allowBlank="1" showInputMessage="1" showErrorMessage="1" xr:uid="{0B1D7CAE-BE65-48B2-822C-3DA9F6339AF1}">
          <x14:formula1>
            <xm:f>Liste!$A$24:$A$25</xm:f>
          </x14:formula1>
          <xm:sqref>B42</xm:sqref>
        </x14:dataValidation>
        <x14:dataValidation type="list" allowBlank="1" showInputMessage="1" showErrorMessage="1" xr:uid="{27BCBBFA-8EC7-4925-BEA4-F5D52A074F18}">
          <x14:formula1>
            <xm:f>Liste!$C$7:$C$16</xm:f>
          </x14:formula1>
          <xm:sqref>B30:B33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12536-ABB6-4506-9CFF-D73139B16E82}">
  <sheetPr>
    <tabColor theme="7" tint="0.39997558519241921"/>
  </sheetPr>
  <dimension ref="A1:I48"/>
  <sheetViews>
    <sheetView workbookViewId="0">
      <selection activeCell="B11" sqref="B11"/>
    </sheetView>
  </sheetViews>
  <sheetFormatPr baseColWidth="10" defaultColWidth="11.44140625" defaultRowHeight="13.2" x14ac:dyDescent="0.25"/>
  <cols>
    <col min="1" max="1" width="32.44140625" style="1" customWidth="1"/>
    <col min="2" max="2" width="20.6640625" style="1" customWidth="1"/>
    <col min="3" max="3" width="19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9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9" x14ac:dyDescent="0.25">
      <c r="A3" s="126" t="s">
        <v>5</v>
      </c>
      <c r="B3" s="126"/>
      <c r="C3" s="126"/>
      <c r="D3" s="126"/>
      <c r="E3" s="126"/>
      <c r="F3" s="126"/>
      <c r="G3" s="126"/>
    </row>
    <row r="4" spans="1:9" ht="15" x14ac:dyDescent="0.25">
      <c r="A4" s="2"/>
      <c r="B4" s="5" t="s">
        <v>10</v>
      </c>
      <c r="D4" s="11" t="s">
        <v>12</v>
      </c>
      <c r="F4" s="129" t="s">
        <v>15</v>
      </c>
      <c r="G4" s="130" t="s">
        <v>688</v>
      </c>
    </row>
    <row r="5" spans="1:9" ht="15" x14ac:dyDescent="0.25">
      <c r="A5" s="5" t="s">
        <v>8</v>
      </c>
      <c r="B5" s="10" t="s">
        <v>422</v>
      </c>
      <c r="C5" s="10"/>
      <c r="D5" s="17">
        <v>36.64</v>
      </c>
      <c r="E5" s="6"/>
      <c r="F5" s="129"/>
      <c r="G5" s="131"/>
    </row>
    <row r="6" spans="1:9" ht="15" x14ac:dyDescent="0.25">
      <c r="A6" s="5" t="s">
        <v>9</v>
      </c>
      <c r="B6" s="10" t="s">
        <v>299</v>
      </c>
      <c r="C6" s="10" t="s">
        <v>299</v>
      </c>
      <c r="D6" s="6">
        <v>1.9E-2</v>
      </c>
      <c r="F6" s="2"/>
      <c r="G6" s="2"/>
    </row>
    <row r="7" spans="1:9" ht="15" x14ac:dyDescent="0.25">
      <c r="A7" s="5" t="s">
        <v>16</v>
      </c>
      <c r="B7" s="12" t="s">
        <v>709</v>
      </c>
      <c r="C7" s="12"/>
      <c r="D7" s="63"/>
    </row>
    <row r="8" spans="1:9" ht="15" x14ac:dyDescent="0.25">
      <c r="A8" s="11" t="s">
        <v>71</v>
      </c>
      <c r="B8" s="18">
        <v>59.79</v>
      </c>
    </row>
    <row r="9" spans="1:9" x14ac:dyDescent="0.25">
      <c r="A9" s="11" t="s">
        <v>72</v>
      </c>
      <c r="B9" s="77">
        <v>54.58</v>
      </c>
    </row>
    <row r="10" spans="1:9" ht="15" x14ac:dyDescent="0.25">
      <c r="A10" s="5"/>
      <c r="B10" s="11" t="s">
        <v>70</v>
      </c>
      <c r="C10" s="2"/>
      <c r="D10" s="2"/>
      <c r="G10" s="11" t="s">
        <v>61</v>
      </c>
    </row>
    <row r="11" spans="1:9" ht="15" x14ac:dyDescent="0.25">
      <c r="B11" s="17">
        <v>1225</v>
      </c>
      <c r="C11" s="2"/>
      <c r="D11" s="2"/>
      <c r="G11" s="18">
        <v>0</v>
      </c>
    </row>
    <row r="12" spans="1:9" ht="15" x14ac:dyDescent="0.25">
      <c r="A12" s="5" t="s">
        <v>62</v>
      </c>
      <c r="B12" s="17">
        <v>0</v>
      </c>
      <c r="C12" s="74"/>
      <c r="D12" s="2"/>
      <c r="E12" s="2"/>
      <c r="F12" s="53" t="s">
        <v>55</v>
      </c>
      <c r="G12" s="53" t="s">
        <v>56</v>
      </c>
    </row>
    <row r="13" spans="1:9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9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9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9" x14ac:dyDescent="0.25">
      <c r="A16" s="15" t="s">
        <v>424</v>
      </c>
      <c r="B16" s="66" t="s">
        <v>208</v>
      </c>
      <c r="C16" s="66">
        <f>126.25+112.5+112.5+126.25</f>
        <v>477.5</v>
      </c>
      <c r="D16" s="66">
        <v>5</v>
      </c>
      <c r="E16" s="66">
        <f>C16*D16</f>
        <v>2387.5</v>
      </c>
      <c r="F16" s="73">
        <v>-1.7000000000000001E-2</v>
      </c>
      <c r="G16" s="68">
        <f t="shared" ref="G16:G22" si="0">(E16*F16)+E16</f>
        <v>2346.9124999999999</v>
      </c>
      <c r="I16" s="49"/>
    </row>
    <row r="17" spans="1:8" x14ac:dyDescent="0.25">
      <c r="A17" s="15"/>
      <c r="B17" s="66"/>
      <c r="C17" s="66"/>
      <c r="D17" s="66"/>
      <c r="E17" s="68">
        <f t="shared" ref="E17:E22" si="1">C17*D17</f>
        <v>0</v>
      </c>
      <c r="F17" s="84"/>
      <c r="G17" s="68">
        <f t="shared" si="0"/>
        <v>0</v>
      </c>
    </row>
    <row r="18" spans="1:8" x14ac:dyDescent="0.25">
      <c r="A18" s="83" t="s">
        <v>269</v>
      </c>
      <c r="B18" s="66"/>
      <c r="C18" s="66"/>
      <c r="D18" s="66"/>
      <c r="E18" s="66">
        <f t="shared" si="1"/>
        <v>0</v>
      </c>
      <c r="F18" s="73"/>
      <c r="G18" s="68">
        <f t="shared" si="0"/>
        <v>0</v>
      </c>
    </row>
    <row r="19" spans="1:8" x14ac:dyDescent="0.25">
      <c r="A19" s="15"/>
      <c r="B19" s="15"/>
      <c r="C19" s="66"/>
      <c r="D19" s="66"/>
      <c r="E19" s="66">
        <f t="shared" si="1"/>
        <v>0</v>
      </c>
      <c r="F19" s="15"/>
      <c r="G19" s="68">
        <f t="shared" si="0"/>
        <v>0</v>
      </c>
    </row>
    <row r="20" spans="1:8" ht="15" customHeight="1" x14ac:dyDescent="0.25">
      <c r="A20" s="15"/>
      <c r="B20" s="15"/>
      <c r="C20" s="69"/>
      <c r="D20" s="69"/>
      <c r="E20" s="66">
        <f t="shared" si="1"/>
        <v>0</v>
      </c>
      <c r="F20" s="15"/>
      <c r="G20" s="68">
        <f t="shared" si="0"/>
        <v>0</v>
      </c>
    </row>
    <row r="21" spans="1:8" ht="15" customHeight="1" x14ac:dyDescent="0.25">
      <c r="A21" s="15"/>
      <c r="B21" s="15"/>
      <c r="C21" s="69"/>
      <c r="D21" s="69"/>
      <c r="E21" s="66">
        <f t="shared" si="1"/>
        <v>0</v>
      </c>
      <c r="F21" s="15"/>
      <c r="G21" s="68">
        <f t="shared" si="0"/>
        <v>0</v>
      </c>
    </row>
    <row r="22" spans="1:8" ht="15" customHeight="1" x14ac:dyDescent="0.25">
      <c r="A22" s="66"/>
      <c r="B22" s="70"/>
      <c r="C22" s="69"/>
      <c r="D22" s="69"/>
      <c r="E22" s="66">
        <f t="shared" si="1"/>
        <v>0</v>
      </c>
      <c r="F22" s="15"/>
      <c r="G22" s="68">
        <f t="shared" si="0"/>
        <v>0</v>
      </c>
    </row>
    <row r="23" spans="1:8" ht="15" x14ac:dyDescent="0.25">
      <c r="A23" s="2"/>
      <c r="B23" s="2"/>
      <c r="C23" s="2"/>
      <c r="D23" s="2"/>
      <c r="E23" s="2"/>
      <c r="F23" s="2"/>
      <c r="G23" s="2"/>
    </row>
    <row r="24" spans="1:8" ht="30" customHeight="1" x14ac:dyDescent="0.25">
      <c r="A24" s="106" t="s">
        <v>317</v>
      </c>
      <c r="B24" s="132" t="s">
        <v>11</v>
      </c>
      <c r="C24" s="132"/>
      <c r="D24" s="132"/>
      <c r="E24" s="132"/>
      <c r="F24" s="113">
        <f>SUM(G16:G22)</f>
        <v>2346.9124999999999</v>
      </c>
      <c r="G24" s="113"/>
    </row>
    <row r="25" spans="1:8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8" ht="15" x14ac:dyDescent="0.25">
      <c r="A26" s="2"/>
      <c r="B26" s="2"/>
      <c r="C26" s="2"/>
      <c r="D26" s="2"/>
      <c r="E26" s="2"/>
      <c r="F26" s="2"/>
      <c r="G26" s="2"/>
    </row>
    <row r="27" spans="1:8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8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8" ht="15" x14ac:dyDescent="0.25">
      <c r="A29" s="43" t="s">
        <v>134</v>
      </c>
      <c r="B29" s="41" t="s">
        <v>54</v>
      </c>
      <c r="C29" s="40">
        <f>IFERROR(VLOOKUP(B29,Liste!C1:D5,2,FALSE),"")</f>
        <v>2300</v>
      </c>
      <c r="D29" s="54">
        <f>IFERROR(C29/4.33,0)</f>
        <v>531.17782909930713</v>
      </c>
      <c r="H29" s="7"/>
    </row>
    <row r="30" spans="1:8" ht="15" x14ac:dyDescent="0.3">
      <c r="A30" s="43" t="s">
        <v>66</v>
      </c>
      <c r="B30" s="46" t="s">
        <v>39</v>
      </c>
      <c r="C30" s="40">
        <f>IFERROR(VLOOKUP(B30,Liste!$C$7:$D$15,2,FALSE),"")</f>
        <v>1000</v>
      </c>
      <c r="D30" s="54">
        <f>IFERROR(C30/4.33,0)</f>
        <v>230.94688221709006</v>
      </c>
      <c r="H30" s="7"/>
    </row>
    <row r="31" spans="1:8" ht="15" x14ac:dyDescent="0.3">
      <c r="A31" s="43" t="s">
        <v>67</v>
      </c>
      <c r="B31" s="46" t="s">
        <v>39</v>
      </c>
      <c r="C31" s="40">
        <f>IFERROR(VLOOKUP(B31,Liste!$C$7:$D$15,2,FALSE),"")</f>
        <v>1000</v>
      </c>
      <c r="D31" s="54">
        <f t="shared" ref="D31:D33" si="2">IFERROR(C31/4.33,0)</f>
        <v>230.94688221709006</v>
      </c>
      <c r="H31" s="7"/>
    </row>
    <row r="32" spans="1:8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2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2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1.3553999999999999</v>
      </c>
      <c r="D34" s="54">
        <f>(B11*D5/100)*C34</f>
        <v>608.35773599999993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0</v>
      </c>
      <c r="D35" s="54">
        <f>(D5*B11/100)*C35</f>
        <v>0</v>
      </c>
      <c r="H35" s="7"/>
    </row>
    <row r="36" spans="1:8" ht="15" x14ac:dyDescent="0.3">
      <c r="A36" s="43" t="s">
        <v>3</v>
      </c>
      <c r="B36" s="42"/>
      <c r="C36" s="65">
        <v>0.43090000000000001</v>
      </c>
      <c r="D36" s="54">
        <f>(D6*B11)*C36</f>
        <v>10.029197499999999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49</v>
      </c>
      <c r="E38" s="49"/>
      <c r="H38" s="7"/>
    </row>
    <row r="39" spans="1:8" ht="15" x14ac:dyDescent="0.25">
      <c r="A39" s="43" t="s">
        <v>13</v>
      </c>
      <c r="B39" s="41">
        <f>B12</f>
        <v>0</v>
      </c>
      <c r="C39" s="56">
        <v>5</v>
      </c>
      <c r="D39" s="54">
        <f>C39*B39</f>
        <v>0</v>
      </c>
      <c r="H39" s="7"/>
    </row>
    <row r="40" spans="1:8" ht="15" x14ac:dyDescent="0.25">
      <c r="A40" s="43" t="s">
        <v>14</v>
      </c>
      <c r="B40" s="48" t="s">
        <v>55</v>
      </c>
      <c r="C40" s="40">
        <v>1</v>
      </c>
      <c r="D40" s="40">
        <v>877.03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2537.4885270334871</v>
      </c>
    </row>
    <row r="46" spans="1:8" x14ac:dyDescent="0.25">
      <c r="C46" s="6" t="s">
        <v>49</v>
      </c>
      <c r="D46" s="47">
        <f>F24-D45</f>
        <v>-190.57602703348721</v>
      </c>
    </row>
    <row r="48" spans="1:8" ht="39" customHeight="1" x14ac:dyDescent="0.25">
      <c r="C48" s="58" t="s">
        <v>48</v>
      </c>
      <c r="D48" s="59">
        <f>D46/F24</f>
        <v>-8.1202868463774086E-2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66314A5D-DB8B-4FFF-AF9D-B7FA3AD8FA5A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2069BDD-BA8A-4059-9381-B78256DEEF7F}">
          <x14:formula1>
            <xm:f>Liste!$C$7:$C$16</xm:f>
          </x14:formula1>
          <xm:sqref>B30:B33</xm:sqref>
        </x14:dataValidation>
        <x14:dataValidation type="list" allowBlank="1" showInputMessage="1" showErrorMessage="1" xr:uid="{6A4E4AB1-E74D-4B27-A9D6-76995B05FAC2}">
          <x14:formula1>
            <xm:f>Liste!$A$24:$A$25</xm:f>
          </x14:formula1>
          <xm:sqref>B42</xm:sqref>
        </x14:dataValidation>
        <x14:dataValidation type="list" allowBlank="1" showInputMessage="1" showErrorMessage="1" xr:uid="{47E2A3BF-28F2-4DD1-BFF8-8F8BAAFEBB8F}">
          <x14:formula1>
            <xm:f>Liste!$A$21:$A$22</xm:f>
          </x14:formula1>
          <xm:sqref>B40</xm:sqref>
        </x14:dataValidation>
        <x14:dataValidation type="list" allowBlank="1" showInputMessage="1" showErrorMessage="1" xr:uid="{34E2632C-F365-474D-8D6F-B7EFC158A7DA}">
          <x14:formula1>
            <xm:f>Liste!$C$2:$C$5</xm:f>
          </x14:formula1>
          <xm:sqref>B29</xm:sqref>
        </x14:dataValidation>
      </x14:dataValidation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DB615-3DA1-4E3A-8C46-B273C932113C}">
  <sheetPr>
    <tabColor theme="7" tint="0.39997558519241921"/>
  </sheetPr>
  <dimension ref="A1:I48"/>
  <sheetViews>
    <sheetView workbookViewId="0">
      <selection activeCell="B11" sqref="B11"/>
    </sheetView>
  </sheetViews>
  <sheetFormatPr baseColWidth="10" defaultColWidth="11.44140625" defaultRowHeight="13.2" x14ac:dyDescent="0.25"/>
  <cols>
    <col min="1" max="1" width="32.44140625" style="1" customWidth="1"/>
    <col min="2" max="2" width="20.6640625" style="1" customWidth="1"/>
    <col min="3" max="3" width="19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9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9" x14ac:dyDescent="0.25">
      <c r="A3" s="126" t="s">
        <v>5</v>
      </c>
      <c r="B3" s="126"/>
      <c r="C3" s="126"/>
      <c r="D3" s="126"/>
      <c r="E3" s="126"/>
      <c r="F3" s="126"/>
      <c r="G3" s="126"/>
    </row>
    <row r="4" spans="1:9" ht="15" x14ac:dyDescent="0.25">
      <c r="A4" s="2"/>
      <c r="B4" s="5" t="s">
        <v>10</v>
      </c>
      <c r="D4" s="11" t="s">
        <v>12</v>
      </c>
      <c r="F4" s="129" t="s">
        <v>15</v>
      </c>
      <c r="G4" s="130" t="s">
        <v>688</v>
      </c>
    </row>
    <row r="5" spans="1:9" ht="15" x14ac:dyDescent="0.25">
      <c r="A5" s="5" t="s">
        <v>8</v>
      </c>
      <c r="B5" s="10" t="s">
        <v>426</v>
      </c>
      <c r="C5" s="10"/>
      <c r="D5" s="17">
        <v>34.85</v>
      </c>
      <c r="E5" s="6"/>
      <c r="F5" s="129"/>
      <c r="G5" s="131"/>
    </row>
    <row r="6" spans="1:9" ht="15" x14ac:dyDescent="0.25">
      <c r="A6" s="5" t="s">
        <v>9</v>
      </c>
      <c r="B6" s="10" t="s">
        <v>299</v>
      </c>
      <c r="C6" s="10" t="s">
        <v>299</v>
      </c>
      <c r="D6" s="6">
        <v>1.9E-2</v>
      </c>
      <c r="F6" s="2"/>
      <c r="G6" s="2"/>
    </row>
    <row r="7" spans="1:9" ht="15" x14ac:dyDescent="0.25">
      <c r="A7" s="5" t="s">
        <v>16</v>
      </c>
      <c r="B7" s="12" t="s">
        <v>423</v>
      </c>
      <c r="C7" s="12"/>
      <c r="D7" s="63"/>
    </row>
    <row r="8" spans="1:9" ht="15" x14ac:dyDescent="0.25">
      <c r="A8" s="11" t="s">
        <v>71</v>
      </c>
      <c r="B8" s="18">
        <v>42.98</v>
      </c>
    </row>
    <row r="9" spans="1:9" x14ac:dyDescent="0.25">
      <c r="A9" s="11" t="s">
        <v>72</v>
      </c>
      <c r="B9" s="77">
        <v>27.96</v>
      </c>
    </row>
    <row r="10" spans="1:9" ht="15" x14ac:dyDescent="0.25">
      <c r="A10" s="5"/>
      <c r="B10" s="11" t="s">
        <v>70</v>
      </c>
      <c r="C10" s="2"/>
      <c r="D10" s="2"/>
      <c r="G10" s="11" t="s">
        <v>61</v>
      </c>
    </row>
    <row r="11" spans="1:9" ht="15" x14ac:dyDescent="0.25">
      <c r="B11" s="17">
        <v>1340</v>
      </c>
      <c r="C11" s="2"/>
      <c r="D11" s="2"/>
      <c r="G11" s="18">
        <v>0</v>
      </c>
    </row>
    <row r="12" spans="1:9" ht="15" x14ac:dyDescent="0.25">
      <c r="A12" s="5" t="s">
        <v>62</v>
      </c>
      <c r="B12" s="17">
        <v>0</v>
      </c>
      <c r="C12" s="74"/>
      <c r="D12" s="2"/>
      <c r="E12" s="2"/>
      <c r="F12" s="53" t="s">
        <v>55</v>
      </c>
      <c r="G12" s="53" t="s">
        <v>56</v>
      </c>
    </row>
    <row r="13" spans="1:9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9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9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9" x14ac:dyDescent="0.25">
      <c r="A16" s="15" t="s">
        <v>427</v>
      </c>
      <c r="B16" s="66" t="s">
        <v>208</v>
      </c>
      <c r="C16" s="66">
        <f>126.25+126.25+126.25+112.5</f>
        <v>491.25</v>
      </c>
      <c r="D16" s="66">
        <v>5</v>
      </c>
      <c r="E16" s="66">
        <f>C16*D16</f>
        <v>2456.25</v>
      </c>
      <c r="F16" s="73">
        <v>-1.7000000000000001E-2</v>
      </c>
      <c r="G16" s="68">
        <f t="shared" ref="G16:G22" si="0">(E16*F16)+E16</f>
        <v>2414.4937500000001</v>
      </c>
      <c r="I16" s="49"/>
    </row>
    <row r="17" spans="1:8" x14ac:dyDescent="0.25">
      <c r="A17" s="90"/>
      <c r="B17" s="66"/>
      <c r="C17" s="66"/>
      <c r="D17" s="66"/>
      <c r="E17" s="68"/>
      <c r="F17" s="66"/>
      <c r="G17" s="68"/>
    </row>
    <row r="18" spans="1:8" x14ac:dyDescent="0.25">
      <c r="A18" s="83" t="s">
        <v>269</v>
      </c>
      <c r="B18" s="66"/>
      <c r="C18" s="66"/>
      <c r="D18" s="66"/>
      <c r="E18" s="68"/>
      <c r="F18" s="66"/>
      <c r="G18" s="68"/>
    </row>
    <row r="19" spans="1:8" x14ac:dyDescent="0.25">
      <c r="A19" s="15"/>
      <c r="B19" s="15"/>
      <c r="C19" s="66"/>
      <c r="D19" s="66"/>
      <c r="E19" s="66">
        <f t="shared" ref="E19:E22" si="1">C19*D19</f>
        <v>0</v>
      </c>
      <c r="F19" s="15"/>
      <c r="G19" s="68">
        <f t="shared" si="0"/>
        <v>0</v>
      </c>
    </row>
    <row r="20" spans="1:8" ht="15" customHeight="1" x14ac:dyDescent="0.25">
      <c r="A20" s="15"/>
      <c r="B20" s="15"/>
      <c r="C20" s="69"/>
      <c r="D20" s="69"/>
      <c r="E20" s="66">
        <f t="shared" si="1"/>
        <v>0</v>
      </c>
      <c r="F20" s="15"/>
      <c r="G20" s="68">
        <f t="shared" si="0"/>
        <v>0</v>
      </c>
    </row>
    <row r="21" spans="1:8" ht="15" customHeight="1" x14ac:dyDescent="0.25">
      <c r="A21" s="15"/>
      <c r="B21" s="15"/>
      <c r="C21" s="69"/>
      <c r="D21" s="69"/>
      <c r="E21" s="66">
        <f t="shared" si="1"/>
        <v>0</v>
      </c>
      <c r="F21" s="15"/>
      <c r="G21" s="68">
        <f t="shared" si="0"/>
        <v>0</v>
      </c>
    </row>
    <row r="22" spans="1:8" ht="15" customHeight="1" x14ac:dyDescent="0.25">
      <c r="A22" s="66"/>
      <c r="B22" s="70"/>
      <c r="C22" s="69"/>
      <c r="D22" s="69"/>
      <c r="E22" s="66">
        <f t="shared" si="1"/>
        <v>0</v>
      </c>
      <c r="F22" s="15"/>
      <c r="G22" s="68">
        <f t="shared" si="0"/>
        <v>0</v>
      </c>
    </row>
    <row r="23" spans="1:8" ht="15" x14ac:dyDescent="0.25">
      <c r="A23" s="2"/>
      <c r="B23" s="2"/>
      <c r="C23" s="2"/>
      <c r="D23" s="2"/>
      <c r="E23" s="2"/>
      <c r="F23" s="2"/>
      <c r="G23" s="2"/>
    </row>
    <row r="24" spans="1:8" ht="30" customHeight="1" x14ac:dyDescent="0.25">
      <c r="A24" s="106" t="s">
        <v>318</v>
      </c>
      <c r="B24" s="132" t="s">
        <v>11</v>
      </c>
      <c r="C24" s="132"/>
      <c r="D24" s="132"/>
      <c r="E24" s="132"/>
      <c r="F24" s="113">
        <f>SUM(G16:G22)</f>
        <v>2414.4937500000001</v>
      </c>
      <c r="G24" s="113"/>
    </row>
    <row r="25" spans="1:8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8" ht="15" x14ac:dyDescent="0.25">
      <c r="A26" s="2"/>
      <c r="B26" s="2"/>
      <c r="C26" s="2"/>
      <c r="D26" s="2"/>
      <c r="E26" s="2"/>
      <c r="F26" s="2"/>
      <c r="G26" s="2"/>
    </row>
    <row r="27" spans="1:8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8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8" ht="15" x14ac:dyDescent="0.25">
      <c r="A29" s="43" t="s">
        <v>134</v>
      </c>
      <c r="B29" s="41" t="s">
        <v>54</v>
      </c>
      <c r="C29" s="40">
        <f>IFERROR(VLOOKUP(B29,Liste!C1:D5,2,FALSE),"")</f>
        <v>2300</v>
      </c>
      <c r="D29" s="54">
        <f>IFERROR(C29/4.33,0)</f>
        <v>531.17782909930713</v>
      </c>
      <c r="H29" s="7"/>
    </row>
    <row r="30" spans="1:8" ht="15" x14ac:dyDescent="0.3">
      <c r="A30" s="43" t="s">
        <v>66</v>
      </c>
      <c r="B30" s="46" t="s">
        <v>39</v>
      </c>
      <c r="C30" s="40">
        <f>IFERROR(VLOOKUP(B30,Liste!$C$7:$D$15,2,FALSE),"")</f>
        <v>1000</v>
      </c>
      <c r="D30" s="54">
        <f>IFERROR(C30/4.33,0)</f>
        <v>230.94688221709006</v>
      </c>
      <c r="H30" s="7"/>
    </row>
    <row r="31" spans="1:8" ht="15" x14ac:dyDescent="0.3">
      <c r="A31" s="43" t="s">
        <v>67</v>
      </c>
      <c r="B31" s="46" t="s">
        <v>39</v>
      </c>
      <c r="C31" s="40">
        <f>IFERROR(VLOOKUP(B31,Liste!$C$7:$D$15,2,FALSE),"")</f>
        <v>1000</v>
      </c>
      <c r="D31" s="54">
        <f t="shared" ref="D31:D33" si="2">IFERROR(C31/4.33,0)</f>
        <v>230.94688221709006</v>
      </c>
      <c r="H31" s="7"/>
    </row>
    <row r="32" spans="1:8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2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2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1.3553999999999999</v>
      </c>
      <c r="D34" s="54">
        <f>(B11*D5/100)*C34</f>
        <v>632.95824600000003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0</v>
      </c>
      <c r="D35" s="54">
        <f>(D5*B11/100)*C35</f>
        <v>0</v>
      </c>
      <c r="H35" s="7"/>
    </row>
    <row r="36" spans="1:8" ht="15" x14ac:dyDescent="0.3">
      <c r="A36" s="43" t="s">
        <v>3</v>
      </c>
      <c r="B36" s="42"/>
      <c r="C36" s="65">
        <v>0.43090000000000001</v>
      </c>
      <c r="D36" s="54">
        <f>(D6*B11)*C36</f>
        <v>10.970714000000001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53.6</v>
      </c>
      <c r="E38" s="49"/>
      <c r="H38" s="7"/>
    </row>
    <row r="39" spans="1:8" ht="15" x14ac:dyDescent="0.25">
      <c r="A39" s="43" t="s">
        <v>13</v>
      </c>
      <c r="B39" s="41">
        <f>B12</f>
        <v>0</v>
      </c>
      <c r="C39" s="56">
        <v>5</v>
      </c>
      <c r="D39" s="54">
        <f>C39*B39</f>
        <v>0</v>
      </c>
      <c r="H39" s="7"/>
    </row>
    <row r="40" spans="1:8" ht="15" x14ac:dyDescent="0.25">
      <c r="A40" s="43" t="s">
        <v>14</v>
      </c>
      <c r="B40" s="48" t="s">
        <v>55</v>
      </c>
      <c r="C40" s="40">
        <v>1</v>
      </c>
      <c r="D40" s="40">
        <v>812.6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2503.2005535334874</v>
      </c>
    </row>
    <row r="46" spans="1:8" x14ac:dyDescent="0.25">
      <c r="C46" s="6" t="s">
        <v>49</v>
      </c>
      <c r="D46" s="47">
        <f>F24-D45</f>
        <v>-88.706803533487346</v>
      </c>
    </row>
    <row r="48" spans="1:8" ht="39" customHeight="1" x14ac:dyDescent="0.25">
      <c r="C48" s="58" t="s">
        <v>48</v>
      </c>
      <c r="D48" s="59">
        <f>D46/F24</f>
        <v>-3.6739297226794372E-2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88341B09-D4B0-4D8E-8247-95BAED8A8DD4}"/>
  </hyperlink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41AE654-9EA6-4801-AB94-6A15ABF88D39}">
          <x14:formula1>
            <xm:f>Liste!$C$2:$C$5</xm:f>
          </x14:formula1>
          <xm:sqref>B29</xm:sqref>
        </x14:dataValidation>
        <x14:dataValidation type="list" allowBlank="1" showInputMessage="1" showErrorMessage="1" xr:uid="{15EFA35B-2D0D-4BDD-9CD8-590DBED56FB6}">
          <x14:formula1>
            <xm:f>Liste!$A$21:$A$22</xm:f>
          </x14:formula1>
          <xm:sqref>B40</xm:sqref>
        </x14:dataValidation>
        <x14:dataValidation type="list" allowBlank="1" showInputMessage="1" showErrorMessage="1" xr:uid="{73B7133D-EF8B-4862-B301-9925BD7E4C1E}">
          <x14:formula1>
            <xm:f>Liste!$A$24:$A$25</xm:f>
          </x14:formula1>
          <xm:sqref>B42</xm:sqref>
        </x14:dataValidation>
        <x14:dataValidation type="list" allowBlank="1" showInputMessage="1" showErrorMessage="1" xr:uid="{A0E04964-E19D-4684-B67B-5300D84D3706}">
          <x14:formula1>
            <xm:f>Liste!$C$7:$C$16</xm:f>
          </x14:formula1>
          <xm:sqref>B30:B33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6D644-2741-4DD3-A289-CF6784488EB9}">
  <sheetPr>
    <tabColor theme="7" tint="0.39997558519241921"/>
  </sheetPr>
  <dimension ref="A1:I48"/>
  <sheetViews>
    <sheetView workbookViewId="0">
      <selection sqref="A1:G1"/>
    </sheetView>
  </sheetViews>
  <sheetFormatPr baseColWidth="10" defaultColWidth="11.44140625" defaultRowHeight="13.2" x14ac:dyDescent="0.25"/>
  <cols>
    <col min="1" max="1" width="34" style="1" bestFit="1" customWidth="1"/>
    <col min="2" max="2" width="20.6640625" style="1" customWidth="1"/>
    <col min="3" max="3" width="19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9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9" x14ac:dyDescent="0.25">
      <c r="A3" s="126" t="s">
        <v>5</v>
      </c>
      <c r="B3" s="126"/>
      <c r="C3" s="126"/>
      <c r="D3" s="126"/>
      <c r="E3" s="126"/>
      <c r="F3" s="126"/>
      <c r="G3" s="126"/>
    </row>
    <row r="4" spans="1:9" ht="15" x14ac:dyDescent="0.25">
      <c r="A4" s="2"/>
      <c r="B4" s="5" t="s">
        <v>10</v>
      </c>
      <c r="D4" s="11" t="s">
        <v>12</v>
      </c>
      <c r="F4" s="129" t="s">
        <v>15</v>
      </c>
      <c r="G4" s="130" t="s">
        <v>689</v>
      </c>
    </row>
    <row r="5" spans="1:9" ht="15" x14ac:dyDescent="0.25">
      <c r="A5" s="5" t="s">
        <v>8</v>
      </c>
      <c r="B5" s="10" t="s">
        <v>710</v>
      </c>
      <c r="C5" s="10"/>
      <c r="D5" s="17">
        <v>31.87</v>
      </c>
      <c r="E5" s="6"/>
      <c r="F5" s="129"/>
      <c r="G5" s="131"/>
    </row>
    <row r="6" spans="1:9" ht="15" x14ac:dyDescent="0.25">
      <c r="A6" s="5" t="s">
        <v>9</v>
      </c>
      <c r="B6" s="10" t="s">
        <v>299</v>
      </c>
      <c r="C6" s="10" t="s">
        <v>431</v>
      </c>
      <c r="D6" s="6">
        <v>1.9E-2</v>
      </c>
      <c r="F6" s="2"/>
      <c r="G6" s="2"/>
    </row>
    <row r="7" spans="1:9" ht="15" x14ac:dyDescent="0.25">
      <c r="A7" s="5" t="s">
        <v>16</v>
      </c>
      <c r="B7" s="12" t="s">
        <v>429</v>
      </c>
      <c r="C7" s="12"/>
      <c r="D7" s="63"/>
    </row>
    <row r="8" spans="1:9" ht="15" x14ac:dyDescent="0.25">
      <c r="A8" s="11" t="s">
        <v>71</v>
      </c>
      <c r="B8" s="18">
        <v>58.01</v>
      </c>
    </row>
    <row r="9" spans="1:9" x14ac:dyDescent="0.25">
      <c r="A9" s="11" t="s">
        <v>72</v>
      </c>
      <c r="B9" s="77">
        <v>48.82</v>
      </c>
    </row>
    <row r="10" spans="1:9" ht="15" x14ac:dyDescent="0.25">
      <c r="A10" s="5"/>
      <c r="B10" s="11" t="s">
        <v>70</v>
      </c>
      <c r="C10" s="2"/>
      <c r="D10" s="2"/>
      <c r="G10" s="11" t="s">
        <v>61</v>
      </c>
    </row>
    <row r="11" spans="1:9" ht="15" x14ac:dyDescent="0.25">
      <c r="B11" s="17">
        <v>1926</v>
      </c>
      <c r="C11" s="2"/>
      <c r="D11" s="2"/>
      <c r="G11" s="18">
        <v>0</v>
      </c>
    </row>
    <row r="12" spans="1:9" ht="15" x14ac:dyDescent="0.25">
      <c r="A12" s="5" t="s">
        <v>62</v>
      </c>
      <c r="B12" s="17">
        <v>0</v>
      </c>
      <c r="C12" s="74"/>
      <c r="D12" s="2"/>
      <c r="E12" s="2"/>
      <c r="F12" s="53" t="s">
        <v>55</v>
      </c>
      <c r="G12" s="53" t="s">
        <v>56</v>
      </c>
    </row>
    <row r="13" spans="1:9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9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9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9" x14ac:dyDescent="0.25">
      <c r="A16" s="15" t="s">
        <v>430</v>
      </c>
      <c r="B16" s="66" t="s">
        <v>208</v>
      </c>
      <c r="C16" s="66">
        <f>505+112.5+112.5</f>
        <v>730</v>
      </c>
      <c r="D16" s="66">
        <v>5</v>
      </c>
      <c r="E16" s="66">
        <f>C16*D16</f>
        <v>3650</v>
      </c>
      <c r="F16" s="73">
        <v>-1.7000000000000001E-2</v>
      </c>
      <c r="G16" s="68">
        <f t="shared" ref="G16:G22" si="0">(E16*F16)+E16</f>
        <v>3587.95</v>
      </c>
      <c r="I16" s="49"/>
    </row>
    <row r="17" spans="1:8" x14ac:dyDescent="0.25">
      <c r="A17" s="90" t="s">
        <v>432</v>
      </c>
      <c r="B17" s="66" t="s">
        <v>252</v>
      </c>
      <c r="C17" s="66">
        <v>4.6478000000000002</v>
      </c>
      <c r="D17" s="66">
        <v>5</v>
      </c>
      <c r="E17" s="68">
        <f t="shared" ref="E17:E22" si="1">C17*D17</f>
        <v>23.239000000000001</v>
      </c>
      <c r="F17" s="66">
        <v>0</v>
      </c>
      <c r="G17" s="68">
        <f t="shared" si="0"/>
        <v>23.239000000000001</v>
      </c>
    </row>
    <row r="18" spans="1:8" x14ac:dyDescent="0.25">
      <c r="A18" s="91" t="s">
        <v>433</v>
      </c>
      <c r="B18" s="66" t="s">
        <v>252</v>
      </c>
      <c r="C18" s="66">
        <v>0</v>
      </c>
      <c r="D18" s="66">
        <v>0</v>
      </c>
      <c r="E18" s="68">
        <f t="shared" si="1"/>
        <v>0</v>
      </c>
      <c r="F18" s="66">
        <v>0</v>
      </c>
      <c r="G18" s="68">
        <f t="shared" si="0"/>
        <v>0</v>
      </c>
    </row>
    <row r="19" spans="1:8" x14ac:dyDescent="0.25">
      <c r="A19" s="15" t="s">
        <v>711</v>
      </c>
      <c r="B19" s="66" t="s">
        <v>252</v>
      </c>
      <c r="C19" s="66">
        <v>170</v>
      </c>
      <c r="D19" s="66">
        <v>1</v>
      </c>
      <c r="E19" s="66">
        <f t="shared" si="1"/>
        <v>170</v>
      </c>
      <c r="F19" s="73">
        <v>3.5799999999999998E-2</v>
      </c>
      <c r="G19" s="68">
        <f t="shared" si="0"/>
        <v>176.08600000000001</v>
      </c>
    </row>
    <row r="20" spans="1:8" ht="15" customHeight="1" x14ac:dyDescent="0.25">
      <c r="A20" s="15"/>
      <c r="B20" s="15"/>
      <c r="C20" s="69"/>
      <c r="D20" s="69"/>
      <c r="E20" s="66">
        <f t="shared" si="1"/>
        <v>0</v>
      </c>
      <c r="F20" s="15"/>
      <c r="G20" s="68">
        <f t="shared" si="0"/>
        <v>0</v>
      </c>
    </row>
    <row r="21" spans="1:8" ht="15" customHeight="1" x14ac:dyDescent="0.25">
      <c r="A21" s="15"/>
      <c r="B21" s="15"/>
      <c r="C21" s="69"/>
      <c r="D21" s="69"/>
      <c r="E21" s="66">
        <f t="shared" si="1"/>
        <v>0</v>
      </c>
      <c r="F21" s="15"/>
      <c r="G21" s="68">
        <f t="shared" si="0"/>
        <v>0</v>
      </c>
    </row>
    <row r="22" spans="1:8" ht="15" customHeight="1" x14ac:dyDescent="0.25">
      <c r="A22" s="66"/>
      <c r="B22" s="70"/>
      <c r="C22" s="69"/>
      <c r="D22" s="69"/>
      <c r="E22" s="66">
        <f t="shared" si="1"/>
        <v>0</v>
      </c>
      <c r="F22" s="15"/>
      <c r="G22" s="68">
        <f t="shared" si="0"/>
        <v>0</v>
      </c>
    </row>
    <row r="23" spans="1:8" ht="15" x14ac:dyDescent="0.25">
      <c r="A23" s="2"/>
      <c r="B23" s="2"/>
      <c r="C23" s="2"/>
      <c r="D23" s="2"/>
      <c r="E23" s="2"/>
      <c r="F23" s="2"/>
      <c r="G23" s="2"/>
    </row>
    <row r="24" spans="1:8" ht="30" customHeight="1" x14ac:dyDescent="0.25">
      <c r="A24" s="106" t="s">
        <v>319</v>
      </c>
      <c r="B24" s="132" t="s">
        <v>11</v>
      </c>
      <c r="C24" s="132"/>
      <c r="D24" s="132"/>
      <c r="E24" s="132"/>
      <c r="F24" s="113">
        <f>SUM(G16:G22)</f>
        <v>3787.2749999999996</v>
      </c>
      <c r="G24" s="113"/>
    </row>
    <row r="25" spans="1:8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8" ht="15" x14ac:dyDescent="0.25">
      <c r="A26" s="2"/>
      <c r="B26" s="2"/>
      <c r="C26" s="2"/>
      <c r="D26" s="2"/>
      <c r="E26" s="2"/>
      <c r="F26" s="2"/>
      <c r="G26" s="2"/>
    </row>
    <row r="27" spans="1:8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8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8" ht="15" x14ac:dyDescent="0.25">
      <c r="A29" s="43" t="s">
        <v>134</v>
      </c>
      <c r="B29" s="41" t="s">
        <v>54</v>
      </c>
      <c r="C29" s="40">
        <f>IFERROR(VLOOKUP(B29,Liste!C1:D5,2,FALSE),"")</f>
        <v>2300</v>
      </c>
      <c r="D29" s="54">
        <f>IFERROR(C29/4.33,0)</f>
        <v>531.17782909930713</v>
      </c>
      <c r="H29" s="7"/>
    </row>
    <row r="30" spans="1:8" ht="15" x14ac:dyDescent="0.3">
      <c r="A30" s="43" t="s">
        <v>66</v>
      </c>
      <c r="B30" s="46" t="s">
        <v>39</v>
      </c>
      <c r="C30" s="40">
        <f>IFERROR(VLOOKUP(B30,Liste!$C$7:$D$15,2,FALSE),"")</f>
        <v>1000</v>
      </c>
      <c r="D30" s="54">
        <f>IFERROR(C30/4.33,0)</f>
        <v>230.94688221709006</v>
      </c>
      <c r="H30" s="7"/>
    </row>
    <row r="31" spans="1:8" ht="15" x14ac:dyDescent="0.3">
      <c r="A31" s="43" t="s">
        <v>67</v>
      </c>
      <c r="B31" s="46" t="s">
        <v>39</v>
      </c>
      <c r="C31" s="40">
        <f>IFERROR(VLOOKUP(B31,Liste!$C$7:$D$15,2,FALSE),"")</f>
        <v>1000</v>
      </c>
      <c r="D31" s="54">
        <f t="shared" ref="D31:D33" si="2">IFERROR(C31/4.33,0)</f>
        <v>230.94688221709006</v>
      </c>
      <c r="H31" s="7"/>
    </row>
    <row r="32" spans="1:8" ht="15" x14ac:dyDescent="0.3">
      <c r="A32" s="43" t="s">
        <v>68</v>
      </c>
      <c r="B32" s="46" t="s">
        <v>39</v>
      </c>
      <c r="C32" s="40">
        <f>IFERROR(VLOOKUP(B32,Liste!$C$7:$D$15,2,FALSE),"")</f>
        <v>1000</v>
      </c>
      <c r="D32" s="54">
        <f t="shared" si="2"/>
        <v>230.94688221709006</v>
      </c>
      <c r="H32" s="7"/>
    </row>
    <row r="33" spans="1:8" ht="15" x14ac:dyDescent="0.3">
      <c r="A33" s="43" t="s">
        <v>73</v>
      </c>
      <c r="B33" s="46" t="s">
        <v>39</v>
      </c>
      <c r="C33" s="40">
        <f>IFERROR(VLOOKUP(B33,Liste!$C$7:$D$15,2,FALSE),"")</f>
        <v>1000</v>
      </c>
      <c r="D33" s="54">
        <f t="shared" si="2"/>
        <v>230.94688221709006</v>
      </c>
      <c r="H33" s="7"/>
    </row>
    <row r="34" spans="1:8" ht="15" x14ac:dyDescent="0.25">
      <c r="A34" s="43" t="s">
        <v>2</v>
      </c>
      <c r="B34" s="41" t="s">
        <v>32</v>
      </c>
      <c r="C34" s="65">
        <v>1.3553999999999999</v>
      </c>
      <c r="D34" s="54">
        <f>(B11*D5/100)*C34</f>
        <v>831.96647747999998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0</v>
      </c>
      <c r="D35" s="54">
        <f>(D5*B11/100)*C35</f>
        <v>0</v>
      </c>
      <c r="H35" s="7"/>
    </row>
    <row r="36" spans="1:8" ht="15" x14ac:dyDescent="0.3">
      <c r="A36" s="43" t="s">
        <v>3</v>
      </c>
      <c r="B36" s="42"/>
      <c r="C36" s="65">
        <v>0.43090000000000001</v>
      </c>
      <c r="D36" s="54">
        <f>(D6*B11)*C36</f>
        <v>15.7683546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77.040000000000006</v>
      </c>
      <c r="E38" s="49"/>
      <c r="H38" s="7"/>
    </row>
    <row r="39" spans="1:8" ht="15" x14ac:dyDescent="0.25">
      <c r="A39" s="43" t="s">
        <v>13</v>
      </c>
      <c r="B39" s="41">
        <f>B12</f>
        <v>0</v>
      </c>
      <c r="C39" s="56">
        <v>5</v>
      </c>
      <c r="D39" s="54">
        <f>C39*B39</f>
        <v>0</v>
      </c>
      <c r="H39" s="7"/>
    </row>
    <row r="40" spans="1:8" ht="15" x14ac:dyDescent="0.25">
      <c r="A40" s="43" t="s">
        <v>14</v>
      </c>
      <c r="B40" s="48" t="s">
        <v>55</v>
      </c>
      <c r="C40" s="40">
        <v>1</v>
      </c>
      <c r="D40" s="40">
        <v>821.12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3200.8601900476669</v>
      </c>
    </row>
    <row r="46" spans="1:8" x14ac:dyDescent="0.25">
      <c r="C46" s="6" t="s">
        <v>49</v>
      </c>
      <c r="D46" s="47">
        <f>F24-D45</f>
        <v>586.41480995233269</v>
      </c>
    </row>
    <row r="48" spans="1:8" ht="39" customHeight="1" x14ac:dyDescent="0.25">
      <c r="C48" s="58" t="s">
        <v>48</v>
      </c>
      <c r="D48" s="59">
        <f>D46/F24</f>
        <v>0.15483819103506682</v>
      </c>
    </row>
  </sheetData>
  <mergeCells count="6">
    <mergeCell ref="A27:G27"/>
    <mergeCell ref="A1:G1"/>
    <mergeCell ref="A3:G3"/>
    <mergeCell ref="F4:F5"/>
    <mergeCell ref="G4:G5"/>
    <mergeCell ref="B24:E24"/>
  </mergeCells>
  <phoneticPr fontId="41" type="noConversion"/>
  <hyperlinks>
    <hyperlink ref="A25" location="Sommaire!A1" display="SOMMAIRE" xr:uid="{E75BFEF1-B5A8-493B-A74B-ADAD828289F6}"/>
  </hyperlink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580DB85-4B2B-4014-93BF-56C13A24338E}">
          <x14:formula1>
            <xm:f>Liste!$C$7:$C$16</xm:f>
          </x14:formula1>
          <xm:sqref>B30:B33</xm:sqref>
        </x14:dataValidation>
        <x14:dataValidation type="list" allowBlank="1" showInputMessage="1" showErrorMessage="1" xr:uid="{784F94B1-BD2A-4643-941D-0B6C3BB9FEC9}">
          <x14:formula1>
            <xm:f>Liste!$A$24:$A$25</xm:f>
          </x14:formula1>
          <xm:sqref>B42</xm:sqref>
        </x14:dataValidation>
        <x14:dataValidation type="list" allowBlank="1" showInputMessage="1" showErrorMessage="1" xr:uid="{B65DDB07-B508-473D-BF1C-F11AF18C915E}">
          <x14:formula1>
            <xm:f>Liste!$A$21:$A$22</xm:f>
          </x14:formula1>
          <xm:sqref>B40</xm:sqref>
        </x14:dataValidation>
        <x14:dataValidation type="list" allowBlank="1" showInputMessage="1" showErrorMessage="1" xr:uid="{45D81257-025C-49C2-9E3C-F506F0CB636B}">
          <x14:formula1>
            <xm:f>Liste!$C$2:$C$5</xm:f>
          </x14:formula1>
          <xm:sqref>B29</xm:sqref>
        </x14:dataValidation>
      </x14:dataValidation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45CD3-097D-4C85-AC0C-70DDDB0D2B0F}">
  <sheetPr>
    <tabColor theme="7" tint="0.39997558519241921"/>
  </sheetPr>
  <dimension ref="A1:I48"/>
  <sheetViews>
    <sheetView workbookViewId="0">
      <selection activeCell="B11" sqref="B11"/>
    </sheetView>
  </sheetViews>
  <sheetFormatPr baseColWidth="10" defaultColWidth="11.44140625" defaultRowHeight="13.2" x14ac:dyDescent="0.25"/>
  <cols>
    <col min="1" max="1" width="34" style="1" bestFit="1" customWidth="1"/>
    <col min="2" max="2" width="20.6640625" style="1" customWidth="1"/>
    <col min="3" max="3" width="19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9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9" x14ac:dyDescent="0.25">
      <c r="A3" s="126" t="s">
        <v>5</v>
      </c>
      <c r="B3" s="126"/>
      <c r="C3" s="126"/>
      <c r="D3" s="126"/>
      <c r="E3" s="126"/>
      <c r="F3" s="126"/>
      <c r="G3" s="126"/>
    </row>
    <row r="4" spans="1:9" ht="15" x14ac:dyDescent="0.25">
      <c r="A4" s="2"/>
      <c r="B4" s="5" t="s">
        <v>10</v>
      </c>
      <c r="D4" s="11" t="s">
        <v>12</v>
      </c>
      <c r="F4" s="129" t="s">
        <v>15</v>
      </c>
      <c r="G4" s="130" t="s">
        <v>688</v>
      </c>
    </row>
    <row r="5" spans="1:9" ht="15" x14ac:dyDescent="0.25">
      <c r="A5" s="5" t="s">
        <v>8</v>
      </c>
      <c r="B5" s="10" t="s">
        <v>435</v>
      </c>
      <c r="C5" s="10"/>
      <c r="D5" s="17">
        <v>30.5</v>
      </c>
      <c r="E5" s="6"/>
      <c r="F5" s="129"/>
      <c r="G5" s="131"/>
    </row>
    <row r="6" spans="1:9" ht="15" x14ac:dyDescent="0.25">
      <c r="A6" s="5" t="s">
        <v>9</v>
      </c>
      <c r="B6" s="10" t="s">
        <v>299</v>
      </c>
      <c r="C6" s="10"/>
      <c r="D6" s="6">
        <v>1.9E-2</v>
      </c>
      <c r="F6" s="2"/>
      <c r="G6" s="2"/>
    </row>
    <row r="7" spans="1:9" ht="15" x14ac:dyDescent="0.25">
      <c r="A7" s="5" t="s">
        <v>16</v>
      </c>
      <c r="B7" s="121" t="s">
        <v>712</v>
      </c>
      <c r="C7" s="12" t="s">
        <v>436</v>
      </c>
      <c r="D7" s="63"/>
    </row>
    <row r="8" spans="1:9" ht="15" x14ac:dyDescent="0.25">
      <c r="A8" s="11" t="s">
        <v>71</v>
      </c>
      <c r="B8" s="18">
        <v>0</v>
      </c>
      <c r="C8" s="18">
        <v>61.31</v>
      </c>
    </row>
    <row r="9" spans="1:9" x14ac:dyDescent="0.25">
      <c r="A9" s="11" t="s">
        <v>72</v>
      </c>
      <c r="B9" s="77">
        <v>0</v>
      </c>
      <c r="C9" s="77">
        <v>54.06</v>
      </c>
    </row>
    <row r="10" spans="1:9" ht="15" x14ac:dyDescent="0.25">
      <c r="A10" s="5"/>
      <c r="B10" s="11" t="s">
        <v>70</v>
      </c>
      <c r="C10" s="2"/>
      <c r="D10" s="2"/>
      <c r="G10" s="11" t="s">
        <v>61</v>
      </c>
    </row>
    <row r="11" spans="1:9" ht="15" x14ac:dyDescent="0.25">
      <c r="B11" s="17">
        <v>1477</v>
      </c>
      <c r="C11" s="122" t="s">
        <v>713</v>
      </c>
      <c r="D11" s="2"/>
      <c r="G11" s="18">
        <v>0</v>
      </c>
    </row>
    <row r="12" spans="1:9" ht="15" x14ac:dyDescent="0.25">
      <c r="A12" s="5" t="s">
        <v>62</v>
      </c>
      <c r="B12" s="17">
        <v>0</v>
      </c>
      <c r="C12" s="74"/>
      <c r="D12" s="2"/>
      <c r="E12" s="2"/>
      <c r="F12" s="53" t="s">
        <v>55</v>
      </c>
      <c r="G12" s="53" t="s">
        <v>56</v>
      </c>
    </row>
    <row r="13" spans="1:9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9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9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9" x14ac:dyDescent="0.25">
      <c r="A16" s="15"/>
      <c r="B16" s="66"/>
      <c r="C16" s="66"/>
      <c r="D16" s="66"/>
      <c r="E16" s="66"/>
      <c r="F16" s="73"/>
      <c r="G16" s="68"/>
      <c r="I16" s="49"/>
    </row>
    <row r="17" spans="1:8" x14ac:dyDescent="0.25">
      <c r="A17" s="90"/>
      <c r="B17" s="66"/>
      <c r="C17" s="66"/>
      <c r="D17" s="66"/>
      <c r="E17" s="68"/>
      <c r="F17" s="73"/>
      <c r="G17" s="68"/>
    </row>
    <row r="18" spans="1:8" x14ac:dyDescent="0.25">
      <c r="A18" s="91" t="s">
        <v>437</v>
      </c>
      <c r="B18" s="66" t="s">
        <v>208</v>
      </c>
      <c r="C18" s="66">
        <v>165</v>
      </c>
      <c r="D18" s="66">
        <v>5</v>
      </c>
      <c r="E18" s="68">
        <f t="shared" ref="E18:E21" si="0">C18*D18</f>
        <v>825</v>
      </c>
      <c r="F18" s="66">
        <f>(35*5)*2.27</f>
        <v>397.25</v>
      </c>
      <c r="G18" s="68">
        <f>F18+E18</f>
        <v>1222.25</v>
      </c>
    </row>
    <row r="19" spans="1:8" x14ac:dyDescent="0.25">
      <c r="A19" s="15" t="s">
        <v>438</v>
      </c>
      <c r="B19" s="66" t="s">
        <v>208</v>
      </c>
      <c r="C19" s="66">
        <v>204.26</v>
      </c>
      <c r="D19" s="66">
        <v>6</v>
      </c>
      <c r="E19" s="66">
        <f t="shared" si="0"/>
        <v>1225.56</v>
      </c>
      <c r="F19" s="73">
        <v>3.9774999999999998E-2</v>
      </c>
      <c r="G19" s="68">
        <f t="shared" ref="G19:G21" si="1">(E19*F19)+E19</f>
        <v>1274.3066489999999</v>
      </c>
    </row>
    <row r="20" spans="1:8" ht="15" customHeight="1" x14ac:dyDescent="0.25">
      <c r="A20" s="15"/>
      <c r="B20" s="66"/>
      <c r="C20" s="80"/>
      <c r="D20" s="80"/>
      <c r="E20" s="66"/>
      <c r="F20" s="73"/>
      <c r="G20" s="68"/>
    </row>
    <row r="21" spans="1:8" ht="15" customHeight="1" x14ac:dyDescent="0.25">
      <c r="A21" s="15" t="s">
        <v>439</v>
      </c>
      <c r="B21" s="66" t="s">
        <v>258</v>
      </c>
      <c r="C21" s="80">
        <v>139.79</v>
      </c>
      <c r="D21" s="80">
        <v>1</v>
      </c>
      <c r="E21" s="66">
        <f t="shared" si="0"/>
        <v>139.79</v>
      </c>
      <c r="F21" s="73">
        <v>4.2709999999999998E-2</v>
      </c>
      <c r="G21" s="68">
        <f t="shared" si="1"/>
        <v>145.76043089999999</v>
      </c>
    </row>
    <row r="22" spans="1:8" ht="15" customHeight="1" x14ac:dyDescent="0.25">
      <c r="A22" s="90"/>
      <c r="B22" s="66"/>
      <c r="C22" s="80"/>
      <c r="D22" s="80"/>
      <c r="E22" s="66"/>
      <c r="F22" s="73"/>
      <c r="G22" s="68"/>
    </row>
    <row r="23" spans="1:8" ht="15" x14ac:dyDescent="0.25">
      <c r="A23" s="2"/>
      <c r="B23" s="2"/>
      <c r="C23" s="2"/>
      <c r="D23" s="2"/>
      <c r="E23" s="2"/>
      <c r="F23" s="2"/>
      <c r="G23" s="2"/>
    </row>
    <row r="24" spans="1:8" ht="30" customHeight="1" x14ac:dyDescent="0.25">
      <c r="A24" s="106" t="s">
        <v>320</v>
      </c>
      <c r="B24" s="132" t="s">
        <v>11</v>
      </c>
      <c r="C24" s="132"/>
      <c r="D24" s="132"/>
      <c r="E24" s="132"/>
      <c r="F24" s="113">
        <f>SUM(G16:G22)</f>
        <v>2642.3170799</v>
      </c>
      <c r="G24" s="113"/>
    </row>
    <row r="25" spans="1:8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8" ht="15" x14ac:dyDescent="0.25">
      <c r="A26" s="2"/>
      <c r="B26" s="2"/>
      <c r="C26" s="2"/>
      <c r="D26" s="2"/>
      <c r="E26" s="2"/>
      <c r="F26" s="2"/>
      <c r="G26" s="2"/>
    </row>
    <row r="27" spans="1:8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8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8" ht="15" x14ac:dyDescent="0.25">
      <c r="A29" s="43" t="s">
        <v>134</v>
      </c>
      <c r="B29" s="41" t="s">
        <v>193</v>
      </c>
      <c r="C29" s="40">
        <f>IFERROR(VLOOKUP(B29,Liste!C1:D5,2,FALSE),"")</f>
        <v>2500</v>
      </c>
      <c r="D29" s="54">
        <f>IFERROR(C29/4.33,0)</f>
        <v>577.36720554272517</v>
      </c>
      <c r="H29" s="7"/>
    </row>
    <row r="30" spans="1:8" ht="15" x14ac:dyDescent="0.3">
      <c r="A30" s="43" t="s">
        <v>66</v>
      </c>
      <c r="B30" s="46" t="s">
        <v>39</v>
      </c>
      <c r="C30" s="40">
        <f>IFERROR(VLOOKUP(B30,Liste!$C$7:$D$15,2,FALSE),"")</f>
        <v>1000</v>
      </c>
      <c r="D30" s="54">
        <f>IFERROR(C30/4.33,0)</f>
        <v>230.94688221709006</v>
      </c>
      <c r="H30" s="7"/>
    </row>
    <row r="31" spans="1:8" ht="15" x14ac:dyDescent="0.3">
      <c r="A31" s="43" t="s">
        <v>67</v>
      </c>
      <c r="B31" s="46" t="s">
        <v>69</v>
      </c>
      <c r="C31" s="40" t="str">
        <f>IFERROR(VLOOKUP(B31,Liste!$C$7:$D$15,2,FALSE),"")</f>
        <v/>
      </c>
      <c r="D31" s="54">
        <f t="shared" ref="D31:D33" si="2">IFERROR(C31/4.33,0)</f>
        <v>0</v>
      </c>
      <c r="H31" s="7"/>
    </row>
    <row r="32" spans="1:8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2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2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0</v>
      </c>
      <c r="D34" s="54">
        <f>(B11*D5/100)*C34</f>
        <v>0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1.365</v>
      </c>
      <c r="D35" s="54">
        <f>(D5*B11/100)*C35</f>
        <v>614.91202499999997</v>
      </c>
      <c r="H35" s="7"/>
    </row>
    <row r="36" spans="1:8" ht="15" x14ac:dyDescent="0.3">
      <c r="A36" s="43" t="s">
        <v>3</v>
      </c>
      <c r="B36" s="42"/>
      <c r="C36" s="65">
        <v>0</v>
      </c>
      <c r="D36" s="54">
        <f>(D6*B11)*C36</f>
        <v>0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59.08</v>
      </c>
      <c r="E38" s="49"/>
      <c r="H38" s="7"/>
    </row>
    <row r="39" spans="1:8" ht="15" x14ac:dyDescent="0.25">
      <c r="A39" s="43" t="s">
        <v>13</v>
      </c>
      <c r="B39" s="41">
        <f>B12</f>
        <v>0</v>
      </c>
      <c r="C39" s="56">
        <v>5</v>
      </c>
      <c r="D39" s="54">
        <f>C39*B39</f>
        <v>0</v>
      </c>
      <c r="H39" s="7"/>
    </row>
    <row r="40" spans="1:8" ht="15" x14ac:dyDescent="0.25">
      <c r="A40" s="43" t="s">
        <v>14</v>
      </c>
      <c r="B40" s="48" t="s">
        <v>55</v>
      </c>
      <c r="C40" s="40">
        <v>1</v>
      </c>
      <c r="D40" s="40">
        <f>888.26</f>
        <v>888.26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2370.566112759815</v>
      </c>
    </row>
    <row r="46" spans="1:8" x14ac:dyDescent="0.25">
      <c r="C46" s="6" t="s">
        <v>49</v>
      </c>
      <c r="D46" s="47">
        <f>F24-D45</f>
        <v>271.75096714018491</v>
      </c>
    </row>
    <row r="48" spans="1:8" ht="39" customHeight="1" x14ac:dyDescent="0.25">
      <c r="C48" s="58" t="s">
        <v>48</v>
      </c>
      <c r="D48" s="59">
        <f>D46/F24</f>
        <v>0.10284570659872111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91454197-6BDB-4A1A-859E-6592469025A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7B3B01C-B5D4-4905-9893-EFE7A0B53DDE}">
          <x14:formula1>
            <xm:f>Liste!$C$2:$C$5</xm:f>
          </x14:formula1>
          <xm:sqref>B29</xm:sqref>
        </x14:dataValidation>
        <x14:dataValidation type="list" allowBlank="1" showInputMessage="1" showErrorMessage="1" xr:uid="{6036B68E-E21D-4124-8B69-6E36D5B67480}">
          <x14:formula1>
            <xm:f>Liste!$A$21:$A$22</xm:f>
          </x14:formula1>
          <xm:sqref>B40</xm:sqref>
        </x14:dataValidation>
        <x14:dataValidation type="list" allowBlank="1" showInputMessage="1" showErrorMessage="1" xr:uid="{CEB2AD2C-D4AA-4718-AA43-19C567F635BE}">
          <x14:formula1>
            <xm:f>Liste!$A$24:$A$25</xm:f>
          </x14:formula1>
          <xm:sqref>B42</xm:sqref>
        </x14:dataValidation>
        <x14:dataValidation type="list" allowBlank="1" showInputMessage="1" showErrorMessage="1" xr:uid="{28998682-1F6D-4F45-A245-C8F07AC721E1}">
          <x14:formula1>
            <xm:f>Liste!$C$7:$C$16</xm:f>
          </x14:formula1>
          <xm:sqref>B30:B33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C7523-A73D-44F8-BB62-EACF0C208038}">
  <sheetPr>
    <tabColor theme="7" tint="0.39997558519241921"/>
  </sheetPr>
  <dimension ref="A1:I48"/>
  <sheetViews>
    <sheetView topLeftCell="A2" workbookViewId="0">
      <selection activeCell="A25" sqref="A25"/>
    </sheetView>
  </sheetViews>
  <sheetFormatPr baseColWidth="10" defaultColWidth="11.44140625" defaultRowHeight="13.2" x14ac:dyDescent="0.25"/>
  <cols>
    <col min="1" max="1" width="34" style="1" bestFit="1" customWidth="1"/>
    <col min="2" max="2" width="20.6640625" style="1" customWidth="1"/>
    <col min="3" max="3" width="19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9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9" x14ac:dyDescent="0.25">
      <c r="A3" s="126" t="s">
        <v>5</v>
      </c>
      <c r="B3" s="126"/>
      <c r="C3" s="126"/>
      <c r="D3" s="126"/>
      <c r="E3" s="126"/>
      <c r="F3" s="126"/>
      <c r="G3" s="126"/>
    </row>
    <row r="4" spans="1:9" ht="15" x14ac:dyDescent="0.25">
      <c r="A4" s="2"/>
      <c r="B4" s="5" t="s">
        <v>10</v>
      </c>
      <c r="D4" s="11" t="s">
        <v>12</v>
      </c>
      <c r="F4" s="129" t="s">
        <v>15</v>
      </c>
      <c r="G4" s="130" t="s">
        <v>689</v>
      </c>
    </row>
    <row r="5" spans="1:9" ht="15" x14ac:dyDescent="0.25">
      <c r="A5" s="5" t="s">
        <v>8</v>
      </c>
      <c r="B5" s="10" t="s">
        <v>531</v>
      </c>
      <c r="C5" s="10"/>
      <c r="D5" s="17">
        <v>27.76</v>
      </c>
      <c r="E5" s="6"/>
      <c r="F5" s="129"/>
      <c r="G5" s="131"/>
    </row>
    <row r="6" spans="1:9" ht="15" x14ac:dyDescent="0.25">
      <c r="A6" s="5" t="s">
        <v>9</v>
      </c>
      <c r="B6" s="10" t="s">
        <v>299</v>
      </c>
      <c r="C6" s="10"/>
      <c r="D6" s="6">
        <v>1.9E-2</v>
      </c>
      <c r="F6" s="2"/>
      <c r="G6" s="2"/>
    </row>
    <row r="7" spans="1:9" ht="15" x14ac:dyDescent="0.25">
      <c r="A7" s="5" t="s">
        <v>16</v>
      </c>
      <c r="B7" s="12" t="s">
        <v>534</v>
      </c>
      <c r="C7" s="12"/>
      <c r="D7" s="63"/>
    </row>
    <row r="8" spans="1:9" ht="15" x14ac:dyDescent="0.25">
      <c r="A8" s="11" t="s">
        <v>71</v>
      </c>
      <c r="B8" s="18">
        <v>41.63</v>
      </c>
      <c r="C8" s="18"/>
    </row>
    <row r="9" spans="1:9" x14ac:dyDescent="0.25">
      <c r="A9" s="11" t="s">
        <v>72</v>
      </c>
      <c r="B9" s="77">
        <v>34.799999999999997</v>
      </c>
      <c r="C9" s="77"/>
    </row>
    <row r="10" spans="1:9" ht="15" x14ac:dyDescent="0.25">
      <c r="A10" s="5"/>
      <c r="B10" s="11" t="s">
        <v>70</v>
      </c>
      <c r="C10" s="2"/>
      <c r="D10" s="2"/>
      <c r="G10" s="11" t="s">
        <v>61</v>
      </c>
    </row>
    <row r="11" spans="1:9" ht="15" x14ac:dyDescent="0.25">
      <c r="B11" s="17">
        <v>696</v>
      </c>
      <c r="C11" s="2"/>
      <c r="D11" s="2"/>
      <c r="G11" s="18">
        <v>0</v>
      </c>
    </row>
    <row r="12" spans="1:9" ht="15" x14ac:dyDescent="0.25">
      <c r="A12" s="5" t="s">
        <v>62</v>
      </c>
      <c r="B12" s="17">
        <v>0</v>
      </c>
      <c r="C12" s="74"/>
      <c r="D12" s="2"/>
      <c r="E12" s="2"/>
      <c r="F12" s="53" t="s">
        <v>55</v>
      </c>
      <c r="G12" s="53" t="s">
        <v>56</v>
      </c>
    </row>
    <row r="13" spans="1:9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9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9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9" x14ac:dyDescent="0.25">
      <c r="A16" s="15" t="s">
        <v>714</v>
      </c>
      <c r="B16" s="66" t="s">
        <v>208</v>
      </c>
      <c r="C16" s="66">
        <v>250</v>
      </c>
      <c r="D16" s="66">
        <v>5</v>
      </c>
      <c r="E16" s="66">
        <f>C16*D16</f>
        <v>1250</v>
      </c>
      <c r="F16" s="73">
        <v>0</v>
      </c>
      <c r="G16" s="68">
        <f t="shared" ref="G16:G22" si="0">(E16*F16)+E16</f>
        <v>1250</v>
      </c>
      <c r="I16" s="49"/>
    </row>
    <row r="17" spans="1:8" x14ac:dyDescent="0.25">
      <c r="A17" s="90" t="s">
        <v>442</v>
      </c>
      <c r="B17" s="66" t="s">
        <v>208</v>
      </c>
      <c r="C17" s="66">
        <v>198.76</v>
      </c>
      <c r="D17" s="66">
        <v>5</v>
      </c>
      <c r="E17" s="68">
        <f t="shared" ref="E17:E22" si="1">C17*D17</f>
        <v>993.8</v>
      </c>
      <c r="F17" s="73">
        <v>3.9774999999999998E-2</v>
      </c>
      <c r="G17" s="68">
        <f t="shared" si="0"/>
        <v>1033.328395</v>
      </c>
    </row>
    <row r="18" spans="1:8" x14ac:dyDescent="0.25">
      <c r="A18" s="15" t="s">
        <v>443</v>
      </c>
      <c r="B18" s="66" t="s">
        <v>208</v>
      </c>
      <c r="C18" s="66">
        <v>159.02000000000001</v>
      </c>
      <c r="D18" s="66">
        <v>5</v>
      </c>
      <c r="E18" s="66">
        <f t="shared" ref="E18" si="2">C18*D18</f>
        <v>795.1</v>
      </c>
      <c r="F18" s="73">
        <v>3.9774999999999998E-2</v>
      </c>
      <c r="G18" s="68">
        <f t="shared" ref="G18" si="3">(E18*F18)+E18</f>
        <v>826.72510250000005</v>
      </c>
    </row>
    <row r="19" spans="1:8" x14ac:dyDescent="0.25">
      <c r="A19" s="15"/>
      <c r="B19" s="66"/>
      <c r="C19" s="66"/>
      <c r="D19" s="66"/>
      <c r="E19" s="66">
        <f t="shared" si="1"/>
        <v>0</v>
      </c>
      <c r="F19" s="73"/>
      <c r="G19" s="68">
        <f t="shared" si="0"/>
        <v>0</v>
      </c>
    </row>
    <row r="20" spans="1:8" ht="15" customHeight="1" x14ac:dyDescent="0.25">
      <c r="A20" s="123" t="s">
        <v>715</v>
      </c>
      <c r="B20" s="66"/>
      <c r="C20" s="80"/>
      <c r="D20" s="80"/>
      <c r="E20" s="66">
        <f t="shared" si="1"/>
        <v>0</v>
      </c>
      <c r="F20" s="73"/>
      <c r="G20" s="68">
        <f t="shared" si="0"/>
        <v>0</v>
      </c>
    </row>
    <row r="21" spans="1:8" ht="15" customHeight="1" x14ac:dyDescent="0.25">
      <c r="A21" s="15"/>
      <c r="B21" s="66"/>
      <c r="C21" s="80"/>
      <c r="D21" s="80"/>
      <c r="E21" s="66">
        <f t="shared" si="1"/>
        <v>0</v>
      </c>
      <c r="F21" s="73"/>
      <c r="G21" s="68">
        <f t="shared" si="0"/>
        <v>0</v>
      </c>
    </row>
    <row r="22" spans="1:8" ht="15" customHeight="1" x14ac:dyDescent="0.25">
      <c r="A22" s="90"/>
      <c r="B22" s="66"/>
      <c r="C22" s="80"/>
      <c r="D22" s="80"/>
      <c r="E22" s="66">
        <f t="shared" si="1"/>
        <v>0</v>
      </c>
      <c r="F22" s="73"/>
      <c r="G22" s="68">
        <f t="shared" si="0"/>
        <v>0</v>
      </c>
    </row>
    <row r="23" spans="1:8" ht="15" x14ac:dyDescent="0.25">
      <c r="A23" s="2"/>
      <c r="B23" s="2"/>
      <c r="C23" s="2"/>
      <c r="D23" s="2"/>
      <c r="E23" s="2"/>
      <c r="F23" s="2"/>
      <c r="G23" s="2"/>
    </row>
    <row r="24" spans="1:8" ht="30" customHeight="1" x14ac:dyDescent="0.25">
      <c r="A24" s="106" t="s">
        <v>321</v>
      </c>
      <c r="B24" s="132" t="s">
        <v>11</v>
      </c>
      <c r="C24" s="132"/>
      <c r="D24" s="132"/>
      <c r="E24" s="132"/>
      <c r="F24" s="113">
        <f>SUM(G16:G22)</f>
        <v>3110.0534975</v>
      </c>
      <c r="G24" s="113"/>
    </row>
    <row r="25" spans="1:8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8" ht="15" x14ac:dyDescent="0.25">
      <c r="A26" s="2"/>
      <c r="B26" s="2"/>
      <c r="C26" s="2"/>
      <c r="D26" s="2"/>
      <c r="E26" s="2"/>
      <c r="F26" s="2"/>
      <c r="G26" s="2"/>
    </row>
    <row r="27" spans="1:8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8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8" ht="15" x14ac:dyDescent="0.25">
      <c r="A29" s="43" t="s">
        <v>134</v>
      </c>
      <c r="B29" s="41" t="s">
        <v>193</v>
      </c>
      <c r="C29" s="40">
        <f>IFERROR(VLOOKUP(B29,Liste!C1:D5,2,FALSE),"")</f>
        <v>2500</v>
      </c>
      <c r="D29" s="54">
        <f>IFERROR(C29/4.33,0)</f>
        <v>577.36720554272517</v>
      </c>
      <c r="H29" s="7"/>
    </row>
    <row r="30" spans="1:8" ht="15" x14ac:dyDescent="0.3">
      <c r="A30" s="43" t="s">
        <v>66</v>
      </c>
      <c r="B30" s="46" t="s">
        <v>39</v>
      </c>
      <c r="C30" s="40">
        <f>IFERROR(VLOOKUP(B30,Liste!$C$7:$D$15,2,FALSE),"")</f>
        <v>1000</v>
      </c>
      <c r="D30" s="54">
        <f>IFERROR(C30/4.33,0)</f>
        <v>230.94688221709006</v>
      </c>
      <c r="H30" s="7"/>
    </row>
    <row r="31" spans="1:8" ht="15" x14ac:dyDescent="0.3">
      <c r="A31" s="43" t="s">
        <v>67</v>
      </c>
      <c r="B31" s="46" t="s">
        <v>69</v>
      </c>
      <c r="C31" s="40" t="str">
        <f>IFERROR(VLOOKUP(B31,Liste!$C$7:$D$15,2,FALSE),"")</f>
        <v/>
      </c>
      <c r="D31" s="54">
        <f t="shared" ref="D31:D33" si="4">IFERROR(C31/4.33,0)</f>
        <v>0</v>
      </c>
      <c r="H31" s="7"/>
    </row>
    <row r="32" spans="1:8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4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4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0</v>
      </c>
      <c r="D34" s="54">
        <f>(B11*D5/100)*C34</f>
        <v>0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1.365</v>
      </c>
      <c r="D35" s="54">
        <f>(D5*B11/100)*C35</f>
        <v>263.73110400000002</v>
      </c>
      <c r="H35" s="7"/>
    </row>
    <row r="36" spans="1:8" ht="15" x14ac:dyDescent="0.3">
      <c r="A36" s="43" t="s">
        <v>3</v>
      </c>
      <c r="B36" s="42"/>
      <c r="C36" s="65">
        <v>0</v>
      </c>
      <c r="D36" s="54">
        <f>(D6*B11)*C36</f>
        <v>0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27.84</v>
      </c>
      <c r="E38" s="49"/>
      <c r="H38" s="7"/>
    </row>
    <row r="39" spans="1:8" ht="15" x14ac:dyDescent="0.25">
      <c r="A39" s="43" t="s">
        <v>13</v>
      </c>
      <c r="B39" s="41">
        <f>B12</f>
        <v>0</v>
      </c>
      <c r="C39" s="56">
        <v>5</v>
      </c>
      <c r="D39" s="54">
        <f>C39*B39</f>
        <v>0</v>
      </c>
      <c r="H39" s="7"/>
    </row>
    <row r="40" spans="1:8" ht="15" x14ac:dyDescent="0.25">
      <c r="A40" s="43" t="s">
        <v>14</v>
      </c>
      <c r="B40" s="48" t="s">
        <v>55</v>
      </c>
      <c r="C40" s="40">
        <v>1</v>
      </c>
      <c r="D40" s="40">
        <v>865.8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1965.6851917598151</v>
      </c>
    </row>
    <row r="46" spans="1:8" x14ac:dyDescent="0.25">
      <c r="C46" s="6" t="s">
        <v>49</v>
      </c>
      <c r="D46" s="47">
        <f>F24-D45</f>
        <v>1144.368305740185</v>
      </c>
    </row>
    <row r="48" spans="1:8" ht="39" customHeight="1" x14ac:dyDescent="0.25">
      <c r="C48" s="58" t="s">
        <v>48</v>
      </c>
      <c r="D48" s="59">
        <f>D46/F24</f>
        <v>0.36795775592287377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D3C41EF7-1303-4E06-8A64-8716BD37573C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00DD7A7-D42C-4BB0-8EE8-9F4632DB6169}">
          <x14:formula1>
            <xm:f>Liste!$C$7:$C$16</xm:f>
          </x14:formula1>
          <xm:sqref>B30:B33</xm:sqref>
        </x14:dataValidation>
        <x14:dataValidation type="list" allowBlank="1" showInputMessage="1" showErrorMessage="1" xr:uid="{427878E3-F658-4750-86B3-801383C6D153}">
          <x14:formula1>
            <xm:f>Liste!$A$24:$A$25</xm:f>
          </x14:formula1>
          <xm:sqref>B42</xm:sqref>
        </x14:dataValidation>
        <x14:dataValidation type="list" allowBlank="1" showInputMessage="1" showErrorMessage="1" xr:uid="{E21C3954-0C62-4441-8B5B-197A05FC377A}">
          <x14:formula1>
            <xm:f>Liste!$A$21:$A$22</xm:f>
          </x14:formula1>
          <xm:sqref>B40</xm:sqref>
        </x14:dataValidation>
        <x14:dataValidation type="list" allowBlank="1" showInputMessage="1" showErrorMessage="1" xr:uid="{B71F4C3C-3429-4FB4-8657-BDDEC4743771}">
          <x14:formula1>
            <xm:f>Liste!$C$2:$C$5</xm:f>
          </x14:formula1>
          <xm:sqref>B29</xm:sqref>
        </x14:dataValidation>
      </x14:dataValidation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73193-0044-4C67-A11D-A7F380E29459}">
  <sheetPr>
    <tabColor theme="7" tint="0.39997558519241921"/>
  </sheetPr>
  <dimension ref="A1:I48"/>
  <sheetViews>
    <sheetView workbookViewId="0">
      <selection activeCell="D13" sqref="D13"/>
    </sheetView>
  </sheetViews>
  <sheetFormatPr baseColWidth="10" defaultColWidth="11.44140625" defaultRowHeight="13.2" x14ac:dyDescent="0.25"/>
  <cols>
    <col min="1" max="1" width="34" style="1" bestFit="1" customWidth="1"/>
    <col min="2" max="2" width="20.6640625" style="1" customWidth="1"/>
    <col min="3" max="3" width="19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9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9" x14ac:dyDescent="0.25">
      <c r="A3" s="126" t="s">
        <v>5</v>
      </c>
      <c r="B3" s="126"/>
      <c r="C3" s="126"/>
      <c r="D3" s="126"/>
      <c r="E3" s="126"/>
      <c r="F3" s="126"/>
      <c r="G3" s="126"/>
    </row>
    <row r="4" spans="1:9" ht="15" x14ac:dyDescent="0.25">
      <c r="A4" s="2"/>
      <c r="B4" s="5" t="s">
        <v>10</v>
      </c>
      <c r="D4" s="11" t="s">
        <v>12</v>
      </c>
      <c r="F4" s="129" t="s">
        <v>15</v>
      </c>
      <c r="G4" s="130" t="s">
        <v>688</v>
      </c>
    </row>
    <row r="5" spans="1:9" ht="15" x14ac:dyDescent="0.25">
      <c r="A5" s="5" t="s">
        <v>8</v>
      </c>
      <c r="B5" s="10" t="s">
        <v>445</v>
      </c>
      <c r="C5" s="10"/>
      <c r="D5" s="17">
        <v>28.92</v>
      </c>
      <c r="E5" s="6"/>
      <c r="F5" s="129"/>
      <c r="G5" s="131"/>
    </row>
    <row r="6" spans="1:9" ht="15" x14ac:dyDescent="0.25">
      <c r="A6" s="5" t="s">
        <v>9</v>
      </c>
      <c r="B6" s="10" t="s">
        <v>299</v>
      </c>
      <c r="C6" s="10"/>
      <c r="D6" s="6">
        <v>1.9E-2</v>
      </c>
      <c r="F6" s="2"/>
      <c r="G6" s="2"/>
    </row>
    <row r="7" spans="1:9" ht="15" x14ac:dyDescent="0.25">
      <c r="A7" s="5" t="s">
        <v>16</v>
      </c>
      <c r="B7" s="12" t="s">
        <v>446</v>
      </c>
      <c r="C7" s="12" t="s">
        <v>720</v>
      </c>
      <c r="D7" s="63"/>
    </row>
    <row r="8" spans="1:9" ht="15.6" x14ac:dyDescent="0.3">
      <c r="A8" s="11" t="s">
        <v>71</v>
      </c>
      <c r="B8" s="92">
        <v>74.13</v>
      </c>
      <c r="C8" s="18">
        <v>46.49</v>
      </c>
    </row>
    <row r="9" spans="1:9" x14ac:dyDescent="0.25">
      <c r="A9" s="11" t="s">
        <v>72</v>
      </c>
      <c r="B9" s="77">
        <v>39.479999999999997</v>
      </c>
      <c r="C9" s="77">
        <v>23.92</v>
      </c>
    </row>
    <row r="10" spans="1:9" ht="15" x14ac:dyDescent="0.25">
      <c r="A10" s="5"/>
      <c r="B10" s="11" t="s">
        <v>70</v>
      </c>
      <c r="C10" s="2"/>
      <c r="D10" s="2"/>
      <c r="G10" s="11" t="s">
        <v>61</v>
      </c>
    </row>
    <row r="11" spans="1:9" ht="15" x14ac:dyDescent="0.25">
      <c r="B11" s="17">
        <f>1547+1043</f>
        <v>2590</v>
      </c>
      <c r="C11" s="2"/>
      <c r="D11" s="2"/>
      <c r="G11" s="18">
        <v>0</v>
      </c>
    </row>
    <row r="12" spans="1:9" ht="15" x14ac:dyDescent="0.25">
      <c r="A12" s="5" t="s">
        <v>62</v>
      </c>
      <c r="B12" s="17">
        <v>0</v>
      </c>
      <c r="C12" s="74"/>
      <c r="D12" s="2"/>
      <c r="E12" s="2"/>
      <c r="F12" s="53" t="s">
        <v>55</v>
      </c>
      <c r="G12" s="53" t="s">
        <v>56</v>
      </c>
    </row>
    <row r="13" spans="1:9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9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9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9" x14ac:dyDescent="0.25">
      <c r="A16" s="15" t="s">
        <v>447</v>
      </c>
      <c r="B16" s="66" t="s">
        <v>208</v>
      </c>
      <c r="C16" s="66">
        <v>228.27</v>
      </c>
      <c r="D16" s="66">
        <v>5</v>
      </c>
      <c r="E16" s="66">
        <f>C16*D16</f>
        <v>1141.3500000000001</v>
      </c>
      <c r="F16" s="73">
        <v>3.9774999999999998E-2</v>
      </c>
      <c r="G16" s="68">
        <f t="shared" ref="G16:G20" si="0">(E16*F16)+E16</f>
        <v>1186.7471962500001</v>
      </c>
      <c r="I16" s="49"/>
    </row>
    <row r="17" spans="1:8" x14ac:dyDescent="0.25">
      <c r="A17" s="99" t="s">
        <v>448</v>
      </c>
      <c r="B17" s="66" t="s">
        <v>208</v>
      </c>
      <c r="C17" s="66">
        <v>199.26</v>
      </c>
      <c r="D17" s="66">
        <v>6</v>
      </c>
      <c r="E17" s="68">
        <f t="shared" ref="E17:E20" si="1">C17*D17</f>
        <v>1195.56</v>
      </c>
      <c r="F17" s="73">
        <v>3.9774999999999998E-2</v>
      </c>
      <c r="G17" s="68">
        <f t="shared" si="0"/>
        <v>1243.1133989999998</v>
      </c>
    </row>
    <row r="18" spans="1:8" x14ac:dyDescent="0.25">
      <c r="A18" s="15" t="s">
        <v>449</v>
      </c>
      <c r="B18" s="66" t="s">
        <v>208</v>
      </c>
      <c r="C18" s="66">
        <v>191.98</v>
      </c>
      <c r="D18" s="66">
        <v>5</v>
      </c>
      <c r="E18" s="66">
        <f t="shared" si="1"/>
        <v>959.9</v>
      </c>
      <c r="F18" s="73">
        <v>3.9774999999999998E-2</v>
      </c>
      <c r="G18" s="68">
        <f t="shared" si="0"/>
        <v>998.08002249999993</v>
      </c>
    </row>
    <row r="19" spans="1:8" x14ac:dyDescent="0.25">
      <c r="A19" s="15" t="s">
        <v>722</v>
      </c>
      <c r="B19" s="66" t="s">
        <v>208</v>
      </c>
      <c r="C19" s="66">
        <f>173.7+88.24</f>
        <v>261.94</v>
      </c>
      <c r="D19" s="66">
        <v>5</v>
      </c>
      <c r="E19" s="66">
        <f t="shared" si="1"/>
        <v>1309.7</v>
      </c>
      <c r="F19" s="73">
        <v>3.9774999999999998E-2</v>
      </c>
      <c r="G19" s="68">
        <f t="shared" si="0"/>
        <v>1361.7933175000001</v>
      </c>
    </row>
    <row r="20" spans="1:8" ht="15" customHeight="1" x14ac:dyDescent="0.25">
      <c r="A20" s="93" t="s">
        <v>450</v>
      </c>
      <c r="B20" s="66" t="s">
        <v>258</v>
      </c>
      <c r="C20" s="80">
        <v>198.76</v>
      </c>
      <c r="D20" s="80">
        <v>1</v>
      </c>
      <c r="E20" s="66">
        <f t="shared" si="1"/>
        <v>198.76</v>
      </c>
      <c r="F20" s="73">
        <v>3.9774999999999998E-2</v>
      </c>
      <c r="G20" s="68">
        <f t="shared" si="0"/>
        <v>206.66567899999998</v>
      </c>
    </row>
    <row r="21" spans="1:8" ht="15" customHeight="1" x14ac:dyDescent="0.25">
      <c r="A21" s="101" t="s">
        <v>721</v>
      </c>
      <c r="B21" s="66"/>
      <c r="C21" s="80"/>
      <c r="D21" s="80"/>
      <c r="E21" s="66"/>
      <c r="F21" s="73"/>
      <c r="G21" s="68"/>
    </row>
    <row r="22" spans="1:8" ht="15" customHeight="1" x14ac:dyDescent="0.25">
      <c r="A22" s="90"/>
      <c r="B22" s="66"/>
      <c r="C22" s="80"/>
      <c r="D22" s="80"/>
      <c r="E22" s="66"/>
      <c r="F22" s="73"/>
      <c r="G22" s="68"/>
    </row>
    <row r="23" spans="1:8" ht="15" x14ac:dyDescent="0.25">
      <c r="A23" s="2"/>
      <c r="B23" s="2"/>
      <c r="C23" s="2"/>
      <c r="D23" s="2"/>
      <c r="E23" s="2"/>
      <c r="F23" s="2"/>
      <c r="G23" s="2"/>
    </row>
    <row r="24" spans="1:8" ht="30" customHeight="1" x14ac:dyDescent="0.25">
      <c r="A24" s="106" t="s">
        <v>322</v>
      </c>
      <c r="B24" s="132" t="s">
        <v>11</v>
      </c>
      <c r="C24" s="132"/>
      <c r="D24" s="132"/>
      <c r="E24" s="132"/>
      <c r="F24" s="113">
        <f>SUM(G16:G22)</f>
        <v>4996.39961425</v>
      </c>
      <c r="G24" s="113"/>
    </row>
    <row r="25" spans="1:8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8" ht="15" x14ac:dyDescent="0.25">
      <c r="A26" s="2"/>
      <c r="B26" s="2"/>
      <c r="C26" s="2"/>
      <c r="D26" s="2"/>
      <c r="E26" s="2"/>
      <c r="F26" s="2"/>
      <c r="G26" s="2"/>
    </row>
    <row r="27" spans="1:8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8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8" ht="15" x14ac:dyDescent="0.25">
      <c r="A29" s="43" t="s">
        <v>134</v>
      </c>
      <c r="B29" s="41" t="s">
        <v>193</v>
      </c>
      <c r="C29" s="40">
        <f>IFERROR(VLOOKUP(B29,Liste!C1:D5,2,FALSE),"")</f>
        <v>2500</v>
      </c>
      <c r="D29" s="54">
        <f>IFERROR(C29/4.33,0)</f>
        <v>577.36720554272517</v>
      </c>
      <c r="H29" s="7"/>
    </row>
    <row r="30" spans="1:8" ht="15" x14ac:dyDescent="0.3">
      <c r="A30" s="43" t="s">
        <v>66</v>
      </c>
      <c r="B30" s="46" t="s">
        <v>39</v>
      </c>
      <c r="C30" s="40">
        <f>IFERROR(VLOOKUP(B30,Liste!$C$7:$D$15,2,FALSE),"")</f>
        <v>1000</v>
      </c>
      <c r="D30" s="54">
        <f>IFERROR(C30/4.33,0)</f>
        <v>230.94688221709006</v>
      </c>
      <c r="H30" s="7"/>
    </row>
    <row r="31" spans="1:8" ht="15" x14ac:dyDescent="0.3">
      <c r="A31" s="43" t="s">
        <v>67</v>
      </c>
      <c r="B31" s="46" t="s">
        <v>69</v>
      </c>
      <c r="C31" s="40" t="str">
        <f>IFERROR(VLOOKUP(B31,Liste!$C$7:$D$15,2,FALSE),"")</f>
        <v/>
      </c>
      <c r="D31" s="54">
        <f t="shared" ref="D31:D33" si="2">IFERROR(C31/4.33,0)</f>
        <v>0</v>
      </c>
      <c r="H31" s="7"/>
    </row>
    <row r="32" spans="1:8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2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2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0</v>
      </c>
      <c r="D34" s="54">
        <f>(B11*D5/100)*C34</f>
        <v>0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1.365</v>
      </c>
      <c r="D35" s="54">
        <f>(D5*B11/100)*C35</f>
        <v>1022.42322</v>
      </c>
      <c r="H35" s="7"/>
    </row>
    <row r="36" spans="1:8" ht="15" x14ac:dyDescent="0.3">
      <c r="A36" s="43" t="s">
        <v>3</v>
      </c>
      <c r="B36" s="42"/>
      <c r="C36" s="65">
        <v>0</v>
      </c>
      <c r="D36" s="54">
        <f>(D6*B11)*C36</f>
        <v>0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103.60000000000001</v>
      </c>
      <c r="E38" s="49"/>
      <c r="H38" s="7"/>
    </row>
    <row r="39" spans="1:8" ht="15" x14ac:dyDescent="0.25">
      <c r="A39" s="43" t="s">
        <v>13</v>
      </c>
      <c r="B39" s="41">
        <f>B12</f>
        <v>0</v>
      </c>
      <c r="C39" s="56">
        <v>5</v>
      </c>
      <c r="D39" s="54">
        <f>C39*B39</f>
        <v>0</v>
      </c>
      <c r="H39" s="7"/>
    </row>
    <row r="40" spans="1:8" ht="15" x14ac:dyDescent="0.25">
      <c r="A40" s="43" t="s">
        <v>14</v>
      </c>
      <c r="B40" s="48" t="s">
        <v>55</v>
      </c>
      <c r="C40" s="40">
        <v>2</v>
      </c>
      <c r="D40" s="40">
        <f>942.39+1007.96</f>
        <v>1950.35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3884.6873077598152</v>
      </c>
    </row>
    <row r="46" spans="1:8" x14ac:dyDescent="0.25">
      <c r="C46" s="6" t="s">
        <v>49</v>
      </c>
      <c r="D46" s="47">
        <f>F24-D45</f>
        <v>1111.7123064901848</v>
      </c>
    </row>
    <row r="48" spans="1:8" ht="39" customHeight="1" x14ac:dyDescent="0.25">
      <c r="C48" s="58" t="s">
        <v>48</v>
      </c>
      <c r="D48" s="59">
        <f>D46/F24</f>
        <v>0.22250268039400242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338B814F-C6EB-4EA4-91FF-181DD441A2EB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A7D000B-FFC9-4B8B-BBB1-7A58DE52945D}">
          <x14:formula1>
            <xm:f>Liste!$C$2:$C$5</xm:f>
          </x14:formula1>
          <xm:sqref>B29</xm:sqref>
        </x14:dataValidation>
        <x14:dataValidation type="list" allowBlank="1" showInputMessage="1" showErrorMessage="1" xr:uid="{1FB8D5B9-B535-413D-B65C-54144C40A253}">
          <x14:formula1>
            <xm:f>Liste!$A$21:$A$22</xm:f>
          </x14:formula1>
          <xm:sqref>B40</xm:sqref>
        </x14:dataValidation>
        <x14:dataValidation type="list" allowBlank="1" showInputMessage="1" showErrorMessage="1" xr:uid="{1FE7ED4E-D788-4E23-9B1B-77D9F21D2595}">
          <x14:formula1>
            <xm:f>Liste!$A$24:$A$25</xm:f>
          </x14:formula1>
          <xm:sqref>B42</xm:sqref>
        </x14:dataValidation>
        <x14:dataValidation type="list" allowBlank="1" showInputMessage="1" showErrorMessage="1" xr:uid="{E10DA88F-3963-4462-A7D1-32E8B1378D58}">
          <x14:formula1>
            <xm:f>Liste!$C$7:$C$16</xm:f>
          </x14:formula1>
          <xm:sqref>B30:B33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F1FD9-C083-4CA0-B842-96B84F3FB03A}">
  <sheetPr>
    <tabColor theme="7" tint="0.39997558519241921"/>
  </sheetPr>
  <dimension ref="A1:I49"/>
  <sheetViews>
    <sheetView workbookViewId="0">
      <selection activeCell="A26" sqref="A26"/>
    </sheetView>
  </sheetViews>
  <sheetFormatPr baseColWidth="10" defaultColWidth="11.44140625" defaultRowHeight="13.2" x14ac:dyDescent="0.25"/>
  <cols>
    <col min="1" max="1" width="34" style="1" bestFit="1" customWidth="1"/>
    <col min="2" max="2" width="20.6640625" style="1" customWidth="1"/>
    <col min="3" max="3" width="19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9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9" x14ac:dyDescent="0.25">
      <c r="A3" s="126" t="s">
        <v>5</v>
      </c>
      <c r="B3" s="126"/>
      <c r="C3" s="126"/>
      <c r="D3" s="126"/>
      <c r="E3" s="126"/>
      <c r="F3" s="126"/>
      <c r="G3" s="126"/>
    </row>
    <row r="4" spans="1:9" ht="15" x14ac:dyDescent="0.25">
      <c r="A4" s="2"/>
      <c r="B4" s="5" t="s">
        <v>10</v>
      </c>
      <c r="D4" s="11" t="s">
        <v>12</v>
      </c>
      <c r="F4" s="129" t="s">
        <v>15</v>
      </c>
      <c r="G4" s="130" t="s">
        <v>689</v>
      </c>
    </row>
    <row r="5" spans="1:9" ht="15" x14ac:dyDescent="0.25">
      <c r="A5" s="5" t="s">
        <v>8</v>
      </c>
      <c r="B5" s="10" t="s">
        <v>452</v>
      </c>
      <c r="C5" s="10"/>
      <c r="D5" s="17">
        <v>25.02</v>
      </c>
      <c r="E5" s="6"/>
      <c r="F5" s="129"/>
      <c r="G5" s="131"/>
    </row>
    <row r="6" spans="1:9" ht="15" x14ac:dyDescent="0.25">
      <c r="A6" s="5" t="s">
        <v>9</v>
      </c>
      <c r="B6" s="10" t="s">
        <v>299</v>
      </c>
      <c r="C6" s="10" t="s">
        <v>726</v>
      </c>
      <c r="D6" s="6">
        <v>1.9E-2</v>
      </c>
      <c r="F6" s="2"/>
      <c r="G6" s="2"/>
    </row>
    <row r="7" spans="1:9" ht="15" x14ac:dyDescent="0.25">
      <c r="A7" s="5" t="s">
        <v>16</v>
      </c>
      <c r="B7" s="12" t="s">
        <v>453</v>
      </c>
      <c r="C7" s="12" t="s">
        <v>723</v>
      </c>
      <c r="D7" s="63"/>
    </row>
    <row r="8" spans="1:9" ht="15" x14ac:dyDescent="0.25">
      <c r="A8" s="11" t="s">
        <v>71</v>
      </c>
      <c r="B8" s="18">
        <v>58.2</v>
      </c>
      <c r="C8" s="18">
        <v>66.150000000000006</v>
      </c>
    </row>
    <row r="9" spans="1:9" x14ac:dyDescent="0.25">
      <c r="A9" s="11" t="s">
        <v>72</v>
      </c>
      <c r="B9" s="77">
        <v>35.58</v>
      </c>
      <c r="C9" s="77">
        <v>47.59</v>
      </c>
    </row>
    <row r="10" spans="1:9" ht="15" x14ac:dyDescent="0.25">
      <c r="A10" s="5"/>
      <c r="B10" s="11" t="s">
        <v>70</v>
      </c>
      <c r="C10" s="2"/>
      <c r="D10" s="2"/>
      <c r="G10" s="11" t="s">
        <v>61</v>
      </c>
    </row>
    <row r="11" spans="1:9" ht="15" x14ac:dyDescent="0.25">
      <c r="B11" s="17">
        <f>1313+1293</f>
        <v>2606</v>
      </c>
      <c r="C11" s="2"/>
      <c r="D11" s="2"/>
      <c r="G11" s="18">
        <v>0</v>
      </c>
    </row>
    <row r="12" spans="1:9" ht="15" x14ac:dyDescent="0.25">
      <c r="A12" s="5" t="s">
        <v>62</v>
      </c>
      <c r="B12" s="17">
        <v>0</v>
      </c>
      <c r="C12" s="74"/>
      <c r="D12" s="2"/>
      <c r="E12" s="2"/>
      <c r="F12" s="53" t="s">
        <v>55</v>
      </c>
      <c r="G12" s="53" t="s">
        <v>56</v>
      </c>
    </row>
    <row r="13" spans="1:9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9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9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9" x14ac:dyDescent="0.25">
      <c r="A16" s="15" t="s">
        <v>454</v>
      </c>
      <c r="B16" s="66" t="s">
        <v>119</v>
      </c>
      <c r="C16" s="66">
        <v>107.52</v>
      </c>
      <c r="D16" s="66">
        <v>1</v>
      </c>
      <c r="E16" s="66">
        <f>C16*D16</f>
        <v>107.52</v>
      </c>
      <c r="F16" s="73">
        <v>3.9774999999999998E-2</v>
      </c>
      <c r="G16" s="68">
        <f t="shared" ref="G16:G23" si="0">(E16*F16)+E16</f>
        <v>111.79660799999999</v>
      </c>
      <c r="I16" s="49" t="s">
        <v>458</v>
      </c>
    </row>
    <row r="17" spans="1:8" x14ac:dyDescent="0.25">
      <c r="A17" s="90" t="s">
        <v>455</v>
      </c>
      <c r="B17" s="66" t="s">
        <v>208</v>
      </c>
      <c r="C17" s="66">
        <v>186.69</v>
      </c>
      <c r="D17" s="66">
        <v>6</v>
      </c>
      <c r="E17" s="68">
        <f t="shared" ref="E17:E23" si="1">C17*D17</f>
        <v>1120.1399999999999</v>
      </c>
      <c r="F17" s="73">
        <v>3.9774999999999998E-2</v>
      </c>
      <c r="G17" s="68">
        <f t="shared" si="0"/>
        <v>1164.6935684999999</v>
      </c>
    </row>
    <row r="18" spans="1:8" x14ac:dyDescent="0.25">
      <c r="A18" s="15" t="s">
        <v>456</v>
      </c>
      <c r="B18" s="66" t="s">
        <v>457</v>
      </c>
      <c r="C18" s="66">
        <v>220</v>
      </c>
      <c r="D18" s="66">
        <v>4</v>
      </c>
      <c r="E18" s="66">
        <f t="shared" si="1"/>
        <v>880</v>
      </c>
      <c r="F18" s="73">
        <v>-2.2599999999999999E-2</v>
      </c>
      <c r="G18" s="68">
        <f t="shared" si="0"/>
        <v>860.11199999999997</v>
      </c>
    </row>
    <row r="19" spans="1:8" x14ac:dyDescent="0.25">
      <c r="A19" s="15" t="s">
        <v>613</v>
      </c>
      <c r="B19" s="66" t="s">
        <v>208</v>
      </c>
      <c r="C19" s="66">
        <v>305</v>
      </c>
      <c r="D19" s="66">
        <v>5</v>
      </c>
      <c r="E19" s="66">
        <f t="shared" si="1"/>
        <v>1525</v>
      </c>
      <c r="F19" s="73">
        <v>0</v>
      </c>
      <c r="G19" s="68">
        <f t="shared" si="0"/>
        <v>1525</v>
      </c>
    </row>
    <row r="20" spans="1:8" ht="15" customHeight="1" x14ac:dyDescent="0.25">
      <c r="A20" s="15" t="s">
        <v>724</v>
      </c>
      <c r="B20" s="66" t="s">
        <v>208</v>
      </c>
      <c r="C20" s="80">
        <v>197.5</v>
      </c>
      <c r="D20" s="80">
        <v>5</v>
      </c>
      <c r="E20" s="66">
        <f t="shared" si="1"/>
        <v>987.5</v>
      </c>
      <c r="F20" s="73">
        <v>4.0899999999999999E-2</v>
      </c>
      <c r="G20" s="68">
        <f t="shared" si="0"/>
        <v>1027.8887500000001</v>
      </c>
    </row>
    <row r="21" spans="1:8" ht="15" customHeight="1" x14ac:dyDescent="0.25">
      <c r="A21" s="15" t="s">
        <v>614</v>
      </c>
      <c r="B21" s="66" t="s">
        <v>208</v>
      </c>
      <c r="C21" s="80">
        <v>160</v>
      </c>
      <c r="D21" s="80">
        <v>5</v>
      </c>
      <c r="E21" s="68">
        <f t="shared" si="1"/>
        <v>800</v>
      </c>
      <c r="F21" s="73">
        <v>0</v>
      </c>
      <c r="G21" s="68">
        <f t="shared" si="0"/>
        <v>800</v>
      </c>
    </row>
    <row r="22" spans="1:8" ht="15" customHeight="1" x14ac:dyDescent="0.25">
      <c r="A22" s="15" t="s">
        <v>725</v>
      </c>
      <c r="B22" s="66" t="s">
        <v>258</v>
      </c>
      <c r="C22" s="80">
        <v>157.22999999999999</v>
      </c>
      <c r="D22" s="80">
        <v>1</v>
      </c>
      <c r="E22" s="66">
        <f>C22*D22</f>
        <v>157.22999999999999</v>
      </c>
      <c r="F22" s="73">
        <v>4.2709999999999998E-2</v>
      </c>
      <c r="G22" s="68">
        <f t="shared" si="0"/>
        <v>163.9452933</v>
      </c>
    </row>
    <row r="23" spans="1:8" ht="15" customHeight="1" x14ac:dyDescent="0.25">
      <c r="A23" s="90" t="s">
        <v>459</v>
      </c>
      <c r="B23" s="66" t="s">
        <v>258</v>
      </c>
      <c r="C23" s="80">
        <v>2.0588000000000002</v>
      </c>
      <c r="D23" s="80">
        <f>68+138</f>
        <v>206</v>
      </c>
      <c r="E23" s="68">
        <f t="shared" si="1"/>
        <v>424.11280000000005</v>
      </c>
      <c r="F23" s="73">
        <v>0</v>
      </c>
      <c r="G23" s="68">
        <f t="shared" si="0"/>
        <v>424.11280000000005</v>
      </c>
    </row>
    <row r="24" spans="1:8" ht="15" x14ac:dyDescent="0.25">
      <c r="A24" s="2"/>
      <c r="B24" s="2"/>
      <c r="C24" s="2"/>
      <c r="D24" s="2"/>
      <c r="E24" s="2"/>
      <c r="F24" s="2"/>
      <c r="G24" s="2"/>
    </row>
    <row r="25" spans="1:8" ht="30" customHeight="1" x14ac:dyDescent="0.25">
      <c r="A25" s="106" t="s">
        <v>323</v>
      </c>
      <c r="B25" s="132" t="s">
        <v>11</v>
      </c>
      <c r="C25" s="132"/>
      <c r="D25" s="132"/>
      <c r="E25" s="132"/>
      <c r="F25" s="113">
        <f>SUM(G16:G23)</f>
        <v>6077.5490198000007</v>
      </c>
      <c r="G25" s="113"/>
    </row>
    <row r="26" spans="1:8" ht="18" x14ac:dyDescent="0.35">
      <c r="A26" s="86" t="s">
        <v>371</v>
      </c>
      <c r="B26" s="2"/>
      <c r="C26" s="2"/>
      <c r="D26" s="2"/>
      <c r="E26" s="9"/>
      <c r="F26" s="2"/>
      <c r="G26" s="2"/>
    </row>
    <row r="27" spans="1:8" ht="15" x14ac:dyDescent="0.25">
      <c r="A27" s="2"/>
      <c r="B27" s="2"/>
      <c r="C27" s="2"/>
      <c r="D27" s="2"/>
      <c r="E27" s="2"/>
      <c r="F27" s="2"/>
      <c r="G27" s="2"/>
    </row>
    <row r="28" spans="1:8" x14ac:dyDescent="0.25">
      <c r="A28" s="126" t="s">
        <v>0</v>
      </c>
      <c r="B28" s="126"/>
      <c r="C28" s="126"/>
      <c r="D28" s="126"/>
      <c r="E28" s="126"/>
      <c r="F28" s="126"/>
      <c r="G28" s="126"/>
    </row>
    <row r="29" spans="1:8" ht="26.25" customHeight="1" x14ac:dyDescent="0.25">
      <c r="A29" s="3"/>
      <c r="B29" s="6" t="s">
        <v>45</v>
      </c>
      <c r="C29" s="39" t="s">
        <v>63</v>
      </c>
      <c r="D29" s="39" t="s">
        <v>46</v>
      </c>
      <c r="E29" s="4"/>
      <c r="F29" s="4"/>
      <c r="G29" s="4"/>
      <c r="H29" s="8"/>
    </row>
    <row r="30" spans="1:8" ht="15" x14ac:dyDescent="0.25">
      <c r="A30" s="43" t="s">
        <v>134</v>
      </c>
      <c r="B30" s="41" t="s">
        <v>54</v>
      </c>
      <c r="C30" s="40">
        <f>IFERROR(VLOOKUP(B30,Liste!C1:D5,2,FALSE),"")</f>
        <v>2300</v>
      </c>
      <c r="D30" s="54">
        <f>IFERROR(C30/4.33,0)</f>
        <v>531.17782909930713</v>
      </c>
      <c r="H30" s="7"/>
    </row>
    <row r="31" spans="1:8" ht="15" x14ac:dyDescent="0.3">
      <c r="A31" s="43" t="s">
        <v>66</v>
      </c>
      <c r="B31" s="46" t="s">
        <v>39</v>
      </c>
      <c r="C31" s="40">
        <f>IFERROR(VLOOKUP(B31,Liste!$C$7:$D$15,2,FALSE),"")</f>
        <v>1000</v>
      </c>
      <c r="D31" s="54">
        <f>IFERROR(C31/4.33,0)</f>
        <v>230.94688221709006</v>
      </c>
      <c r="H31" s="7"/>
    </row>
    <row r="32" spans="1:8" ht="15" x14ac:dyDescent="0.3">
      <c r="A32" s="43" t="s">
        <v>67</v>
      </c>
      <c r="B32" s="46" t="s">
        <v>39</v>
      </c>
      <c r="C32" s="40">
        <f>IFERROR(VLOOKUP(B32,Liste!$C$7:$D$15,2,FALSE),"")</f>
        <v>1000</v>
      </c>
      <c r="D32" s="54">
        <f t="shared" ref="D32:D34" si="2">IFERROR(C32/4.33,0)</f>
        <v>230.94688221709006</v>
      </c>
      <c r="H32" s="7"/>
    </row>
    <row r="33" spans="1:8" ht="15" x14ac:dyDescent="0.3">
      <c r="A33" s="43" t="s">
        <v>68</v>
      </c>
      <c r="B33" s="46" t="s">
        <v>69</v>
      </c>
      <c r="C33" s="40" t="str">
        <f>IFERROR(VLOOKUP(B33,Liste!$C$7:$D$15,2,FALSE),"")</f>
        <v/>
      </c>
      <c r="D33" s="54">
        <f t="shared" si="2"/>
        <v>0</v>
      </c>
      <c r="H33" s="7"/>
    </row>
    <row r="34" spans="1:8" ht="15" x14ac:dyDescent="0.3">
      <c r="A34" s="43" t="s">
        <v>73</v>
      </c>
      <c r="B34" s="46" t="s">
        <v>69</v>
      </c>
      <c r="C34" s="40" t="str">
        <f>IFERROR(VLOOKUP(B34,Liste!$C$7:$D$15,2,FALSE),"")</f>
        <v/>
      </c>
      <c r="D34" s="54">
        <f t="shared" si="2"/>
        <v>0</v>
      </c>
      <c r="H34" s="7"/>
    </row>
    <row r="35" spans="1:8" ht="15" x14ac:dyDescent="0.25">
      <c r="A35" s="43" t="s">
        <v>2</v>
      </c>
      <c r="B35" s="41" t="s">
        <v>32</v>
      </c>
      <c r="C35" s="65">
        <v>1.3553999999999999</v>
      </c>
      <c r="D35" s="54">
        <f>(B11*D5/100)*C35</f>
        <v>883.74953447999985</v>
      </c>
      <c r="E35" s="49"/>
      <c r="H35" s="7"/>
    </row>
    <row r="36" spans="1:8" ht="15" x14ac:dyDescent="0.25">
      <c r="A36" s="43" t="s">
        <v>2</v>
      </c>
      <c r="B36" s="41" t="s">
        <v>34</v>
      </c>
      <c r="C36" s="48">
        <v>0</v>
      </c>
      <c r="D36" s="54">
        <f>(D5*B11/100)*C36</f>
        <v>0</v>
      </c>
      <c r="H36" s="7"/>
    </row>
    <row r="37" spans="1:8" ht="15" x14ac:dyDescent="0.3">
      <c r="A37" s="43" t="s">
        <v>3</v>
      </c>
      <c r="B37" s="42"/>
      <c r="C37" s="65">
        <v>0.43090000000000001</v>
      </c>
      <c r="D37" s="54">
        <f>(D6*B11)*C37</f>
        <v>21.335582599999999</v>
      </c>
      <c r="H37" s="7"/>
    </row>
    <row r="38" spans="1:8" ht="15" x14ac:dyDescent="0.3">
      <c r="A38" s="43" t="s">
        <v>4</v>
      </c>
      <c r="B38" s="42"/>
      <c r="C38" s="48">
        <v>1.1225000000000001</v>
      </c>
      <c r="D38" s="55"/>
      <c r="H38" s="7"/>
    </row>
    <row r="39" spans="1:8" ht="30" x14ac:dyDescent="0.3">
      <c r="A39" s="43" t="s">
        <v>52</v>
      </c>
      <c r="B39" s="42"/>
      <c r="C39" s="44">
        <v>0.04</v>
      </c>
      <c r="D39" s="54">
        <f>C39*B11</f>
        <v>104.24000000000001</v>
      </c>
      <c r="E39" s="49"/>
      <c r="H39" s="7"/>
    </row>
    <row r="40" spans="1:8" ht="15" x14ac:dyDescent="0.25">
      <c r="A40" s="43" t="s">
        <v>13</v>
      </c>
      <c r="B40" s="41">
        <f>B12</f>
        <v>0</v>
      </c>
      <c r="C40" s="56">
        <v>5</v>
      </c>
      <c r="D40" s="54">
        <f>C40*B40</f>
        <v>0</v>
      </c>
      <c r="H40" s="7"/>
    </row>
    <row r="41" spans="1:8" ht="15" x14ac:dyDescent="0.25">
      <c r="A41" s="43" t="s">
        <v>14</v>
      </c>
      <c r="B41" s="48" t="s">
        <v>55</v>
      </c>
      <c r="C41" s="40">
        <v>2</v>
      </c>
      <c r="D41" s="40">
        <f>892.45+724.08</f>
        <v>1616.5300000000002</v>
      </c>
      <c r="E41" s="49"/>
      <c r="H41" s="7"/>
    </row>
    <row r="42" spans="1:8" ht="15" x14ac:dyDescent="0.3">
      <c r="A42" s="43" t="s">
        <v>60</v>
      </c>
      <c r="B42" s="42"/>
      <c r="C42" s="42"/>
      <c r="D42" s="54">
        <f>G11</f>
        <v>0</v>
      </c>
      <c r="E42" s="49"/>
      <c r="H42" s="7"/>
    </row>
    <row r="43" spans="1:8" ht="15" x14ac:dyDescent="0.25">
      <c r="A43" s="43" t="s">
        <v>1</v>
      </c>
      <c r="B43" s="48" t="s">
        <v>65</v>
      </c>
      <c r="C43" s="40">
        <f>IF(B43=Liste!A24,Liste!B18,0)</f>
        <v>0</v>
      </c>
      <c r="D43" s="54">
        <f>C43/4.33</f>
        <v>0</v>
      </c>
      <c r="H43" s="7"/>
    </row>
    <row r="44" spans="1:8" ht="15" x14ac:dyDescent="0.3">
      <c r="A44" s="45" t="s">
        <v>50</v>
      </c>
      <c r="B44" s="42"/>
      <c r="C44" s="40">
        <v>0</v>
      </c>
      <c r="D44" s="54">
        <v>0</v>
      </c>
      <c r="H44" s="7"/>
    </row>
    <row r="45" spans="1:8" ht="15" customHeight="1" x14ac:dyDescent="0.25">
      <c r="A45" s="50"/>
      <c r="B45" s="51"/>
      <c r="C45" s="52"/>
    </row>
    <row r="46" spans="1:8" x14ac:dyDescent="0.25">
      <c r="C46" s="6" t="s">
        <v>47</v>
      </c>
      <c r="D46" s="47">
        <f>SUM(D30:D44)</f>
        <v>3618.9267106134876</v>
      </c>
    </row>
    <row r="47" spans="1:8" x14ac:dyDescent="0.25">
      <c r="C47" s="6" t="s">
        <v>49</v>
      </c>
      <c r="D47" s="47">
        <f>F25-D46</f>
        <v>2458.6223091865131</v>
      </c>
    </row>
    <row r="49" spans="3:4" ht="39" customHeight="1" x14ac:dyDescent="0.25">
      <c r="C49" s="58" t="s">
        <v>48</v>
      </c>
      <c r="D49" s="59">
        <f>D47/F25</f>
        <v>0.4045417488491802</v>
      </c>
    </row>
  </sheetData>
  <mergeCells count="6">
    <mergeCell ref="A28:G28"/>
    <mergeCell ref="A1:G1"/>
    <mergeCell ref="A3:G3"/>
    <mergeCell ref="F4:F5"/>
    <mergeCell ref="G4:G5"/>
    <mergeCell ref="B25:E25"/>
  </mergeCells>
  <phoneticPr fontId="41" type="noConversion"/>
  <hyperlinks>
    <hyperlink ref="A26" location="Sommaire!A1" display="SOMMAIRE" xr:uid="{08F04A89-7EE2-463E-A954-0FBA5D8108C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E23BB7E-6A01-477B-A417-667597B2A625}">
          <x14:formula1>
            <xm:f>Liste!$C$7:$C$16</xm:f>
          </x14:formula1>
          <xm:sqref>B31:B34</xm:sqref>
        </x14:dataValidation>
        <x14:dataValidation type="list" allowBlank="1" showInputMessage="1" showErrorMessage="1" xr:uid="{6579A3A0-FA97-4C36-A276-93BEC6E7425B}">
          <x14:formula1>
            <xm:f>Liste!$A$24:$A$25</xm:f>
          </x14:formula1>
          <xm:sqref>B43</xm:sqref>
        </x14:dataValidation>
        <x14:dataValidation type="list" allowBlank="1" showInputMessage="1" showErrorMessage="1" xr:uid="{5DCFA28D-26D3-4392-AB2B-A5EDD2F3626E}">
          <x14:formula1>
            <xm:f>Liste!$A$21:$A$22</xm:f>
          </x14:formula1>
          <xm:sqref>B41</xm:sqref>
        </x14:dataValidation>
        <x14:dataValidation type="list" allowBlank="1" showInputMessage="1" showErrorMessage="1" xr:uid="{7B992791-A0E5-495B-AEC5-CB52580CF04C}">
          <x14:formula1>
            <xm:f>Liste!$C$2:$C$5</xm:f>
          </x14:formula1>
          <xm:sqref>B30</xm:sqref>
        </x14:dataValidation>
      </x14:dataValidation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21CA8-B5AC-4274-9E87-49C69C8628E8}">
  <sheetPr>
    <tabColor theme="7" tint="0.39997558519241921"/>
  </sheetPr>
  <dimension ref="A1:I48"/>
  <sheetViews>
    <sheetView workbookViewId="0">
      <selection activeCell="F33" sqref="F33"/>
    </sheetView>
  </sheetViews>
  <sheetFormatPr baseColWidth="10" defaultColWidth="11.44140625" defaultRowHeight="13.2" x14ac:dyDescent="0.25"/>
  <cols>
    <col min="1" max="1" width="34" style="1" bestFit="1" customWidth="1"/>
    <col min="2" max="2" width="20.6640625" style="1" customWidth="1"/>
    <col min="3" max="3" width="19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9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9" x14ac:dyDescent="0.25">
      <c r="A3" s="126" t="s">
        <v>5</v>
      </c>
      <c r="B3" s="126"/>
      <c r="C3" s="126"/>
      <c r="D3" s="126"/>
      <c r="E3" s="126"/>
      <c r="F3" s="126"/>
      <c r="G3" s="126"/>
    </row>
    <row r="4" spans="1:9" ht="15" x14ac:dyDescent="0.25">
      <c r="A4" s="2"/>
      <c r="B4" s="5" t="s">
        <v>10</v>
      </c>
      <c r="D4" s="11" t="s">
        <v>12</v>
      </c>
      <c r="F4" s="129" t="s">
        <v>15</v>
      </c>
      <c r="G4" s="130" t="s">
        <v>688</v>
      </c>
    </row>
    <row r="5" spans="1:9" ht="15" x14ac:dyDescent="0.25">
      <c r="A5" s="5" t="s">
        <v>8</v>
      </c>
      <c r="B5" s="10" t="s">
        <v>461</v>
      </c>
      <c r="C5" s="10"/>
      <c r="D5" s="17">
        <v>25.59</v>
      </c>
      <c r="E5" s="6"/>
      <c r="F5" s="129"/>
      <c r="G5" s="131"/>
    </row>
    <row r="6" spans="1:9" ht="15" x14ac:dyDescent="0.25">
      <c r="A6" s="5" t="s">
        <v>9</v>
      </c>
      <c r="B6" s="10" t="s">
        <v>300</v>
      </c>
      <c r="C6" s="10"/>
      <c r="D6" s="6">
        <v>1.9E-2</v>
      </c>
      <c r="F6" s="2"/>
      <c r="G6" s="2"/>
    </row>
    <row r="7" spans="1:9" ht="15" x14ac:dyDescent="0.25">
      <c r="A7" s="5" t="s">
        <v>16</v>
      </c>
      <c r="B7" s="12" t="s">
        <v>462</v>
      </c>
      <c r="C7" s="12"/>
      <c r="D7" s="63"/>
    </row>
    <row r="8" spans="1:9" ht="15" x14ac:dyDescent="0.25">
      <c r="A8" s="11" t="s">
        <v>71</v>
      </c>
      <c r="B8" s="18">
        <v>66.239999999999995</v>
      </c>
      <c r="C8" s="18"/>
    </row>
    <row r="9" spans="1:9" x14ac:dyDescent="0.25">
      <c r="A9" s="11" t="s">
        <v>72</v>
      </c>
      <c r="B9" s="77">
        <v>37.22</v>
      </c>
      <c r="C9" s="77"/>
    </row>
    <row r="10" spans="1:9" ht="15" x14ac:dyDescent="0.25">
      <c r="A10" s="5"/>
      <c r="B10" s="11" t="s">
        <v>70</v>
      </c>
      <c r="C10" s="2"/>
      <c r="D10" s="2"/>
      <c r="G10" s="11" t="s">
        <v>61</v>
      </c>
    </row>
    <row r="11" spans="1:9" ht="15" x14ac:dyDescent="0.25">
      <c r="B11" s="17">
        <v>2320</v>
      </c>
      <c r="C11" s="2"/>
      <c r="D11" s="2"/>
      <c r="G11" s="18">
        <v>0</v>
      </c>
    </row>
    <row r="12" spans="1:9" ht="15" x14ac:dyDescent="0.25">
      <c r="A12" s="5" t="s">
        <v>62</v>
      </c>
      <c r="B12" s="17">
        <v>137.15</v>
      </c>
      <c r="C12" s="74"/>
      <c r="D12" s="2"/>
      <c r="E12" s="2"/>
      <c r="F12" s="53" t="s">
        <v>55</v>
      </c>
      <c r="G12" s="53" t="s">
        <v>56</v>
      </c>
    </row>
    <row r="13" spans="1:9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9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9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9" x14ac:dyDescent="0.25">
      <c r="A16" s="15" t="s">
        <v>463</v>
      </c>
      <c r="B16" s="66" t="s">
        <v>208</v>
      </c>
      <c r="C16" s="66">
        <v>350</v>
      </c>
      <c r="D16" s="66">
        <v>5</v>
      </c>
      <c r="E16" s="97">
        <f>C16*D16</f>
        <v>1750</v>
      </c>
      <c r="F16" s="73">
        <v>-3.0099999999999998E-2</v>
      </c>
      <c r="G16" s="68">
        <f t="shared" ref="G16:G22" si="0">(E16*F16)+E16</f>
        <v>1697.325</v>
      </c>
      <c r="I16" s="49"/>
    </row>
    <row r="17" spans="1:8" x14ac:dyDescent="0.25">
      <c r="A17" s="90" t="s">
        <v>465</v>
      </c>
      <c r="B17" s="66" t="s">
        <v>208</v>
      </c>
      <c r="C17" s="66">
        <v>350</v>
      </c>
      <c r="D17" s="66">
        <v>5</v>
      </c>
      <c r="E17" s="97">
        <f t="shared" ref="E17:E22" si="1">C17*D17</f>
        <v>1750</v>
      </c>
      <c r="F17" s="73">
        <v>-3.0099999999999998E-2</v>
      </c>
      <c r="G17" s="68">
        <f t="shared" si="0"/>
        <v>1697.325</v>
      </c>
    </row>
    <row r="18" spans="1:8" x14ac:dyDescent="0.25">
      <c r="A18" s="15" t="s">
        <v>464</v>
      </c>
      <c r="B18" s="66" t="s">
        <v>457</v>
      </c>
      <c r="C18" s="66">
        <v>205</v>
      </c>
      <c r="D18" s="66">
        <v>4</v>
      </c>
      <c r="E18" s="66">
        <f t="shared" si="1"/>
        <v>820</v>
      </c>
      <c r="F18" s="73">
        <v>9.7000000000000003E-3</v>
      </c>
      <c r="G18" s="68">
        <f t="shared" si="0"/>
        <v>827.95399999999995</v>
      </c>
    </row>
    <row r="19" spans="1:8" x14ac:dyDescent="0.25">
      <c r="A19" s="93"/>
      <c r="B19" s="94"/>
      <c r="C19" s="94"/>
      <c r="D19" s="94"/>
      <c r="E19" s="94">
        <f t="shared" si="1"/>
        <v>0</v>
      </c>
      <c r="F19" s="95"/>
      <c r="G19" s="96">
        <f t="shared" si="0"/>
        <v>0</v>
      </c>
    </row>
    <row r="20" spans="1:8" ht="15" customHeight="1" x14ac:dyDescent="0.25">
      <c r="A20" s="83" t="s">
        <v>269</v>
      </c>
      <c r="B20" s="66"/>
      <c r="C20" s="80"/>
      <c r="D20" s="80"/>
      <c r="E20" s="94">
        <f t="shared" si="1"/>
        <v>0</v>
      </c>
      <c r="F20" s="73"/>
      <c r="G20" s="68">
        <f t="shared" si="0"/>
        <v>0</v>
      </c>
    </row>
    <row r="21" spans="1:8" ht="15" customHeight="1" x14ac:dyDescent="0.25">
      <c r="A21" s="15"/>
      <c r="B21" s="66"/>
      <c r="C21" s="80"/>
      <c r="D21" s="80"/>
      <c r="E21" s="94">
        <f t="shared" si="1"/>
        <v>0</v>
      </c>
      <c r="F21" s="73"/>
      <c r="G21" s="68">
        <f t="shared" si="0"/>
        <v>0</v>
      </c>
    </row>
    <row r="22" spans="1:8" ht="15" customHeight="1" x14ac:dyDescent="0.25">
      <c r="A22" s="90"/>
      <c r="B22" s="66"/>
      <c r="C22" s="80"/>
      <c r="D22" s="80"/>
      <c r="E22" s="94">
        <f t="shared" si="1"/>
        <v>0</v>
      </c>
      <c r="F22" s="73"/>
      <c r="G22" s="68">
        <f t="shared" si="0"/>
        <v>0</v>
      </c>
    </row>
    <row r="23" spans="1:8" ht="15" x14ac:dyDescent="0.25">
      <c r="A23" s="2"/>
      <c r="B23" s="2"/>
      <c r="C23" s="2"/>
      <c r="D23" s="2"/>
      <c r="E23" s="2"/>
      <c r="F23" s="2"/>
      <c r="G23" s="2"/>
    </row>
    <row r="24" spans="1:8" ht="30" customHeight="1" x14ac:dyDescent="0.25">
      <c r="A24" s="106" t="s">
        <v>324</v>
      </c>
      <c r="B24" s="132" t="s">
        <v>11</v>
      </c>
      <c r="C24" s="132"/>
      <c r="D24" s="132"/>
      <c r="E24" s="132"/>
      <c r="F24" s="113">
        <f>SUM(G16:G22)</f>
        <v>4222.6040000000003</v>
      </c>
      <c r="G24" s="113"/>
    </row>
    <row r="25" spans="1:8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8" ht="15" x14ac:dyDescent="0.25">
      <c r="A26" s="2"/>
      <c r="B26" s="2"/>
      <c r="C26" s="2"/>
      <c r="D26" s="2"/>
      <c r="E26" s="2"/>
      <c r="F26" s="2"/>
      <c r="G26" s="2"/>
    </row>
    <row r="27" spans="1:8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8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8" ht="15" x14ac:dyDescent="0.25">
      <c r="A29" s="43" t="s">
        <v>134</v>
      </c>
      <c r="B29" s="41" t="s">
        <v>54</v>
      </c>
      <c r="C29" s="40">
        <f>IFERROR(VLOOKUP(B29,Liste!C1:D5,2,FALSE),"")</f>
        <v>2300</v>
      </c>
      <c r="D29" s="54">
        <f>IFERROR(C29/4.33,0)</f>
        <v>531.17782909930713</v>
      </c>
      <c r="H29" s="7"/>
    </row>
    <row r="30" spans="1:8" ht="15" x14ac:dyDescent="0.3">
      <c r="A30" s="43" t="s">
        <v>66</v>
      </c>
      <c r="B30" s="46" t="s">
        <v>36</v>
      </c>
      <c r="C30" s="40">
        <f>IFERROR(VLOOKUP(B30,Liste!$C$7:$D$15,2,FALSE),"")</f>
        <v>1200</v>
      </c>
      <c r="D30" s="54">
        <f>IFERROR(C30/4.33,0)</f>
        <v>277.13625866050808</v>
      </c>
      <c r="H30" s="7"/>
    </row>
    <row r="31" spans="1:8" ht="15" x14ac:dyDescent="0.3">
      <c r="A31" s="43" t="s">
        <v>67</v>
      </c>
      <c r="B31" s="46" t="s">
        <v>69</v>
      </c>
      <c r="C31" s="40" t="str">
        <f>IFERROR(VLOOKUP(B31,Liste!$C$7:$D$15,2,FALSE),"")</f>
        <v/>
      </c>
      <c r="D31" s="54">
        <f t="shared" ref="D31:D33" si="2">IFERROR(C31/4.33,0)</f>
        <v>0</v>
      </c>
      <c r="H31" s="7"/>
    </row>
    <row r="32" spans="1:8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2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2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1.3553999999999999</v>
      </c>
      <c r="D34" s="54">
        <f>(B11*D5/100)*C34</f>
        <v>804.68471519999991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0</v>
      </c>
      <c r="D35" s="54">
        <f>(D5*B11/100)*C35</f>
        <v>0</v>
      </c>
      <c r="H35" s="7"/>
    </row>
    <row r="36" spans="1:8" ht="15" x14ac:dyDescent="0.3">
      <c r="A36" s="43" t="s">
        <v>3</v>
      </c>
      <c r="B36" s="42"/>
      <c r="C36" s="65">
        <v>0.43090000000000001</v>
      </c>
      <c r="D36" s="54">
        <f>(D6*B11)*C36</f>
        <v>18.994071999999999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92.8</v>
      </c>
      <c r="E38" s="49"/>
      <c r="H38" s="7"/>
    </row>
    <row r="39" spans="1:8" ht="15" x14ac:dyDescent="0.25">
      <c r="A39" s="43" t="s">
        <v>13</v>
      </c>
      <c r="B39" s="41">
        <f>B12</f>
        <v>137.15</v>
      </c>
      <c r="C39" s="56">
        <v>5</v>
      </c>
      <c r="D39" s="54">
        <f>C39*B39</f>
        <v>685.75</v>
      </c>
      <c r="H39" s="7"/>
    </row>
    <row r="40" spans="1:8" ht="15" x14ac:dyDescent="0.25">
      <c r="A40" s="43" t="s">
        <v>14</v>
      </c>
      <c r="B40" s="48" t="s">
        <v>55</v>
      </c>
      <c r="C40" s="40">
        <v>1</v>
      </c>
      <c r="D40" s="40">
        <v>899.34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3309.8828749598151</v>
      </c>
    </row>
    <row r="46" spans="1:8" x14ac:dyDescent="0.25">
      <c r="C46" s="6" t="s">
        <v>49</v>
      </c>
      <c r="D46" s="47">
        <f>F24-D45</f>
        <v>912.72112504018514</v>
      </c>
    </row>
    <row r="48" spans="1:8" ht="39" customHeight="1" x14ac:dyDescent="0.25">
      <c r="C48" s="58" t="s">
        <v>48</v>
      </c>
      <c r="D48" s="59">
        <f>D46/F24</f>
        <v>0.21615124814929013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A7347B6A-648D-47A6-A8E0-E4957D2801B8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15B5B7C-1A8E-4B2A-BB6A-57DEF12CFFF2}">
          <x14:formula1>
            <xm:f>Liste!$C$2:$C$5</xm:f>
          </x14:formula1>
          <xm:sqref>B29</xm:sqref>
        </x14:dataValidation>
        <x14:dataValidation type="list" allowBlank="1" showInputMessage="1" showErrorMessage="1" xr:uid="{FD770429-5113-4E7B-8D91-8D24E1317FAC}">
          <x14:formula1>
            <xm:f>Liste!$A$21:$A$22</xm:f>
          </x14:formula1>
          <xm:sqref>B40</xm:sqref>
        </x14:dataValidation>
        <x14:dataValidation type="list" allowBlank="1" showInputMessage="1" showErrorMessage="1" xr:uid="{BA2E12CD-1AB5-4536-808C-6168154BF715}">
          <x14:formula1>
            <xm:f>Liste!$A$24:$A$25</xm:f>
          </x14:formula1>
          <xm:sqref>B42</xm:sqref>
        </x14:dataValidation>
        <x14:dataValidation type="list" allowBlank="1" showInputMessage="1" showErrorMessage="1" xr:uid="{1F50204C-DD27-4C99-B27C-8E968A9CD605}">
          <x14:formula1>
            <xm:f>Liste!$C$7:$C$16</xm:f>
          </x14:formula1>
          <xm:sqref>B30:B33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8E232-68D4-44AE-8BB1-388317DF8D5D}">
  <sheetPr>
    <tabColor theme="7" tint="0.39997558519241921"/>
  </sheetPr>
  <dimension ref="A1:I48"/>
  <sheetViews>
    <sheetView workbookViewId="0">
      <selection activeCell="F32" sqref="F32"/>
    </sheetView>
  </sheetViews>
  <sheetFormatPr baseColWidth="10" defaultColWidth="11.44140625" defaultRowHeight="13.2" x14ac:dyDescent="0.25"/>
  <cols>
    <col min="1" max="1" width="34" style="1" bestFit="1" customWidth="1"/>
    <col min="2" max="2" width="20.6640625" style="1" customWidth="1"/>
    <col min="3" max="3" width="19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9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9" x14ac:dyDescent="0.25">
      <c r="A3" s="126" t="s">
        <v>5</v>
      </c>
      <c r="B3" s="126"/>
      <c r="C3" s="126"/>
      <c r="D3" s="126"/>
      <c r="E3" s="126"/>
      <c r="F3" s="126"/>
      <c r="G3" s="126"/>
    </row>
    <row r="4" spans="1:9" ht="15" x14ac:dyDescent="0.25">
      <c r="A4" s="2"/>
      <c r="B4" s="5" t="s">
        <v>10</v>
      </c>
      <c r="D4" s="11" t="s">
        <v>12</v>
      </c>
      <c r="F4" s="129" t="s">
        <v>15</v>
      </c>
      <c r="G4" s="130" t="s">
        <v>689</v>
      </c>
    </row>
    <row r="5" spans="1:9" ht="15" x14ac:dyDescent="0.25">
      <c r="A5" s="5" t="s">
        <v>8</v>
      </c>
      <c r="B5" s="10" t="s">
        <v>467</v>
      </c>
      <c r="C5" s="10"/>
      <c r="D5" s="17">
        <v>27.39</v>
      </c>
      <c r="E5" s="6"/>
      <c r="F5" s="129"/>
      <c r="G5" s="131"/>
    </row>
    <row r="6" spans="1:9" ht="15" x14ac:dyDescent="0.25">
      <c r="A6" s="5" t="s">
        <v>9</v>
      </c>
      <c r="B6" s="10" t="s">
        <v>299</v>
      </c>
      <c r="C6" s="10"/>
      <c r="D6" s="6">
        <v>1.9E-2</v>
      </c>
      <c r="F6" s="2"/>
      <c r="G6" s="2"/>
    </row>
    <row r="7" spans="1:9" ht="15" x14ac:dyDescent="0.25">
      <c r="A7" s="5" t="s">
        <v>16</v>
      </c>
      <c r="B7" s="12" t="s">
        <v>468</v>
      </c>
      <c r="C7" s="12"/>
      <c r="D7" s="63"/>
    </row>
    <row r="8" spans="1:9" ht="15" x14ac:dyDescent="0.25">
      <c r="A8" s="11" t="s">
        <v>71</v>
      </c>
      <c r="B8" s="18">
        <v>51.16</v>
      </c>
      <c r="C8" s="18"/>
    </row>
    <row r="9" spans="1:9" x14ac:dyDescent="0.25">
      <c r="A9" s="11" t="s">
        <v>72</v>
      </c>
      <c r="B9" s="77">
        <v>37.020000000000003</v>
      </c>
      <c r="C9" s="77"/>
    </row>
    <row r="10" spans="1:9" ht="15" x14ac:dyDescent="0.25">
      <c r="A10" s="5"/>
      <c r="B10" s="11" t="s">
        <v>70</v>
      </c>
      <c r="C10" s="2"/>
      <c r="D10" s="2"/>
      <c r="G10" s="11" t="s">
        <v>61</v>
      </c>
    </row>
    <row r="11" spans="1:9" ht="15" x14ac:dyDescent="0.25">
      <c r="B11" s="17">
        <v>1893</v>
      </c>
      <c r="C11" s="2"/>
      <c r="D11" s="2"/>
      <c r="G11" s="18">
        <v>0</v>
      </c>
    </row>
    <row r="12" spans="1:9" ht="15" x14ac:dyDescent="0.25">
      <c r="A12" s="5" t="s">
        <v>62</v>
      </c>
      <c r="B12" s="17">
        <v>0</v>
      </c>
      <c r="C12" s="74"/>
      <c r="D12" s="2"/>
      <c r="E12" s="2"/>
      <c r="F12" s="53" t="s">
        <v>55</v>
      </c>
      <c r="G12" s="53" t="s">
        <v>56</v>
      </c>
    </row>
    <row r="13" spans="1:9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9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9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9" x14ac:dyDescent="0.25">
      <c r="A16" s="15" t="s">
        <v>469</v>
      </c>
      <c r="B16" s="66" t="s">
        <v>208</v>
      </c>
      <c r="C16" s="66">
        <v>280</v>
      </c>
      <c r="D16" s="66">
        <v>5</v>
      </c>
      <c r="E16" s="97">
        <f>C16*D16</f>
        <v>1400</v>
      </c>
      <c r="F16" s="73">
        <v>-1.37E-2</v>
      </c>
      <c r="G16" s="68">
        <f t="shared" ref="G16:G22" si="0">(E16*F16)+E16</f>
        <v>1380.82</v>
      </c>
      <c r="I16" s="49"/>
    </row>
    <row r="17" spans="1:8" x14ac:dyDescent="0.25">
      <c r="A17" s="90" t="s">
        <v>470</v>
      </c>
      <c r="B17" s="66" t="s">
        <v>208</v>
      </c>
      <c r="C17" s="66">
        <v>147.5</v>
      </c>
      <c r="D17" s="66">
        <v>5</v>
      </c>
      <c r="E17" s="97">
        <f t="shared" ref="E17:E22" si="1">C17*D17</f>
        <v>737.5</v>
      </c>
      <c r="F17" s="73">
        <v>-2.2599999999999999E-2</v>
      </c>
      <c r="G17" s="68">
        <f t="shared" si="0"/>
        <v>720.83249999999998</v>
      </c>
    </row>
    <row r="18" spans="1:8" x14ac:dyDescent="0.25">
      <c r="A18" s="93" t="s">
        <v>727</v>
      </c>
      <c r="B18" s="94" t="s">
        <v>208</v>
      </c>
      <c r="C18" s="94">
        <v>197.5</v>
      </c>
      <c r="D18" s="94">
        <v>5</v>
      </c>
      <c r="E18" s="94">
        <f t="shared" si="1"/>
        <v>987.5</v>
      </c>
      <c r="F18" s="95">
        <v>4.0899999999999999E-2</v>
      </c>
      <c r="G18" s="96">
        <f t="shared" si="0"/>
        <v>1027.8887500000001</v>
      </c>
    </row>
    <row r="19" spans="1:8" x14ac:dyDescent="0.25">
      <c r="A19" s="99"/>
      <c r="B19" s="94"/>
      <c r="C19" s="94"/>
      <c r="D19" s="94"/>
      <c r="E19" s="94">
        <f t="shared" si="1"/>
        <v>0</v>
      </c>
      <c r="F19" s="95"/>
      <c r="G19" s="96">
        <f t="shared" si="0"/>
        <v>0</v>
      </c>
    </row>
    <row r="20" spans="1:8" ht="15" customHeight="1" x14ac:dyDescent="0.25">
      <c r="A20" s="98" t="s">
        <v>728</v>
      </c>
      <c r="B20" s="66"/>
      <c r="C20" s="80"/>
      <c r="D20" s="80"/>
      <c r="E20" s="94">
        <f t="shared" si="1"/>
        <v>0</v>
      </c>
      <c r="F20" s="73"/>
      <c r="G20" s="68">
        <f t="shared" si="0"/>
        <v>0</v>
      </c>
    </row>
    <row r="21" spans="1:8" ht="15" customHeight="1" x14ac:dyDescent="0.25">
      <c r="A21" s="15"/>
      <c r="B21" s="66"/>
      <c r="C21" s="80"/>
      <c r="D21" s="80"/>
      <c r="E21" s="94">
        <f t="shared" si="1"/>
        <v>0</v>
      </c>
      <c r="F21" s="73"/>
      <c r="G21" s="68">
        <f t="shared" si="0"/>
        <v>0</v>
      </c>
    </row>
    <row r="22" spans="1:8" ht="15" customHeight="1" x14ac:dyDescent="0.25">
      <c r="A22" s="90"/>
      <c r="B22" s="66"/>
      <c r="C22" s="80"/>
      <c r="D22" s="80"/>
      <c r="E22" s="94">
        <f t="shared" si="1"/>
        <v>0</v>
      </c>
      <c r="F22" s="73"/>
      <c r="G22" s="68">
        <f t="shared" si="0"/>
        <v>0</v>
      </c>
    </row>
    <row r="23" spans="1:8" ht="15" x14ac:dyDescent="0.25">
      <c r="A23" s="2"/>
      <c r="B23" s="2"/>
      <c r="C23" s="2"/>
      <c r="D23" s="2"/>
      <c r="E23" s="2"/>
      <c r="F23" s="2"/>
      <c r="G23" s="2"/>
    </row>
    <row r="24" spans="1:8" ht="30" customHeight="1" x14ac:dyDescent="0.25">
      <c r="A24" s="106" t="s">
        <v>325</v>
      </c>
      <c r="B24" s="132" t="s">
        <v>11</v>
      </c>
      <c r="C24" s="132"/>
      <c r="D24" s="132"/>
      <c r="E24" s="132"/>
      <c r="F24" s="113">
        <f>SUM(G16:G22)</f>
        <v>3129.5412500000002</v>
      </c>
      <c r="G24" s="113"/>
    </row>
    <row r="25" spans="1:8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8" ht="15" x14ac:dyDescent="0.25">
      <c r="A26" s="2"/>
      <c r="B26" s="2"/>
      <c r="C26" s="2"/>
      <c r="D26" s="2"/>
      <c r="E26" s="2"/>
      <c r="F26" s="2"/>
      <c r="G26" s="2"/>
    </row>
    <row r="27" spans="1:8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8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8" ht="15" x14ac:dyDescent="0.25">
      <c r="A29" s="43" t="s">
        <v>134</v>
      </c>
      <c r="B29" s="41" t="s">
        <v>54</v>
      </c>
      <c r="C29" s="40">
        <f>IFERROR(VLOOKUP(B29,Liste!C1:D5,2,FALSE),"")</f>
        <v>2300</v>
      </c>
      <c r="D29" s="54">
        <f>IFERROR(C29/4.33,0)</f>
        <v>531.17782909930713</v>
      </c>
      <c r="H29" s="7"/>
    </row>
    <row r="30" spans="1:8" ht="15" x14ac:dyDescent="0.3">
      <c r="A30" s="43" t="s">
        <v>66</v>
      </c>
      <c r="B30" s="46" t="s">
        <v>39</v>
      </c>
      <c r="C30" s="40">
        <f>IFERROR(VLOOKUP(B30,Liste!$C$7:$D$15,2,FALSE),"")</f>
        <v>1000</v>
      </c>
      <c r="D30" s="54">
        <f>IFERROR(C30/4.33,0)</f>
        <v>230.94688221709006</v>
      </c>
      <c r="H30" s="7"/>
    </row>
    <row r="31" spans="1:8" ht="15" x14ac:dyDescent="0.3">
      <c r="A31" s="43" t="s">
        <v>67</v>
      </c>
      <c r="B31" s="46" t="s">
        <v>69</v>
      </c>
      <c r="C31" s="40" t="str">
        <f>IFERROR(VLOOKUP(B31,Liste!$C$7:$D$15,2,FALSE),"")</f>
        <v/>
      </c>
      <c r="D31" s="54">
        <f t="shared" ref="D31:D33" si="2">IFERROR(C31/4.33,0)</f>
        <v>0</v>
      </c>
      <c r="H31" s="7"/>
    </row>
    <row r="32" spans="1:8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2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2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1.3553999999999999</v>
      </c>
      <c r="D34" s="54">
        <f>(B11*D5/100)*C34</f>
        <v>702.76500557999998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0</v>
      </c>
      <c r="D35" s="54">
        <f>(D5*B11/100)*C35</f>
        <v>0</v>
      </c>
      <c r="H35" s="7"/>
    </row>
    <row r="36" spans="1:8" ht="15" x14ac:dyDescent="0.3">
      <c r="A36" s="43" t="s">
        <v>3</v>
      </c>
      <c r="B36" s="42"/>
      <c r="C36" s="65">
        <v>0.43090000000000001</v>
      </c>
      <c r="D36" s="54">
        <f>(D6*B11)*C36</f>
        <v>15.4981803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75.72</v>
      </c>
      <c r="E38" s="49"/>
      <c r="H38" s="7"/>
    </row>
    <row r="39" spans="1:8" ht="15" x14ac:dyDescent="0.25">
      <c r="A39" s="43" t="s">
        <v>13</v>
      </c>
      <c r="B39" s="41">
        <f>B12</f>
        <v>0</v>
      </c>
      <c r="C39" s="56">
        <v>5</v>
      </c>
      <c r="D39" s="54">
        <f>C39*B39</f>
        <v>0</v>
      </c>
      <c r="H39" s="7"/>
    </row>
    <row r="40" spans="1:8" ht="15" x14ac:dyDescent="0.25">
      <c r="A40" s="43" t="s">
        <v>14</v>
      </c>
      <c r="B40" s="48" t="s">
        <v>55</v>
      </c>
      <c r="C40" s="40">
        <v>1</v>
      </c>
      <c r="D40" s="40">
        <v>1051.97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2608.0778971963973</v>
      </c>
    </row>
    <row r="46" spans="1:8" x14ac:dyDescent="0.25">
      <c r="C46" s="6" t="s">
        <v>49</v>
      </c>
      <c r="D46" s="47">
        <f>F24-D45</f>
        <v>521.4633528036029</v>
      </c>
    </row>
    <row r="48" spans="1:8" ht="39" customHeight="1" x14ac:dyDescent="0.25">
      <c r="C48" s="58" t="s">
        <v>48</v>
      </c>
      <c r="D48" s="59">
        <f>D46/F24</f>
        <v>0.16662613180241764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83A5F15C-1245-4B4E-A6F9-868171CE50B4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2E7D2DB-6071-4076-8F9F-C1719A32D909}">
          <x14:formula1>
            <xm:f>Liste!$C$7:$C$16</xm:f>
          </x14:formula1>
          <xm:sqref>B30:B33</xm:sqref>
        </x14:dataValidation>
        <x14:dataValidation type="list" allowBlank="1" showInputMessage="1" showErrorMessage="1" xr:uid="{F74D3575-2155-4AE0-B2EB-2AA82957F614}">
          <x14:formula1>
            <xm:f>Liste!$A$24:$A$25</xm:f>
          </x14:formula1>
          <xm:sqref>B42</xm:sqref>
        </x14:dataValidation>
        <x14:dataValidation type="list" allowBlank="1" showInputMessage="1" showErrorMessage="1" xr:uid="{EACB421F-131F-46C2-A5E8-D9BA7B5D204E}">
          <x14:formula1>
            <xm:f>Liste!$A$21:$A$22</xm:f>
          </x14:formula1>
          <xm:sqref>B40</xm:sqref>
        </x14:dataValidation>
        <x14:dataValidation type="list" allowBlank="1" showInputMessage="1" showErrorMessage="1" xr:uid="{C8A16304-3456-4100-97DF-5C5D70ED5D3C}">
          <x14:formula1>
            <xm:f>Liste!$C$2:$C$5</xm:f>
          </x14:formula1>
          <xm:sqref>B29</xm:sqref>
        </x14:dataValidation>
      </x14:dataValidation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A8D9E-E46E-4388-BFC5-0A98BCF6FDCE}">
  <sheetPr>
    <tabColor theme="7" tint="0.39997558519241921"/>
  </sheetPr>
  <dimension ref="A1:I48"/>
  <sheetViews>
    <sheetView workbookViewId="0">
      <selection activeCell="J24" sqref="J24"/>
    </sheetView>
  </sheetViews>
  <sheetFormatPr baseColWidth="10" defaultColWidth="11.44140625" defaultRowHeight="13.2" x14ac:dyDescent="0.25"/>
  <cols>
    <col min="1" max="1" width="34" style="1" bestFit="1" customWidth="1"/>
    <col min="2" max="2" width="20.6640625" style="1" customWidth="1"/>
    <col min="3" max="3" width="22.44140625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9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9" x14ac:dyDescent="0.25">
      <c r="A3" s="126" t="s">
        <v>5</v>
      </c>
      <c r="B3" s="126"/>
      <c r="C3" s="126"/>
      <c r="D3" s="126"/>
      <c r="E3" s="126"/>
      <c r="F3" s="126"/>
      <c r="G3" s="126"/>
    </row>
    <row r="4" spans="1:9" ht="15" x14ac:dyDescent="0.25">
      <c r="A4" s="2"/>
      <c r="B4" s="5" t="s">
        <v>10</v>
      </c>
      <c r="D4" s="11" t="s">
        <v>12</v>
      </c>
      <c r="F4" s="129" t="s">
        <v>15</v>
      </c>
      <c r="G4" s="130" t="s">
        <v>688</v>
      </c>
    </row>
    <row r="5" spans="1:9" ht="15" x14ac:dyDescent="0.25">
      <c r="A5" s="5" t="s">
        <v>8</v>
      </c>
      <c r="B5" s="10" t="s">
        <v>473</v>
      </c>
      <c r="C5" s="10"/>
      <c r="D5" s="17">
        <v>26.23</v>
      </c>
      <c r="E5" s="6"/>
      <c r="F5" s="129"/>
      <c r="G5" s="131"/>
    </row>
    <row r="6" spans="1:9" ht="15" x14ac:dyDescent="0.25">
      <c r="A6" s="5" t="s">
        <v>9</v>
      </c>
      <c r="B6" s="10" t="s">
        <v>472</v>
      </c>
      <c r="C6" s="10" t="s">
        <v>474</v>
      </c>
      <c r="D6" s="6">
        <v>1.9E-2</v>
      </c>
      <c r="F6" s="2"/>
      <c r="G6" s="2"/>
    </row>
    <row r="7" spans="1:9" ht="15" x14ac:dyDescent="0.25">
      <c r="A7" s="5" t="s">
        <v>16</v>
      </c>
      <c r="B7" s="12" t="s">
        <v>475</v>
      </c>
      <c r="C7" s="12" t="s">
        <v>476</v>
      </c>
      <c r="D7" s="63"/>
    </row>
    <row r="8" spans="1:9" ht="15" x14ac:dyDescent="0.25">
      <c r="A8" s="11" t="s">
        <v>71</v>
      </c>
      <c r="B8" s="18">
        <v>67.69</v>
      </c>
      <c r="C8" s="18">
        <v>52.65</v>
      </c>
    </row>
    <row r="9" spans="1:9" x14ac:dyDescent="0.25">
      <c r="A9" s="11" t="s">
        <v>72</v>
      </c>
      <c r="B9" s="77">
        <v>35.29</v>
      </c>
      <c r="C9" s="77">
        <v>48.75</v>
      </c>
    </row>
    <row r="10" spans="1:9" ht="15" x14ac:dyDescent="0.25">
      <c r="A10" s="5"/>
      <c r="B10" s="11" t="s">
        <v>70</v>
      </c>
      <c r="C10" s="2"/>
      <c r="D10" s="2"/>
      <c r="G10" s="11" t="s">
        <v>61</v>
      </c>
    </row>
    <row r="11" spans="1:9" ht="15" x14ac:dyDescent="0.25">
      <c r="B11" s="17">
        <f>2650+1297</f>
        <v>3947</v>
      </c>
      <c r="C11" s="2"/>
      <c r="D11" s="2"/>
      <c r="G11" s="18">
        <v>0</v>
      </c>
    </row>
    <row r="12" spans="1:9" ht="15" x14ac:dyDescent="0.25">
      <c r="A12" s="5" t="s">
        <v>62</v>
      </c>
      <c r="B12" s="17">
        <v>110.78</v>
      </c>
      <c r="C12" s="74"/>
      <c r="D12" s="2"/>
      <c r="E12" s="2"/>
      <c r="F12" s="53" t="s">
        <v>55</v>
      </c>
      <c r="G12" s="53" t="s">
        <v>56</v>
      </c>
    </row>
    <row r="13" spans="1:9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9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9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9" x14ac:dyDescent="0.25">
      <c r="A16" s="15" t="s">
        <v>477</v>
      </c>
      <c r="B16" s="66" t="s">
        <v>208</v>
      </c>
      <c r="C16" s="66">
        <v>197.5</v>
      </c>
      <c r="D16" s="66">
        <v>5</v>
      </c>
      <c r="E16" s="97">
        <f>C16*D16</f>
        <v>987.5</v>
      </c>
      <c r="F16" s="73">
        <v>4.0899999999999999E-2</v>
      </c>
      <c r="G16" s="68">
        <f t="shared" ref="G16:G22" si="0">(E16*F16)+E16</f>
        <v>1027.8887500000001</v>
      </c>
      <c r="I16" s="49"/>
    </row>
    <row r="17" spans="1:8" x14ac:dyDescent="0.25">
      <c r="A17" s="90" t="s">
        <v>478</v>
      </c>
      <c r="B17" s="66" t="s">
        <v>208</v>
      </c>
      <c r="C17" s="66">
        <v>430</v>
      </c>
      <c r="D17" s="66">
        <v>5</v>
      </c>
      <c r="E17" s="97">
        <f t="shared" ref="E17:E22" si="1">C17*D17</f>
        <v>2150</v>
      </c>
      <c r="F17" s="73">
        <v>0</v>
      </c>
      <c r="G17" s="68">
        <f t="shared" si="0"/>
        <v>2150</v>
      </c>
    </row>
    <row r="18" spans="1:8" x14ac:dyDescent="0.25">
      <c r="A18" s="15" t="s">
        <v>294</v>
      </c>
      <c r="B18" s="66" t="s">
        <v>208</v>
      </c>
      <c r="C18" s="66">
        <v>570</v>
      </c>
      <c r="D18" s="66">
        <v>5</v>
      </c>
      <c r="E18" s="66">
        <f t="shared" si="1"/>
        <v>2850</v>
      </c>
      <c r="F18" s="73">
        <v>5.2499999999999998E-2</v>
      </c>
      <c r="G18" s="68">
        <f t="shared" si="0"/>
        <v>2999.625</v>
      </c>
    </row>
    <row r="19" spans="1:8" x14ac:dyDescent="0.25">
      <c r="A19" s="93" t="s">
        <v>729</v>
      </c>
      <c r="B19" s="94" t="s">
        <v>258</v>
      </c>
      <c r="C19" s="94">
        <v>200</v>
      </c>
      <c r="D19" s="94">
        <v>1</v>
      </c>
      <c r="E19" s="94">
        <f t="shared" si="1"/>
        <v>200</v>
      </c>
      <c r="F19" s="94">
        <v>3.5</v>
      </c>
      <c r="G19" s="96">
        <f>F19+E19</f>
        <v>203.5</v>
      </c>
    </row>
    <row r="20" spans="1:8" ht="15" customHeight="1" x14ac:dyDescent="0.25">
      <c r="A20" s="90" t="s">
        <v>459</v>
      </c>
      <c r="B20" s="66" t="s">
        <v>258</v>
      </c>
      <c r="C20" s="80">
        <v>2.0588000000000002</v>
      </c>
      <c r="D20" s="80">
        <f>68+138</f>
        <v>206</v>
      </c>
      <c r="E20" s="68">
        <f t="shared" si="1"/>
        <v>424.11280000000005</v>
      </c>
      <c r="F20" s="73">
        <v>0</v>
      </c>
      <c r="G20" s="68">
        <f t="shared" si="0"/>
        <v>424.11280000000005</v>
      </c>
    </row>
    <row r="21" spans="1:8" ht="15" customHeight="1" x14ac:dyDescent="0.25">
      <c r="A21" s="79" t="s">
        <v>479</v>
      </c>
      <c r="B21" s="66"/>
      <c r="C21" s="80"/>
      <c r="D21" s="80"/>
      <c r="E21" s="94">
        <f t="shared" si="1"/>
        <v>0</v>
      </c>
      <c r="F21" s="73"/>
      <c r="G21" s="68">
        <f t="shared" si="0"/>
        <v>0</v>
      </c>
    </row>
    <row r="22" spans="1:8" ht="15" customHeight="1" x14ac:dyDescent="0.25">
      <c r="A22" s="90"/>
      <c r="B22" s="66"/>
      <c r="C22" s="80"/>
      <c r="D22" s="80"/>
      <c r="E22" s="94">
        <f t="shared" si="1"/>
        <v>0</v>
      </c>
      <c r="F22" s="73"/>
      <c r="G22" s="68">
        <f t="shared" si="0"/>
        <v>0</v>
      </c>
    </row>
    <row r="23" spans="1:8" ht="15" x14ac:dyDescent="0.25">
      <c r="A23" s="2"/>
      <c r="B23" s="2"/>
      <c r="C23" s="2"/>
      <c r="D23" s="2"/>
      <c r="E23" s="2"/>
      <c r="F23" s="2"/>
      <c r="G23" s="2"/>
    </row>
    <row r="24" spans="1:8" ht="30" customHeight="1" x14ac:dyDescent="0.25">
      <c r="A24" s="106" t="s">
        <v>326</v>
      </c>
      <c r="B24" s="132" t="s">
        <v>11</v>
      </c>
      <c r="C24" s="132"/>
      <c r="D24" s="132"/>
      <c r="E24" s="132"/>
      <c r="F24" s="113">
        <f>SUM(G16:G22)</f>
        <v>6805.12655</v>
      </c>
      <c r="G24" s="113"/>
    </row>
    <row r="25" spans="1:8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8" ht="15" x14ac:dyDescent="0.25">
      <c r="A26" s="2"/>
      <c r="B26" s="2"/>
      <c r="C26" s="2"/>
      <c r="D26" s="2"/>
      <c r="E26" s="2"/>
      <c r="F26" s="2"/>
      <c r="G26" s="2"/>
    </row>
    <row r="27" spans="1:8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8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8" ht="15" x14ac:dyDescent="0.25">
      <c r="A29" s="43" t="s">
        <v>134</v>
      </c>
      <c r="B29" s="41" t="s">
        <v>54</v>
      </c>
      <c r="C29" s="40">
        <f>IFERROR(VLOOKUP(B29,Liste!C1:D5,2,FALSE),"")</f>
        <v>2300</v>
      </c>
      <c r="D29" s="54">
        <f>IFERROR(C29/4.33,0)</f>
        <v>531.17782909930713</v>
      </c>
      <c r="H29" s="7"/>
    </row>
    <row r="30" spans="1:8" ht="15" x14ac:dyDescent="0.3">
      <c r="A30" s="43" t="s">
        <v>66</v>
      </c>
      <c r="B30" s="46" t="s">
        <v>39</v>
      </c>
      <c r="C30" s="40">
        <f>IFERROR(VLOOKUP(B30,Liste!$C$7:$D$15,2,FALSE),"")</f>
        <v>1000</v>
      </c>
      <c r="D30" s="54">
        <f>IFERROR(C30/4.33,0)</f>
        <v>230.94688221709006</v>
      </c>
      <c r="H30" s="7"/>
    </row>
    <row r="31" spans="1:8" ht="15" x14ac:dyDescent="0.3">
      <c r="A31" s="43" t="s">
        <v>67</v>
      </c>
      <c r="B31" s="46" t="s">
        <v>35</v>
      </c>
      <c r="C31" s="40">
        <f>IFERROR(VLOOKUP(B31,Liste!$C$7:$D$15,2,FALSE),"")</f>
        <v>1200</v>
      </c>
      <c r="D31" s="54">
        <f t="shared" ref="D31:D33" si="2">IFERROR(C31/4.33,0)</f>
        <v>277.13625866050808</v>
      </c>
      <c r="H31" s="7"/>
    </row>
    <row r="32" spans="1:8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2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2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1.3553999999999999</v>
      </c>
      <c r="D34" s="54">
        <f>(B11*D5/100)*C34</f>
        <v>1403.24304474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0</v>
      </c>
      <c r="D35" s="54">
        <f>(D5*B11/100)*C35</f>
        <v>0</v>
      </c>
      <c r="H35" s="7"/>
    </row>
    <row r="36" spans="1:8" ht="15" x14ac:dyDescent="0.3">
      <c r="A36" s="43" t="s">
        <v>3</v>
      </c>
      <c r="B36" s="42"/>
      <c r="C36" s="65">
        <v>0.43090000000000001</v>
      </c>
      <c r="D36" s="54">
        <f>(D6*B11)*C36</f>
        <v>32.314483699999997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157.88</v>
      </c>
      <c r="E38" s="49"/>
      <c r="H38" s="7"/>
    </row>
    <row r="39" spans="1:8" ht="15" x14ac:dyDescent="0.25">
      <c r="A39" s="43" t="s">
        <v>13</v>
      </c>
      <c r="B39" s="41">
        <f>B12</f>
        <v>110.78</v>
      </c>
      <c r="C39" s="56">
        <v>5</v>
      </c>
      <c r="D39" s="54">
        <f>C39*B39</f>
        <v>553.9</v>
      </c>
      <c r="H39" s="7"/>
    </row>
    <row r="40" spans="1:8" ht="15" x14ac:dyDescent="0.25">
      <c r="A40" s="43" t="s">
        <v>14</v>
      </c>
      <c r="B40" s="48" t="s">
        <v>55</v>
      </c>
      <c r="C40" s="40">
        <v>2</v>
      </c>
      <c r="D40" s="40">
        <f>1000+559.12</f>
        <v>1559.12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4745.7184984169053</v>
      </c>
    </row>
    <row r="46" spans="1:8" x14ac:dyDescent="0.25">
      <c r="C46" s="6" t="s">
        <v>49</v>
      </c>
      <c r="D46" s="47">
        <f>F24-D45</f>
        <v>2059.4080515830947</v>
      </c>
    </row>
    <row r="48" spans="1:8" ht="39" customHeight="1" x14ac:dyDescent="0.25">
      <c r="C48" s="58" t="s">
        <v>48</v>
      </c>
      <c r="D48" s="59">
        <f>D46/F24</f>
        <v>0.30262597417576237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19514B44-84F1-4D6D-92B4-A5EADACEE57A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10B9F6F-BDB4-4F2C-884F-5C779D5C2E9C}">
          <x14:formula1>
            <xm:f>Liste!$C$7:$C$16</xm:f>
          </x14:formula1>
          <xm:sqref>B30:B33</xm:sqref>
        </x14:dataValidation>
        <x14:dataValidation type="list" allowBlank="1" showInputMessage="1" showErrorMessage="1" xr:uid="{B39EFDAF-D395-4CFB-808F-FF7E78744E07}">
          <x14:formula1>
            <xm:f>Liste!$A$24:$A$25</xm:f>
          </x14:formula1>
          <xm:sqref>B42</xm:sqref>
        </x14:dataValidation>
        <x14:dataValidation type="list" allowBlank="1" showInputMessage="1" showErrorMessage="1" xr:uid="{F894A069-D964-4DA3-8195-58916E235C2A}">
          <x14:formula1>
            <xm:f>Liste!$A$21:$A$22</xm:f>
          </x14:formula1>
          <xm:sqref>B40</xm:sqref>
        </x14:dataValidation>
        <x14:dataValidation type="list" allowBlank="1" showInputMessage="1" showErrorMessage="1" xr:uid="{D9EC0C19-916B-476E-8060-EDC1D4CFE9C0}">
          <x14:formula1>
            <xm:f>Liste!$C$2:$C$5</xm:f>
          </x14:formula1>
          <xm:sqref>B29</xm:sqref>
        </x14:dataValidation>
      </x14:dataValidation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7A4B-2281-44B1-B7C7-54C442BC4C26}">
  <sheetPr>
    <tabColor theme="7" tint="0.39997558519241921"/>
  </sheetPr>
  <dimension ref="A1:I49"/>
  <sheetViews>
    <sheetView workbookViewId="0">
      <selection activeCell="D11" sqref="D11"/>
    </sheetView>
  </sheetViews>
  <sheetFormatPr baseColWidth="10" defaultColWidth="11.44140625" defaultRowHeight="13.2" x14ac:dyDescent="0.25"/>
  <cols>
    <col min="1" max="1" width="34" style="1" bestFit="1" customWidth="1"/>
    <col min="2" max="2" width="20.6640625" style="1" customWidth="1"/>
    <col min="3" max="3" width="22.44140625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9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9" x14ac:dyDescent="0.25">
      <c r="A3" s="126" t="s">
        <v>5</v>
      </c>
      <c r="B3" s="126"/>
      <c r="C3" s="126"/>
      <c r="D3" s="126"/>
      <c r="E3" s="126"/>
      <c r="F3" s="126"/>
      <c r="G3" s="126"/>
    </row>
    <row r="4" spans="1:9" ht="15" x14ac:dyDescent="0.25">
      <c r="A4" s="2"/>
      <c r="B4" s="5" t="s">
        <v>10</v>
      </c>
      <c r="D4" s="11" t="s">
        <v>12</v>
      </c>
      <c r="F4" s="129" t="s">
        <v>15</v>
      </c>
      <c r="G4" s="130" t="s">
        <v>688</v>
      </c>
    </row>
    <row r="5" spans="1:9" ht="15" x14ac:dyDescent="0.25">
      <c r="A5" s="5" t="s">
        <v>8</v>
      </c>
      <c r="B5" s="10" t="s">
        <v>481</v>
      </c>
      <c r="C5" s="10"/>
      <c r="D5" s="17">
        <v>34.14</v>
      </c>
      <c r="E5" s="6"/>
      <c r="F5" s="129"/>
      <c r="G5" s="131"/>
    </row>
    <row r="6" spans="1:9" ht="15" x14ac:dyDescent="0.25">
      <c r="A6" s="5" t="s">
        <v>9</v>
      </c>
      <c r="B6" s="10" t="s">
        <v>472</v>
      </c>
      <c r="C6" s="10"/>
      <c r="D6" s="6">
        <v>1.9E-2</v>
      </c>
      <c r="F6" s="2"/>
      <c r="G6" s="2"/>
    </row>
    <row r="7" spans="1:9" ht="15" x14ac:dyDescent="0.25">
      <c r="A7" s="5" t="s">
        <v>16</v>
      </c>
      <c r="B7" s="12" t="s">
        <v>482</v>
      </c>
      <c r="C7" s="12" t="s">
        <v>730</v>
      </c>
      <c r="D7" s="63"/>
    </row>
    <row r="8" spans="1:9" ht="15" x14ac:dyDescent="0.25">
      <c r="A8" s="11" t="s">
        <v>71</v>
      </c>
      <c r="B8" s="18">
        <v>69.28</v>
      </c>
      <c r="C8" s="18">
        <v>55.31</v>
      </c>
    </row>
    <row r="9" spans="1:9" x14ac:dyDescent="0.25">
      <c r="A9" s="11" t="s">
        <v>72</v>
      </c>
      <c r="B9" s="77">
        <v>34.89</v>
      </c>
      <c r="C9" s="77">
        <v>33.4</v>
      </c>
    </row>
    <row r="10" spans="1:9" ht="15" x14ac:dyDescent="0.25">
      <c r="A10" s="5"/>
      <c r="B10" s="11" t="s">
        <v>70</v>
      </c>
      <c r="C10" s="2"/>
      <c r="D10" s="2"/>
      <c r="G10" s="11" t="s">
        <v>61</v>
      </c>
    </row>
    <row r="11" spans="1:9" ht="15" x14ac:dyDescent="0.25">
      <c r="B11" s="17">
        <f>957+993</f>
        <v>1950</v>
      </c>
      <c r="C11" s="2"/>
      <c r="D11" s="2"/>
      <c r="G11" s="18">
        <v>0</v>
      </c>
    </row>
    <row r="12" spans="1:9" ht="15" x14ac:dyDescent="0.25">
      <c r="A12" s="5" t="s">
        <v>62</v>
      </c>
      <c r="B12" s="17">
        <v>0</v>
      </c>
      <c r="C12" s="74"/>
      <c r="D12" s="2"/>
      <c r="E12" s="2"/>
      <c r="F12" s="53" t="s">
        <v>55</v>
      </c>
      <c r="G12" s="53" t="s">
        <v>56</v>
      </c>
    </row>
    <row r="13" spans="1:9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9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9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9" x14ac:dyDescent="0.25">
      <c r="A16" s="15" t="s">
        <v>483</v>
      </c>
      <c r="B16" s="66" t="s">
        <v>208</v>
      </c>
      <c r="C16" s="66">
        <v>121.45</v>
      </c>
      <c r="D16" s="66">
        <v>6</v>
      </c>
      <c r="E16" s="97">
        <f>C16*D16</f>
        <v>728.7</v>
      </c>
      <c r="F16" s="73">
        <v>3.9774999999999998E-2</v>
      </c>
      <c r="G16" s="68">
        <f t="shared" ref="G16:G23" si="0">(E16*F16)+E16</f>
        <v>757.68404250000003</v>
      </c>
      <c r="I16" s="49"/>
    </row>
    <row r="17" spans="1:8" x14ac:dyDescent="0.25">
      <c r="A17" s="90" t="s">
        <v>484</v>
      </c>
      <c r="B17" s="66" t="s">
        <v>208</v>
      </c>
      <c r="C17" s="66">
        <v>183.01</v>
      </c>
      <c r="D17" s="66">
        <v>6</v>
      </c>
      <c r="E17" s="97">
        <f t="shared" ref="E17:E23" si="1">C17*D17</f>
        <v>1098.06</v>
      </c>
      <c r="F17" s="73">
        <v>3.9774999999999998E-2</v>
      </c>
      <c r="G17" s="68">
        <f t="shared" si="0"/>
        <v>1141.7353364999999</v>
      </c>
    </row>
    <row r="18" spans="1:8" x14ac:dyDescent="0.25">
      <c r="A18" s="15" t="s">
        <v>485</v>
      </c>
      <c r="B18" s="66" t="s">
        <v>208</v>
      </c>
      <c r="C18" s="66">
        <v>186.69</v>
      </c>
      <c r="D18" s="66">
        <v>6</v>
      </c>
      <c r="E18" s="66">
        <f t="shared" si="1"/>
        <v>1120.1399999999999</v>
      </c>
      <c r="F18" s="73">
        <v>3.9774999999999998E-2</v>
      </c>
      <c r="G18" s="68">
        <f t="shared" si="0"/>
        <v>1164.6935684999999</v>
      </c>
    </row>
    <row r="19" spans="1:8" x14ac:dyDescent="0.25">
      <c r="A19" s="93" t="s">
        <v>486</v>
      </c>
      <c r="B19" s="66" t="s">
        <v>208</v>
      </c>
      <c r="C19" s="94">
        <v>198.79</v>
      </c>
      <c r="D19" s="66">
        <v>5</v>
      </c>
      <c r="E19" s="94">
        <f t="shared" si="1"/>
        <v>993.94999999999993</v>
      </c>
      <c r="F19" s="73">
        <v>3.9774999999999998E-2</v>
      </c>
      <c r="G19" s="96">
        <f t="shared" si="0"/>
        <v>1033.4843612499999</v>
      </c>
    </row>
    <row r="20" spans="1:8" ht="15" customHeight="1" x14ac:dyDescent="0.25">
      <c r="A20" s="90" t="s">
        <v>487</v>
      </c>
      <c r="B20" s="66" t="s">
        <v>208</v>
      </c>
      <c r="C20" s="80">
        <v>177.33</v>
      </c>
      <c r="D20" s="66">
        <v>5</v>
      </c>
      <c r="E20" s="94">
        <f t="shared" si="1"/>
        <v>886.65000000000009</v>
      </c>
      <c r="F20" s="73">
        <v>3.9774999999999998E-2</v>
      </c>
      <c r="G20" s="68">
        <f t="shared" si="0"/>
        <v>921.91650375000006</v>
      </c>
    </row>
    <row r="21" spans="1:8" ht="15" customHeight="1" x14ac:dyDescent="0.25">
      <c r="A21" s="90" t="s">
        <v>488</v>
      </c>
      <c r="B21" s="66" t="s">
        <v>208</v>
      </c>
      <c r="C21" s="80">
        <v>102.8</v>
      </c>
      <c r="D21" s="66">
        <v>5</v>
      </c>
      <c r="E21" s="94">
        <f t="shared" si="1"/>
        <v>514</v>
      </c>
      <c r="F21" s="73">
        <v>4.7730000000000002E-2</v>
      </c>
      <c r="G21" s="68">
        <f t="shared" si="0"/>
        <v>538.53322000000003</v>
      </c>
    </row>
    <row r="22" spans="1:8" ht="15" customHeight="1" x14ac:dyDescent="0.25">
      <c r="A22" s="90" t="s">
        <v>732</v>
      </c>
      <c r="B22" s="66" t="s">
        <v>258</v>
      </c>
      <c r="C22" s="80">
        <v>295</v>
      </c>
      <c r="D22" s="66">
        <v>1</v>
      </c>
      <c r="E22" s="94">
        <f t="shared" si="1"/>
        <v>295</v>
      </c>
      <c r="F22" s="73">
        <v>0</v>
      </c>
      <c r="G22" s="68">
        <f t="shared" si="0"/>
        <v>295</v>
      </c>
    </row>
    <row r="23" spans="1:8" ht="15" customHeight="1" x14ac:dyDescent="0.25">
      <c r="A23" s="90" t="s">
        <v>731</v>
      </c>
      <c r="B23" s="66" t="s">
        <v>258</v>
      </c>
      <c r="C23" s="80">
        <v>100.67</v>
      </c>
      <c r="D23" s="80">
        <v>1</v>
      </c>
      <c r="E23" s="94">
        <f t="shared" si="1"/>
        <v>100.67</v>
      </c>
      <c r="F23" s="73">
        <v>4.2709999999999998E-2</v>
      </c>
      <c r="G23" s="68">
        <f t="shared" si="0"/>
        <v>104.96961570000001</v>
      </c>
    </row>
    <row r="24" spans="1:8" ht="15" x14ac:dyDescent="0.25">
      <c r="A24" s="2"/>
      <c r="B24" s="2"/>
      <c r="C24" s="2"/>
      <c r="D24" s="2"/>
      <c r="E24" s="2"/>
      <c r="F24" s="2"/>
      <c r="G24" s="2"/>
    </row>
    <row r="25" spans="1:8" ht="30" customHeight="1" x14ac:dyDescent="0.25">
      <c r="A25" s="106" t="s">
        <v>327</v>
      </c>
      <c r="B25" s="132" t="s">
        <v>11</v>
      </c>
      <c r="C25" s="132"/>
      <c r="D25" s="132"/>
      <c r="E25" s="132"/>
      <c r="F25" s="113">
        <f>SUM(G16:G23)</f>
        <v>5958.0166481999995</v>
      </c>
      <c r="G25" s="113"/>
    </row>
    <row r="26" spans="1:8" ht="18" x14ac:dyDescent="0.35">
      <c r="A26" s="86" t="s">
        <v>371</v>
      </c>
      <c r="B26" s="2"/>
      <c r="C26" s="2"/>
      <c r="D26" s="2"/>
      <c r="E26" s="9"/>
      <c r="F26" s="2"/>
      <c r="G26" s="2"/>
    </row>
    <row r="27" spans="1:8" ht="15" x14ac:dyDescent="0.25">
      <c r="A27" s="2"/>
      <c r="B27" s="2"/>
      <c r="C27" s="2"/>
      <c r="D27" s="2"/>
      <c r="E27" s="2"/>
      <c r="F27" s="2"/>
      <c r="G27" s="2"/>
    </row>
    <row r="28" spans="1:8" x14ac:dyDescent="0.25">
      <c r="A28" s="126" t="s">
        <v>0</v>
      </c>
      <c r="B28" s="126"/>
      <c r="C28" s="126"/>
      <c r="D28" s="126"/>
      <c r="E28" s="126"/>
      <c r="F28" s="126"/>
      <c r="G28" s="126"/>
    </row>
    <row r="29" spans="1:8" ht="26.25" customHeight="1" x14ac:dyDescent="0.25">
      <c r="A29" s="3"/>
      <c r="B29" s="6" t="s">
        <v>45</v>
      </c>
      <c r="C29" s="39" t="s">
        <v>63</v>
      </c>
      <c r="D29" s="39" t="s">
        <v>46</v>
      </c>
      <c r="E29" s="4"/>
      <c r="F29" s="4"/>
      <c r="G29" s="4"/>
      <c r="H29" s="8"/>
    </row>
    <row r="30" spans="1:8" ht="15" x14ac:dyDescent="0.25">
      <c r="A30" s="43" t="s">
        <v>134</v>
      </c>
      <c r="B30" s="41" t="s">
        <v>193</v>
      </c>
      <c r="C30" s="40">
        <f>IFERROR(VLOOKUP(B30,Liste!C1:D5,2,FALSE),"")</f>
        <v>2500</v>
      </c>
      <c r="D30" s="54">
        <f>IFERROR(C30/4.33,0)</f>
        <v>577.36720554272517</v>
      </c>
      <c r="H30" s="7"/>
    </row>
    <row r="31" spans="1:8" ht="15" x14ac:dyDescent="0.3">
      <c r="A31" s="43" t="s">
        <v>66</v>
      </c>
      <c r="B31" s="46" t="s">
        <v>39</v>
      </c>
      <c r="C31" s="40">
        <f>IFERROR(VLOOKUP(B31,Liste!$C$7:$D$15,2,FALSE),"")</f>
        <v>1000</v>
      </c>
      <c r="D31" s="54">
        <f>IFERROR(C31/4.33,0)</f>
        <v>230.94688221709006</v>
      </c>
      <c r="H31" s="7"/>
    </row>
    <row r="32" spans="1:8" ht="15" x14ac:dyDescent="0.3">
      <c r="A32" s="43" t="s">
        <v>67</v>
      </c>
      <c r="B32" s="46" t="s">
        <v>69</v>
      </c>
      <c r="C32" s="40" t="str">
        <f>IFERROR(VLOOKUP(B32,Liste!$C$7:$D$15,2,FALSE),"")</f>
        <v/>
      </c>
      <c r="D32" s="54">
        <f t="shared" ref="D32:D34" si="2">IFERROR(C32/4.33,0)</f>
        <v>0</v>
      </c>
      <c r="H32" s="7"/>
    </row>
    <row r="33" spans="1:8" ht="15" x14ac:dyDescent="0.3">
      <c r="A33" s="43" t="s">
        <v>68</v>
      </c>
      <c r="B33" s="46" t="s">
        <v>69</v>
      </c>
      <c r="C33" s="40" t="str">
        <f>IFERROR(VLOOKUP(B33,Liste!$C$7:$D$15,2,FALSE),"")</f>
        <v/>
      </c>
      <c r="D33" s="54">
        <f t="shared" si="2"/>
        <v>0</v>
      </c>
      <c r="H33" s="7"/>
    </row>
    <row r="34" spans="1:8" ht="15" x14ac:dyDescent="0.3">
      <c r="A34" s="43" t="s">
        <v>73</v>
      </c>
      <c r="B34" s="46" t="s">
        <v>69</v>
      </c>
      <c r="C34" s="40" t="str">
        <f>IFERROR(VLOOKUP(B34,Liste!$C$7:$D$15,2,FALSE),"")</f>
        <v/>
      </c>
      <c r="D34" s="54">
        <f t="shared" si="2"/>
        <v>0</v>
      </c>
      <c r="H34" s="7"/>
    </row>
    <row r="35" spans="1:8" ht="15" x14ac:dyDescent="0.25">
      <c r="A35" s="43" t="s">
        <v>2</v>
      </c>
      <c r="B35" s="41" t="s">
        <v>32</v>
      </c>
      <c r="C35" s="65">
        <v>0</v>
      </c>
      <c r="D35" s="54">
        <f>(B11*D5/100)*C35</f>
        <v>0</v>
      </c>
      <c r="E35" s="49"/>
      <c r="H35" s="7"/>
    </row>
    <row r="36" spans="1:8" ht="15" x14ac:dyDescent="0.25">
      <c r="A36" s="43" t="s">
        <v>2</v>
      </c>
      <c r="B36" s="41" t="s">
        <v>34</v>
      </c>
      <c r="C36" s="48">
        <v>1.365</v>
      </c>
      <c r="D36" s="54">
        <f>(D5*B11/100)*C36</f>
        <v>908.72145</v>
      </c>
      <c r="H36" s="7"/>
    </row>
    <row r="37" spans="1:8" ht="15" x14ac:dyDescent="0.3">
      <c r="A37" s="43" t="s">
        <v>3</v>
      </c>
      <c r="B37" s="42"/>
      <c r="C37" s="65">
        <v>0</v>
      </c>
      <c r="D37" s="54">
        <f>(D6*B11)*C37</f>
        <v>0</v>
      </c>
      <c r="H37" s="7"/>
    </row>
    <row r="38" spans="1:8" ht="15" x14ac:dyDescent="0.3">
      <c r="A38" s="43" t="s">
        <v>4</v>
      </c>
      <c r="B38" s="42"/>
      <c r="C38" s="48">
        <v>1.1225000000000001</v>
      </c>
      <c r="D38" s="55"/>
      <c r="H38" s="7"/>
    </row>
    <row r="39" spans="1:8" ht="30" x14ac:dyDescent="0.3">
      <c r="A39" s="43" t="s">
        <v>52</v>
      </c>
      <c r="B39" s="42"/>
      <c r="C39" s="44">
        <v>0.04</v>
      </c>
      <c r="D39" s="54">
        <f>C39*B11</f>
        <v>78</v>
      </c>
      <c r="E39" s="49"/>
      <c r="H39" s="7"/>
    </row>
    <row r="40" spans="1:8" ht="15" x14ac:dyDescent="0.25">
      <c r="A40" s="43" t="s">
        <v>13</v>
      </c>
      <c r="B40" s="41">
        <f>B12</f>
        <v>0</v>
      </c>
      <c r="C40" s="56">
        <v>5</v>
      </c>
      <c r="D40" s="54">
        <f>C40*B40</f>
        <v>0</v>
      </c>
      <c r="H40" s="7"/>
    </row>
    <row r="41" spans="1:8" ht="15" x14ac:dyDescent="0.25">
      <c r="A41" s="43" t="s">
        <v>14</v>
      </c>
      <c r="B41" s="48" t="s">
        <v>55</v>
      </c>
      <c r="C41" s="40">
        <v>2</v>
      </c>
      <c r="D41" s="40">
        <f>961.21+1072.04</f>
        <v>2033.25</v>
      </c>
      <c r="E41" s="49"/>
      <c r="H41" s="7"/>
    </row>
    <row r="42" spans="1:8" ht="15" x14ac:dyDescent="0.3">
      <c r="A42" s="43" t="s">
        <v>60</v>
      </c>
      <c r="B42" s="42"/>
      <c r="C42" s="42"/>
      <c r="D42" s="54">
        <f>G11</f>
        <v>0</v>
      </c>
      <c r="E42" s="49"/>
      <c r="H42" s="7"/>
    </row>
    <row r="43" spans="1:8" ht="15" x14ac:dyDescent="0.25">
      <c r="A43" s="43" t="s">
        <v>1</v>
      </c>
      <c r="B43" s="48" t="s">
        <v>65</v>
      </c>
      <c r="C43" s="40">
        <f>IF(B43=Liste!A24,Liste!B18,0)</f>
        <v>0</v>
      </c>
      <c r="D43" s="54">
        <f>C43/4.33</f>
        <v>0</v>
      </c>
      <c r="H43" s="7"/>
    </row>
    <row r="44" spans="1:8" ht="15" x14ac:dyDescent="0.3">
      <c r="A44" s="45" t="s">
        <v>50</v>
      </c>
      <c r="B44" s="42"/>
      <c r="C44" s="40">
        <v>0</v>
      </c>
      <c r="D44" s="54">
        <v>0</v>
      </c>
      <c r="H44" s="7"/>
    </row>
    <row r="45" spans="1:8" ht="15" customHeight="1" x14ac:dyDescent="0.25">
      <c r="A45" s="50"/>
      <c r="B45" s="51"/>
      <c r="C45" s="52"/>
    </row>
    <row r="46" spans="1:8" x14ac:dyDescent="0.25">
      <c r="C46" s="6" t="s">
        <v>47</v>
      </c>
      <c r="D46" s="47">
        <f>SUM(D30:D44)</f>
        <v>3828.2855377598153</v>
      </c>
    </row>
    <row r="47" spans="1:8" x14ac:dyDescent="0.25">
      <c r="C47" s="6" t="s">
        <v>49</v>
      </c>
      <c r="D47" s="47">
        <f>F25-D46</f>
        <v>2129.7311104401842</v>
      </c>
    </row>
    <row r="49" spans="3:4" ht="39" customHeight="1" x14ac:dyDescent="0.25">
      <c r="C49" s="58" t="s">
        <v>48</v>
      </c>
      <c r="D49" s="59">
        <f>D47/F25</f>
        <v>0.35745638795480805</v>
      </c>
    </row>
  </sheetData>
  <mergeCells count="6">
    <mergeCell ref="A28:G28"/>
    <mergeCell ref="A1:G1"/>
    <mergeCell ref="A3:G3"/>
    <mergeCell ref="F4:F5"/>
    <mergeCell ref="G4:G5"/>
    <mergeCell ref="B25:E25"/>
  </mergeCells>
  <hyperlinks>
    <hyperlink ref="A26" location="Sommaire!A1" display="SOMMAIRE" xr:uid="{4BF2DE76-06D4-4146-A31D-FBC2BDE093F2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758AC30-CFEA-4419-91E7-2E2563FC6C32}">
          <x14:formula1>
            <xm:f>Liste!$C$2:$C$5</xm:f>
          </x14:formula1>
          <xm:sqref>B30</xm:sqref>
        </x14:dataValidation>
        <x14:dataValidation type="list" allowBlank="1" showInputMessage="1" showErrorMessage="1" xr:uid="{A86039D8-9F29-44F1-B9A2-9797E5DA9E1A}">
          <x14:formula1>
            <xm:f>Liste!$A$21:$A$22</xm:f>
          </x14:formula1>
          <xm:sqref>B41</xm:sqref>
        </x14:dataValidation>
        <x14:dataValidation type="list" allowBlank="1" showInputMessage="1" showErrorMessage="1" xr:uid="{DD596C01-7D8C-4C86-87EF-0858950C1718}">
          <x14:formula1>
            <xm:f>Liste!$A$24:$A$25</xm:f>
          </x14:formula1>
          <xm:sqref>B43</xm:sqref>
        </x14:dataValidation>
        <x14:dataValidation type="list" allowBlank="1" showInputMessage="1" showErrorMessage="1" xr:uid="{81FB28BC-79BA-412D-9CF6-03B46071A868}">
          <x14:formula1>
            <xm:f>Liste!$C$7:$C$16</xm:f>
          </x14:formula1>
          <xm:sqref>B31:B34</xm:sqref>
        </x14:dataValidation>
      </x14:dataValidations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ABA6C-E40E-4838-9283-3784AFB24822}">
  <sheetPr>
    <tabColor theme="7" tint="0.39997558519241921"/>
  </sheetPr>
  <dimension ref="A1:I48"/>
  <sheetViews>
    <sheetView workbookViewId="0">
      <selection activeCell="A25" sqref="A25"/>
    </sheetView>
  </sheetViews>
  <sheetFormatPr baseColWidth="10" defaultColWidth="11.44140625" defaultRowHeight="13.2" x14ac:dyDescent="0.25"/>
  <cols>
    <col min="1" max="1" width="34" style="1" bestFit="1" customWidth="1"/>
    <col min="2" max="2" width="20.6640625" style="1" customWidth="1"/>
    <col min="3" max="3" width="22.44140625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9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9" x14ac:dyDescent="0.25">
      <c r="A3" s="126" t="s">
        <v>5</v>
      </c>
      <c r="B3" s="126"/>
      <c r="C3" s="126"/>
      <c r="D3" s="126"/>
      <c r="E3" s="126"/>
      <c r="F3" s="126"/>
      <c r="G3" s="126"/>
    </row>
    <row r="4" spans="1:9" ht="15" x14ac:dyDescent="0.25">
      <c r="A4" s="2"/>
      <c r="B4" s="5" t="s">
        <v>10</v>
      </c>
      <c r="D4" s="11" t="s">
        <v>12</v>
      </c>
      <c r="F4" s="129" t="s">
        <v>15</v>
      </c>
      <c r="G4" s="130" t="s">
        <v>688</v>
      </c>
    </row>
    <row r="5" spans="1:9" ht="15" x14ac:dyDescent="0.25">
      <c r="A5" s="5" t="s">
        <v>8</v>
      </c>
      <c r="B5" s="10" t="s">
        <v>490</v>
      </c>
      <c r="C5" s="10"/>
      <c r="D5" s="17">
        <v>29.51</v>
      </c>
      <c r="E5" s="6"/>
      <c r="F5" s="129"/>
      <c r="G5" s="131"/>
    </row>
    <row r="6" spans="1:9" ht="15" x14ac:dyDescent="0.25">
      <c r="A6" s="5" t="s">
        <v>9</v>
      </c>
      <c r="B6" s="10" t="s">
        <v>472</v>
      </c>
      <c r="C6" s="10" t="s">
        <v>491</v>
      </c>
      <c r="D6" s="6">
        <v>1.9E-2</v>
      </c>
      <c r="F6" s="2"/>
      <c r="G6" s="2"/>
    </row>
    <row r="7" spans="1:9" ht="15" x14ac:dyDescent="0.25">
      <c r="A7" s="5" t="s">
        <v>16</v>
      </c>
      <c r="B7" s="12" t="s">
        <v>493</v>
      </c>
      <c r="C7" s="12"/>
      <c r="D7" s="63"/>
    </row>
    <row r="8" spans="1:9" ht="15" x14ac:dyDescent="0.25">
      <c r="A8" s="11" t="s">
        <v>71</v>
      </c>
      <c r="B8" s="18">
        <v>59.98</v>
      </c>
      <c r="C8" s="18"/>
    </row>
    <row r="9" spans="1:9" x14ac:dyDescent="0.25">
      <c r="A9" s="11" t="s">
        <v>72</v>
      </c>
      <c r="B9" s="77">
        <v>35.950000000000003</v>
      </c>
      <c r="C9" s="77"/>
    </row>
    <row r="10" spans="1:9" ht="15" x14ac:dyDescent="0.25">
      <c r="A10" s="5"/>
      <c r="B10" s="11" t="s">
        <v>70</v>
      </c>
      <c r="C10" s="2"/>
      <c r="D10" s="2"/>
      <c r="G10" s="11" t="s">
        <v>61</v>
      </c>
    </row>
    <row r="11" spans="1:9" ht="15" x14ac:dyDescent="0.25">
      <c r="B11" s="17">
        <v>1996</v>
      </c>
      <c r="C11" s="2"/>
      <c r="D11" s="2"/>
      <c r="G11" s="18">
        <v>0</v>
      </c>
    </row>
    <row r="12" spans="1:9" ht="15" x14ac:dyDescent="0.25">
      <c r="A12" s="5" t="s">
        <v>62</v>
      </c>
      <c r="B12" s="17">
        <v>38.99</v>
      </c>
      <c r="C12" s="74"/>
      <c r="D12" s="2"/>
      <c r="E12" s="2"/>
      <c r="F12" s="53" t="s">
        <v>55</v>
      </c>
      <c r="G12" s="53" t="s">
        <v>56</v>
      </c>
    </row>
    <row r="13" spans="1:9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9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9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9" x14ac:dyDescent="0.25">
      <c r="A16" s="15" t="s">
        <v>492</v>
      </c>
      <c r="B16" s="66" t="s">
        <v>208</v>
      </c>
      <c r="C16" s="66">
        <v>310</v>
      </c>
      <c r="D16" s="66">
        <v>5</v>
      </c>
      <c r="E16" s="97">
        <f>C16*D16</f>
        <v>1550</v>
      </c>
      <c r="F16" s="73">
        <v>-3.0099999999999998E-2</v>
      </c>
      <c r="G16" s="68">
        <f t="shared" ref="G16:G22" si="0">(E16*F16)+E16</f>
        <v>1503.345</v>
      </c>
      <c r="I16" s="49"/>
    </row>
    <row r="17" spans="1:8" x14ac:dyDescent="0.25">
      <c r="A17" s="90" t="s">
        <v>494</v>
      </c>
      <c r="B17" s="66" t="s">
        <v>208</v>
      </c>
      <c r="C17" s="66">
        <v>330</v>
      </c>
      <c r="D17" s="66">
        <v>5</v>
      </c>
      <c r="E17" s="97">
        <f t="shared" ref="E17:E22" si="1">C17*D17</f>
        <v>1650</v>
      </c>
      <c r="F17" s="68">
        <f>(161*5)*0.1412</f>
        <v>113.666</v>
      </c>
      <c r="G17" s="68">
        <f>F17+E17</f>
        <v>1763.6659999999999</v>
      </c>
    </row>
    <row r="18" spans="1:8" x14ac:dyDescent="0.25">
      <c r="A18" s="15"/>
      <c r="B18" s="66"/>
      <c r="C18" s="66"/>
      <c r="D18" s="66"/>
      <c r="E18" s="66">
        <f t="shared" si="1"/>
        <v>0</v>
      </c>
      <c r="F18" s="73"/>
      <c r="G18" s="68">
        <f t="shared" si="0"/>
        <v>0</v>
      </c>
    </row>
    <row r="19" spans="1:8" x14ac:dyDescent="0.25">
      <c r="A19" s="93"/>
      <c r="B19" s="66"/>
      <c r="C19" s="94"/>
      <c r="D19" s="66"/>
      <c r="E19" s="94">
        <f t="shared" si="1"/>
        <v>0</v>
      </c>
      <c r="F19" s="73"/>
      <c r="G19" s="96">
        <f t="shared" si="0"/>
        <v>0</v>
      </c>
    </row>
    <row r="20" spans="1:8" ht="15" customHeight="1" x14ac:dyDescent="0.25">
      <c r="A20" s="90"/>
      <c r="B20" s="66"/>
      <c r="C20" s="80"/>
      <c r="D20" s="66"/>
      <c r="E20" s="94">
        <f t="shared" si="1"/>
        <v>0</v>
      </c>
      <c r="F20" s="73"/>
      <c r="G20" s="68">
        <f t="shared" si="0"/>
        <v>0</v>
      </c>
    </row>
    <row r="21" spans="1:8" ht="15" customHeight="1" x14ac:dyDescent="0.25">
      <c r="A21" s="90"/>
      <c r="B21" s="66"/>
      <c r="C21" s="80"/>
      <c r="D21" s="66"/>
      <c r="E21" s="94">
        <f t="shared" si="1"/>
        <v>0</v>
      </c>
      <c r="F21" s="73"/>
      <c r="G21" s="68">
        <f t="shared" si="0"/>
        <v>0</v>
      </c>
    </row>
    <row r="22" spans="1:8" ht="15" customHeight="1" x14ac:dyDescent="0.25">
      <c r="A22" s="90"/>
      <c r="B22" s="66"/>
      <c r="C22" s="80"/>
      <c r="D22" s="80"/>
      <c r="E22" s="94">
        <f t="shared" si="1"/>
        <v>0</v>
      </c>
      <c r="F22" s="73"/>
      <c r="G22" s="68">
        <f t="shared" si="0"/>
        <v>0</v>
      </c>
    </row>
    <row r="23" spans="1:8" ht="15" x14ac:dyDescent="0.25">
      <c r="A23" s="2"/>
      <c r="B23" s="2"/>
      <c r="C23" s="2"/>
      <c r="D23" s="2"/>
      <c r="E23" s="2"/>
      <c r="F23" s="2"/>
      <c r="G23" s="2"/>
    </row>
    <row r="24" spans="1:8" ht="30" customHeight="1" x14ac:dyDescent="0.25">
      <c r="A24" s="106" t="s">
        <v>328</v>
      </c>
      <c r="B24" s="132" t="s">
        <v>11</v>
      </c>
      <c r="C24" s="132"/>
      <c r="D24" s="132"/>
      <c r="E24" s="132"/>
      <c r="F24" s="113">
        <f>SUM(G16:G22)</f>
        <v>3267.011</v>
      </c>
      <c r="G24" s="113"/>
    </row>
    <row r="25" spans="1:8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8" ht="15" x14ac:dyDescent="0.25">
      <c r="A26" s="2"/>
      <c r="B26" s="2"/>
      <c r="C26" s="2"/>
      <c r="D26" s="2"/>
      <c r="E26" s="2"/>
      <c r="F26" s="2"/>
      <c r="G26" s="2"/>
    </row>
    <row r="27" spans="1:8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8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8" ht="15" x14ac:dyDescent="0.25">
      <c r="A29" s="43" t="s">
        <v>134</v>
      </c>
      <c r="B29" s="41" t="s">
        <v>54</v>
      </c>
      <c r="C29" s="40">
        <f>IFERROR(VLOOKUP(B29,Liste!C1:D5,2,FALSE),"")</f>
        <v>2300</v>
      </c>
      <c r="D29" s="54">
        <f>IFERROR(C29/4.33,0)</f>
        <v>531.17782909930713</v>
      </c>
      <c r="H29" s="7"/>
    </row>
    <row r="30" spans="1:8" ht="15" x14ac:dyDescent="0.3">
      <c r="A30" s="43" t="s">
        <v>66</v>
      </c>
      <c r="B30" s="46" t="s">
        <v>39</v>
      </c>
      <c r="C30" s="40">
        <f>IFERROR(VLOOKUP(B30,Liste!$C$7:$D$15,2,FALSE),"")</f>
        <v>1000</v>
      </c>
      <c r="D30" s="54">
        <f>IFERROR(C30/4.33,0)</f>
        <v>230.94688221709006</v>
      </c>
      <c r="H30" s="7"/>
    </row>
    <row r="31" spans="1:8" ht="15" x14ac:dyDescent="0.3">
      <c r="A31" s="43" t="s">
        <v>67</v>
      </c>
      <c r="B31" s="46" t="s">
        <v>36</v>
      </c>
      <c r="C31" s="40">
        <f>IFERROR(VLOOKUP(B31,Liste!$C$7:$D$15,2,FALSE),"")</f>
        <v>1200</v>
      </c>
      <c r="D31" s="54">
        <f t="shared" ref="D31:D33" si="2">IFERROR(C31/4.33,0)</f>
        <v>277.13625866050808</v>
      </c>
      <c r="H31" s="7"/>
    </row>
    <row r="32" spans="1:8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2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2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1.3553999999999999</v>
      </c>
      <c r="D34" s="54">
        <f>(B11*D5/100)*C34</f>
        <v>798.35716584000011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0</v>
      </c>
      <c r="D35" s="54">
        <f>(D5*B11/100)*C35</f>
        <v>0</v>
      </c>
      <c r="H35" s="7"/>
    </row>
    <row r="36" spans="1:8" ht="15" x14ac:dyDescent="0.3">
      <c r="A36" s="43" t="s">
        <v>3</v>
      </c>
      <c r="B36" s="42"/>
      <c r="C36" s="65">
        <v>0.43090000000000001</v>
      </c>
      <c r="D36" s="54">
        <f>(D6*B11)*C36</f>
        <v>16.341451599999999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79.84</v>
      </c>
      <c r="E38" s="49"/>
      <c r="H38" s="7"/>
    </row>
    <row r="39" spans="1:8" ht="15" x14ac:dyDescent="0.25">
      <c r="A39" s="43" t="s">
        <v>13</v>
      </c>
      <c r="B39" s="41">
        <f>B12</f>
        <v>38.99</v>
      </c>
      <c r="C39" s="56">
        <v>5</v>
      </c>
      <c r="D39" s="54">
        <f>C39*B39</f>
        <v>194.95000000000002</v>
      </c>
      <c r="H39" s="7"/>
    </row>
    <row r="40" spans="1:8" ht="15" x14ac:dyDescent="0.25">
      <c r="A40" s="43" t="s">
        <v>14</v>
      </c>
      <c r="B40" s="48" t="s">
        <v>55</v>
      </c>
      <c r="C40" s="40">
        <v>1</v>
      </c>
      <c r="D40" s="40">
        <v>889.05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3017.7995874169055</v>
      </c>
    </row>
    <row r="46" spans="1:8" x14ac:dyDescent="0.25">
      <c r="C46" s="6" t="s">
        <v>49</v>
      </c>
      <c r="D46" s="47">
        <f>F24-D45</f>
        <v>249.21141258309444</v>
      </c>
    </row>
    <row r="48" spans="1:8" ht="39" customHeight="1" x14ac:dyDescent="0.25">
      <c r="C48" s="58" t="s">
        <v>48</v>
      </c>
      <c r="D48" s="59">
        <f>D46/F24</f>
        <v>7.6281167275866063E-2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F734E049-3112-45EF-A05E-4F67CF004445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E66A6D5-C2B1-42AA-BBD6-A65C2F7D9070}">
          <x14:formula1>
            <xm:f>Liste!$C$7:$C$16</xm:f>
          </x14:formula1>
          <xm:sqref>B30:B33</xm:sqref>
        </x14:dataValidation>
        <x14:dataValidation type="list" allowBlank="1" showInputMessage="1" showErrorMessage="1" xr:uid="{5C04D820-6A02-4C4F-BE26-DA1091ACD56F}">
          <x14:formula1>
            <xm:f>Liste!$A$24:$A$25</xm:f>
          </x14:formula1>
          <xm:sqref>B42</xm:sqref>
        </x14:dataValidation>
        <x14:dataValidation type="list" allowBlank="1" showInputMessage="1" showErrorMessage="1" xr:uid="{09FD6441-5940-47C9-87B9-FAB085839BB0}">
          <x14:formula1>
            <xm:f>Liste!$A$21:$A$22</xm:f>
          </x14:formula1>
          <xm:sqref>B40</xm:sqref>
        </x14:dataValidation>
        <x14:dataValidation type="list" allowBlank="1" showInputMessage="1" showErrorMessage="1" xr:uid="{6348F165-8F5F-40C0-8FEB-72E7661641D6}">
          <x14:formula1>
            <xm:f>Liste!$C$2:$C$5</xm:f>
          </x14:formula1>
          <xm:sqref>B29</xm:sqref>
        </x14:dataValidation>
      </x14:dataValidation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4C0DC-C93C-44EA-82F3-D70A605AE384}">
  <sheetPr>
    <tabColor theme="7" tint="0.39997558519241921"/>
  </sheetPr>
  <dimension ref="A1:I48"/>
  <sheetViews>
    <sheetView workbookViewId="0">
      <selection activeCell="J14" sqref="J14"/>
    </sheetView>
  </sheetViews>
  <sheetFormatPr baseColWidth="10" defaultColWidth="11.44140625" defaultRowHeight="13.2" x14ac:dyDescent="0.25"/>
  <cols>
    <col min="1" max="1" width="36.6640625" style="1" bestFit="1" customWidth="1"/>
    <col min="2" max="2" width="20.6640625" style="1" customWidth="1"/>
    <col min="3" max="3" width="22.44140625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9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9" x14ac:dyDescent="0.25">
      <c r="A3" s="126" t="s">
        <v>5</v>
      </c>
      <c r="B3" s="126"/>
      <c r="C3" s="126"/>
      <c r="D3" s="126"/>
      <c r="E3" s="126"/>
      <c r="F3" s="126"/>
      <c r="G3" s="126"/>
    </row>
    <row r="4" spans="1:9" ht="15" x14ac:dyDescent="0.25">
      <c r="A4" s="2"/>
      <c r="B4" s="5" t="s">
        <v>10</v>
      </c>
      <c r="D4" s="11" t="s">
        <v>12</v>
      </c>
      <c r="F4" s="129" t="s">
        <v>15</v>
      </c>
      <c r="G4" s="130" t="s">
        <v>688</v>
      </c>
    </row>
    <row r="5" spans="1:9" ht="15" x14ac:dyDescent="0.25">
      <c r="A5" s="5" t="s">
        <v>8</v>
      </c>
      <c r="B5" s="10" t="s">
        <v>499</v>
      </c>
      <c r="C5" s="10"/>
      <c r="D5" s="17">
        <v>26.25</v>
      </c>
      <c r="E5" s="6"/>
      <c r="F5" s="129"/>
      <c r="G5" s="131"/>
    </row>
    <row r="6" spans="1:9" ht="15" x14ac:dyDescent="0.25">
      <c r="A6" s="5" t="s">
        <v>9</v>
      </c>
      <c r="B6" s="10" t="s">
        <v>472</v>
      </c>
      <c r="C6" s="10"/>
      <c r="D6" s="6">
        <v>1.9E-2</v>
      </c>
      <c r="F6" s="2"/>
      <c r="G6" s="2"/>
    </row>
    <row r="7" spans="1:9" ht="15" x14ac:dyDescent="0.25">
      <c r="A7" s="5" t="s">
        <v>16</v>
      </c>
      <c r="B7" s="12" t="s">
        <v>500</v>
      </c>
      <c r="C7" s="12"/>
      <c r="D7" s="63"/>
    </row>
    <row r="8" spans="1:9" ht="15" x14ac:dyDescent="0.25">
      <c r="A8" s="11" t="s">
        <v>71</v>
      </c>
      <c r="B8" s="18">
        <v>64.540000000000006</v>
      </c>
      <c r="C8" s="18"/>
    </row>
    <row r="9" spans="1:9" x14ac:dyDescent="0.25">
      <c r="A9" s="11" t="s">
        <v>72</v>
      </c>
      <c r="B9" s="77">
        <v>44.51</v>
      </c>
      <c r="C9" s="77"/>
    </row>
    <row r="10" spans="1:9" ht="15" x14ac:dyDescent="0.25">
      <c r="A10" s="5"/>
      <c r="B10" s="11" t="s">
        <v>70</v>
      </c>
      <c r="C10" s="2"/>
      <c r="D10" s="2"/>
      <c r="G10" s="11" t="s">
        <v>61</v>
      </c>
    </row>
    <row r="11" spans="1:9" ht="15" x14ac:dyDescent="0.25">
      <c r="B11" s="17">
        <v>1881</v>
      </c>
      <c r="C11" s="2"/>
      <c r="D11" s="2"/>
      <c r="G11" s="18">
        <v>0</v>
      </c>
    </row>
    <row r="12" spans="1:9" ht="15" x14ac:dyDescent="0.25">
      <c r="A12" s="5" t="s">
        <v>62</v>
      </c>
      <c r="B12" s="17">
        <v>67.319999999999993</v>
      </c>
      <c r="C12" s="74"/>
      <c r="D12" s="2"/>
      <c r="E12" s="2"/>
      <c r="F12" s="53" t="s">
        <v>55</v>
      </c>
      <c r="G12" s="53" t="s">
        <v>56</v>
      </c>
    </row>
    <row r="13" spans="1:9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9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9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9" x14ac:dyDescent="0.25">
      <c r="A16" s="15" t="s">
        <v>496</v>
      </c>
      <c r="B16" s="66" t="s">
        <v>208</v>
      </c>
      <c r="C16" s="66">
        <v>300</v>
      </c>
      <c r="D16" s="66">
        <v>5</v>
      </c>
      <c r="E16" s="97">
        <f>C16*D16</f>
        <v>1500</v>
      </c>
      <c r="F16" s="73">
        <v>-3.0099999999999998E-2</v>
      </c>
      <c r="G16" s="68">
        <f t="shared" ref="G16:G22" si="0">(E16*F16)+E16</f>
        <v>1454.85</v>
      </c>
      <c r="I16" s="49"/>
    </row>
    <row r="17" spans="1:8" x14ac:dyDescent="0.25">
      <c r="A17" s="90" t="s">
        <v>497</v>
      </c>
      <c r="B17" s="66" t="s">
        <v>208</v>
      </c>
      <c r="C17" s="66">
        <v>300</v>
      </c>
      <c r="D17" s="66">
        <v>5</v>
      </c>
      <c r="E17" s="97">
        <f t="shared" ref="E17:E22" si="1">C17*D17</f>
        <v>1500</v>
      </c>
      <c r="F17" s="73">
        <v>-3.0099999999999998E-2</v>
      </c>
      <c r="G17" s="68">
        <f t="shared" si="0"/>
        <v>1454.85</v>
      </c>
    </row>
    <row r="18" spans="1:8" x14ac:dyDescent="0.25">
      <c r="A18" s="15" t="s">
        <v>498</v>
      </c>
      <c r="B18" s="66" t="s">
        <v>208</v>
      </c>
      <c r="C18" s="66">
        <v>90</v>
      </c>
      <c r="D18" s="66">
        <v>5</v>
      </c>
      <c r="E18" s="66">
        <f t="shared" si="1"/>
        <v>450</v>
      </c>
      <c r="F18" s="73">
        <v>0</v>
      </c>
      <c r="G18" s="68">
        <f t="shared" si="0"/>
        <v>450</v>
      </c>
    </row>
    <row r="19" spans="1:8" x14ac:dyDescent="0.25">
      <c r="A19" s="93"/>
      <c r="B19" s="66"/>
      <c r="C19" s="94"/>
      <c r="D19" s="66"/>
      <c r="E19" s="94">
        <f t="shared" si="1"/>
        <v>0</v>
      </c>
      <c r="F19" s="73"/>
      <c r="G19" s="96">
        <f t="shared" si="0"/>
        <v>0</v>
      </c>
    </row>
    <row r="20" spans="1:8" ht="15" customHeight="1" x14ac:dyDescent="0.25">
      <c r="A20" s="90"/>
      <c r="B20" s="66"/>
      <c r="C20" s="80"/>
      <c r="D20" s="66"/>
      <c r="E20" s="94">
        <f t="shared" si="1"/>
        <v>0</v>
      </c>
      <c r="F20" s="73"/>
      <c r="G20" s="68">
        <f t="shared" si="0"/>
        <v>0</v>
      </c>
    </row>
    <row r="21" spans="1:8" ht="15" customHeight="1" x14ac:dyDescent="0.25">
      <c r="A21" s="90"/>
      <c r="B21" s="66"/>
      <c r="C21" s="80"/>
      <c r="D21" s="66"/>
      <c r="E21" s="94">
        <f t="shared" si="1"/>
        <v>0</v>
      </c>
      <c r="F21" s="73"/>
      <c r="G21" s="68">
        <f t="shared" si="0"/>
        <v>0</v>
      </c>
    </row>
    <row r="22" spans="1:8" ht="15" customHeight="1" x14ac:dyDescent="0.25">
      <c r="A22" s="90"/>
      <c r="B22" s="66"/>
      <c r="C22" s="80"/>
      <c r="D22" s="80"/>
      <c r="E22" s="94">
        <f t="shared" si="1"/>
        <v>0</v>
      </c>
      <c r="F22" s="73"/>
      <c r="G22" s="68">
        <f t="shared" si="0"/>
        <v>0</v>
      </c>
    </row>
    <row r="23" spans="1:8" ht="15" x14ac:dyDescent="0.25">
      <c r="A23" s="2"/>
      <c r="B23" s="2"/>
      <c r="C23" s="2"/>
      <c r="D23" s="2"/>
      <c r="E23" s="2"/>
      <c r="F23" s="2"/>
      <c r="G23" s="2"/>
    </row>
    <row r="24" spans="1:8" ht="30" customHeight="1" x14ac:dyDescent="0.25">
      <c r="A24" s="106" t="s">
        <v>329</v>
      </c>
      <c r="B24" s="132" t="s">
        <v>11</v>
      </c>
      <c r="C24" s="132"/>
      <c r="D24" s="132"/>
      <c r="E24" s="132"/>
      <c r="F24" s="113">
        <f>SUM(G16:G22)</f>
        <v>3359.7</v>
      </c>
      <c r="G24" s="113"/>
    </row>
    <row r="25" spans="1:8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8" ht="15" x14ac:dyDescent="0.25">
      <c r="A26" s="2"/>
      <c r="B26" s="2"/>
      <c r="C26" s="2"/>
      <c r="D26" s="2"/>
      <c r="E26" s="2"/>
      <c r="F26" s="2"/>
      <c r="G26" s="2"/>
    </row>
    <row r="27" spans="1:8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8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8" ht="15" x14ac:dyDescent="0.25">
      <c r="A29" s="43" t="s">
        <v>134</v>
      </c>
      <c r="B29" s="41" t="s">
        <v>54</v>
      </c>
      <c r="C29" s="40">
        <f>IFERROR(VLOOKUP(B29,Liste!C1:D5,2,FALSE),"")</f>
        <v>2300</v>
      </c>
      <c r="D29" s="54">
        <f>IFERROR(C29/4.33,0)</f>
        <v>531.17782909930713</v>
      </c>
      <c r="H29" s="7"/>
    </row>
    <row r="30" spans="1:8" ht="15" x14ac:dyDescent="0.3">
      <c r="A30" s="43" t="s">
        <v>66</v>
      </c>
      <c r="B30" s="46" t="s">
        <v>39</v>
      </c>
      <c r="C30" s="40">
        <f>IFERROR(VLOOKUP(B30,Liste!$C$7:$D$15,2,FALSE),"")</f>
        <v>1000</v>
      </c>
      <c r="D30" s="54">
        <f>IFERROR(C30/4.33,0)</f>
        <v>230.94688221709006</v>
      </c>
      <c r="H30" s="7"/>
    </row>
    <row r="31" spans="1:8" ht="15" x14ac:dyDescent="0.3">
      <c r="A31" s="43" t="s">
        <v>67</v>
      </c>
      <c r="B31" s="46" t="s">
        <v>69</v>
      </c>
      <c r="C31" s="40" t="str">
        <f>IFERROR(VLOOKUP(B31,Liste!$C$7:$D$15,2,FALSE),"")</f>
        <v/>
      </c>
      <c r="D31" s="54">
        <f t="shared" ref="D31:D33" si="2">IFERROR(C31/4.33,0)</f>
        <v>0</v>
      </c>
      <c r="H31" s="7"/>
    </row>
    <row r="32" spans="1:8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2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2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1.3553999999999999</v>
      </c>
      <c r="D34" s="54">
        <f>(B11*D5/100)*C34</f>
        <v>669.2456924999999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0</v>
      </c>
      <c r="D35" s="54">
        <f>(D5*B11/100)*C35</f>
        <v>0</v>
      </c>
      <c r="H35" s="7"/>
    </row>
    <row r="36" spans="1:8" ht="15" x14ac:dyDescent="0.3">
      <c r="A36" s="43" t="s">
        <v>3</v>
      </c>
      <c r="B36" s="42"/>
      <c r="C36" s="65">
        <v>0.43090000000000001</v>
      </c>
      <c r="D36" s="54">
        <f>(D6*B11)*C36</f>
        <v>15.399935099999999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75.239999999999995</v>
      </c>
      <c r="E38" s="49"/>
      <c r="H38" s="7"/>
    </row>
    <row r="39" spans="1:8" ht="15" x14ac:dyDescent="0.25">
      <c r="A39" s="43" t="s">
        <v>13</v>
      </c>
      <c r="B39" s="41">
        <f>B12</f>
        <v>67.319999999999993</v>
      </c>
      <c r="C39" s="56">
        <v>5</v>
      </c>
      <c r="D39" s="54">
        <f>C39*B39</f>
        <v>336.59999999999997</v>
      </c>
      <c r="H39" s="7"/>
    </row>
    <row r="40" spans="1:8" ht="15" x14ac:dyDescent="0.25">
      <c r="A40" s="43" t="s">
        <v>14</v>
      </c>
      <c r="B40" s="48" t="s">
        <v>55</v>
      </c>
      <c r="C40" s="40">
        <v>1</v>
      </c>
      <c r="D40" s="40">
        <v>1127.77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2986.3803389163968</v>
      </c>
    </row>
    <row r="46" spans="1:8" x14ac:dyDescent="0.25">
      <c r="C46" s="6" t="s">
        <v>49</v>
      </c>
      <c r="D46" s="47">
        <f>F24-D45</f>
        <v>373.31966108360302</v>
      </c>
    </row>
    <row r="48" spans="1:8" ht="39" customHeight="1" x14ac:dyDescent="0.25">
      <c r="C48" s="58" t="s">
        <v>48</v>
      </c>
      <c r="D48" s="59">
        <f>D46/F24</f>
        <v>0.11111696314659138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E8FBEA29-EB57-4848-A13A-F1EF75E1D2EE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648F10C-FE67-4813-B419-3DEE84F516B4}">
          <x14:formula1>
            <xm:f>Liste!$C$2:$C$5</xm:f>
          </x14:formula1>
          <xm:sqref>B29</xm:sqref>
        </x14:dataValidation>
        <x14:dataValidation type="list" allowBlank="1" showInputMessage="1" showErrorMessage="1" xr:uid="{F4AFB020-6C63-4E2B-9FFE-D077B69CC4A4}">
          <x14:formula1>
            <xm:f>Liste!$A$21:$A$22</xm:f>
          </x14:formula1>
          <xm:sqref>B40</xm:sqref>
        </x14:dataValidation>
        <x14:dataValidation type="list" allowBlank="1" showInputMessage="1" showErrorMessage="1" xr:uid="{DA47071E-7AC6-4E01-9767-A24B419CE36E}">
          <x14:formula1>
            <xm:f>Liste!$A$24:$A$25</xm:f>
          </x14:formula1>
          <xm:sqref>B42</xm:sqref>
        </x14:dataValidation>
        <x14:dataValidation type="list" allowBlank="1" showInputMessage="1" showErrorMessage="1" xr:uid="{DBA6F0C0-FD09-4E5B-A09F-3BE19CDDFFBE}">
          <x14:formula1>
            <xm:f>Liste!$C$7:$C$16</xm:f>
          </x14:formula1>
          <xm:sqref>B30:B33</xm:sqref>
        </x14:dataValidation>
      </x14:dataValidations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6A546-1962-462D-BD31-DB9B2368CF14}">
  <sheetPr>
    <tabColor theme="7" tint="0.39997558519241921"/>
  </sheetPr>
  <dimension ref="A1:I48"/>
  <sheetViews>
    <sheetView workbookViewId="0">
      <selection activeCell="G30" sqref="G30"/>
    </sheetView>
  </sheetViews>
  <sheetFormatPr baseColWidth="10" defaultColWidth="11.44140625" defaultRowHeight="13.2" x14ac:dyDescent="0.25"/>
  <cols>
    <col min="1" max="1" width="36.6640625" style="1" bestFit="1" customWidth="1"/>
    <col min="2" max="2" width="20.6640625" style="1" customWidth="1"/>
    <col min="3" max="3" width="22.44140625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9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9" x14ac:dyDescent="0.25">
      <c r="A3" s="126" t="s">
        <v>5</v>
      </c>
      <c r="B3" s="126"/>
      <c r="C3" s="126"/>
      <c r="D3" s="126"/>
      <c r="E3" s="126"/>
      <c r="F3" s="126"/>
      <c r="G3" s="126"/>
    </row>
    <row r="4" spans="1:9" ht="15" x14ac:dyDescent="0.25">
      <c r="A4" s="2"/>
      <c r="B4" s="5" t="s">
        <v>10</v>
      </c>
      <c r="D4" s="11" t="s">
        <v>12</v>
      </c>
      <c r="F4" s="129" t="s">
        <v>15</v>
      </c>
      <c r="G4" s="130" t="s">
        <v>688</v>
      </c>
    </row>
    <row r="5" spans="1:9" ht="15" x14ac:dyDescent="0.25">
      <c r="A5" s="5" t="s">
        <v>8</v>
      </c>
      <c r="B5" s="10" t="s">
        <v>502</v>
      </c>
      <c r="C5" s="10"/>
      <c r="D5" s="17">
        <v>29.45</v>
      </c>
      <c r="E5" s="6"/>
      <c r="F5" s="129"/>
      <c r="G5" s="131"/>
    </row>
    <row r="6" spans="1:9" ht="15" x14ac:dyDescent="0.25">
      <c r="A6" s="5" t="s">
        <v>9</v>
      </c>
      <c r="B6" s="10" t="s">
        <v>295</v>
      </c>
      <c r="C6" s="10" t="s">
        <v>735</v>
      </c>
      <c r="D6" s="6">
        <v>1.9E-2</v>
      </c>
      <c r="F6" s="2"/>
      <c r="G6" s="2"/>
    </row>
    <row r="7" spans="1:9" ht="15" x14ac:dyDescent="0.25">
      <c r="A7" s="5" t="s">
        <v>16</v>
      </c>
      <c r="B7" s="12" t="s">
        <v>504</v>
      </c>
      <c r="C7" s="12"/>
      <c r="D7" s="63"/>
    </row>
    <row r="8" spans="1:9" ht="15" x14ac:dyDescent="0.25">
      <c r="A8" s="11" t="s">
        <v>71</v>
      </c>
      <c r="B8" s="18">
        <f>52.5+14.9</f>
        <v>67.400000000000006</v>
      </c>
      <c r="C8" s="18"/>
    </row>
    <row r="9" spans="1:9" x14ac:dyDescent="0.25">
      <c r="A9" s="11" t="s">
        <v>72</v>
      </c>
      <c r="B9" s="77">
        <f>40.33+7.78</f>
        <v>48.11</v>
      </c>
      <c r="C9" s="77"/>
    </row>
    <row r="10" spans="1:9" ht="15" x14ac:dyDescent="0.25">
      <c r="A10" s="5"/>
      <c r="B10" s="11" t="s">
        <v>70</v>
      </c>
      <c r="C10" s="2"/>
      <c r="D10" s="2"/>
      <c r="G10" s="11" t="s">
        <v>61</v>
      </c>
    </row>
    <row r="11" spans="1:9" ht="15" x14ac:dyDescent="0.25">
      <c r="B11" s="17">
        <f>1290+281</f>
        <v>1571</v>
      </c>
      <c r="C11" s="2"/>
      <c r="D11" s="2"/>
      <c r="G11" s="18">
        <v>0</v>
      </c>
    </row>
    <row r="12" spans="1:9" ht="15" x14ac:dyDescent="0.25">
      <c r="A12" s="5" t="s">
        <v>62</v>
      </c>
      <c r="B12" s="17">
        <v>0</v>
      </c>
      <c r="C12" s="74" t="s">
        <v>503</v>
      </c>
      <c r="D12" s="2"/>
      <c r="E12" s="2"/>
      <c r="F12" s="53" t="s">
        <v>55</v>
      </c>
      <c r="G12" s="53" t="s">
        <v>56</v>
      </c>
    </row>
    <row r="13" spans="1:9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9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9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9" x14ac:dyDescent="0.25">
      <c r="A16" s="15" t="s">
        <v>505</v>
      </c>
      <c r="B16" s="66" t="s">
        <v>208</v>
      </c>
      <c r="C16" s="66">
        <v>390</v>
      </c>
      <c r="D16" s="66">
        <v>5</v>
      </c>
      <c r="E16" s="97">
        <f>C16*D16</f>
        <v>1950</v>
      </c>
      <c r="F16" s="73">
        <v>-3.3599999999999998E-2</v>
      </c>
      <c r="G16" s="68">
        <f t="shared" ref="G16:G22" si="0">(E16*F16)+E16</f>
        <v>1884.48</v>
      </c>
      <c r="I16" s="49"/>
    </row>
    <row r="17" spans="1:8" x14ac:dyDescent="0.25">
      <c r="A17" s="90" t="s">
        <v>506</v>
      </c>
      <c r="B17" s="66" t="s">
        <v>258</v>
      </c>
      <c r="C17" s="66">
        <v>3.4171999999999998</v>
      </c>
      <c r="D17" s="66">
        <f>18*4</f>
        <v>72</v>
      </c>
      <c r="E17" s="97">
        <f t="shared" ref="E17:E22" si="1">C17*D17</f>
        <v>246.0384</v>
      </c>
      <c r="F17" s="73">
        <v>0</v>
      </c>
      <c r="G17" s="68">
        <f t="shared" si="0"/>
        <v>246.0384</v>
      </c>
    </row>
    <row r="18" spans="1:8" x14ac:dyDescent="0.25">
      <c r="A18" s="15" t="s">
        <v>733</v>
      </c>
      <c r="B18" s="66" t="s">
        <v>208</v>
      </c>
      <c r="C18" s="66">
        <v>129</v>
      </c>
      <c r="D18" s="66">
        <v>5</v>
      </c>
      <c r="E18" s="66">
        <f t="shared" si="1"/>
        <v>645</v>
      </c>
      <c r="F18" s="73">
        <v>3.9774999999999998E-2</v>
      </c>
      <c r="G18" s="68">
        <f t="shared" si="0"/>
        <v>670.65487499999995</v>
      </c>
    </row>
    <row r="19" spans="1:8" x14ac:dyDescent="0.25">
      <c r="A19" s="93"/>
      <c r="B19" s="66"/>
      <c r="C19" s="94"/>
      <c r="D19" s="66"/>
      <c r="E19" s="94">
        <f t="shared" si="1"/>
        <v>0</v>
      </c>
      <c r="F19" s="73"/>
      <c r="G19" s="96">
        <f t="shared" si="0"/>
        <v>0</v>
      </c>
    </row>
    <row r="20" spans="1:8" ht="15" customHeight="1" x14ac:dyDescent="0.25">
      <c r="A20" s="90"/>
      <c r="B20" s="66"/>
      <c r="C20" s="80"/>
      <c r="D20" s="66"/>
      <c r="E20" s="94">
        <f t="shared" si="1"/>
        <v>0</v>
      </c>
      <c r="F20" s="73"/>
      <c r="G20" s="68">
        <f t="shared" si="0"/>
        <v>0</v>
      </c>
    </row>
    <row r="21" spans="1:8" ht="15" customHeight="1" x14ac:dyDescent="0.25">
      <c r="A21" s="90"/>
      <c r="B21" s="66"/>
      <c r="C21" s="80"/>
      <c r="D21" s="66"/>
      <c r="E21" s="94">
        <f t="shared" si="1"/>
        <v>0</v>
      </c>
      <c r="F21" s="73"/>
      <c r="G21" s="68">
        <f t="shared" si="0"/>
        <v>0</v>
      </c>
    </row>
    <row r="22" spans="1:8" ht="15" customHeight="1" x14ac:dyDescent="0.25">
      <c r="A22" s="90"/>
      <c r="B22" s="66"/>
      <c r="C22" s="80"/>
      <c r="D22" s="80"/>
      <c r="E22" s="94">
        <f t="shared" si="1"/>
        <v>0</v>
      </c>
      <c r="F22" s="73"/>
      <c r="G22" s="68">
        <f t="shared" si="0"/>
        <v>0</v>
      </c>
    </row>
    <row r="23" spans="1:8" ht="15" x14ac:dyDescent="0.25">
      <c r="A23" s="2"/>
      <c r="B23" s="2"/>
      <c r="C23" s="2"/>
      <c r="D23" s="2"/>
      <c r="E23" s="2"/>
      <c r="F23" s="2"/>
      <c r="G23" s="2"/>
    </row>
    <row r="24" spans="1:8" ht="30" customHeight="1" x14ac:dyDescent="0.25">
      <c r="A24" s="106" t="s">
        <v>330</v>
      </c>
      <c r="B24" s="132" t="s">
        <v>11</v>
      </c>
      <c r="C24" s="132"/>
      <c r="D24" s="132"/>
      <c r="E24" s="132"/>
      <c r="F24" s="113">
        <f>SUM(G16:G22)</f>
        <v>2801.1732750000001</v>
      </c>
      <c r="G24" s="113"/>
    </row>
    <row r="25" spans="1:8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8" ht="15" x14ac:dyDescent="0.25">
      <c r="A26" s="2"/>
      <c r="B26" s="2"/>
      <c r="C26" s="2"/>
      <c r="D26" s="2"/>
      <c r="E26" s="2"/>
      <c r="F26" s="2"/>
      <c r="G26" s="2"/>
    </row>
    <row r="27" spans="1:8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8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8" ht="15" x14ac:dyDescent="0.25">
      <c r="A29" s="43" t="s">
        <v>134</v>
      </c>
      <c r="B29" s="41" t="s">
        <v>54</v>
      </c>
      <c r="C29" s="40">
        <f>IFERROR(VLOOKUP(B29,Liste!C1:D5,2,FALSE),"")</f>
        <v>2300</v>
      </c>
      <c r="D29" s="54">
        <f>IFERROR(C29/4.33,0)</f>
        <v>531.17782909930713</v>
      </c>
      <c r="H29" s="7"/>
    </row>
    <row r="30" spans="1:8" ht="15" x14ac:dyDescent="0.3">
      <c r="A30" s="43" t="s">
        <v>66</v>
      </c>
      <c r="B30" s="46" t="s">
        <v>39</v>
      </c>
      <c r="C30" s="40">
        <f>IFERROR(VLOOKUP(B30,Liste!$C$7:$D$15,2,FALSE),"")</f>
        <v>1000</v>
      </c>
      <c r="D30" s="54">
        <f>IFERROR(C30/4.33,0)/2</f>
        <v>115.47344110854503</v>
      </c>
      <c r="E30" s="1" t="s">
        <v>734</v>
      </c>
      <c r="H30" s="7"/>
    </row>
    <row r="31" spans="1:8" ht="15" x14ac:dyDescent="0.3">
      <c r="A31" s="43" t="s">
        <v>67</v>
      </c>
      <c r="B31" s="46" t="s">
        <v>69</v>
      </c>
      <c r="C31" s="40" t="str">
        <f>IFERROR(VLOOKUP(B31,Liste!$C$7:$D$15,2,FALSE),"")</f>
        <v/>
      </c>
      <c r="D31" s="54">
        <f t="shared" ref="D31:D33" si="2">IFERROR(C31/4.33,0)</f>
        <v>0</v>
      </c>
      <c r="H31" s="7"/>
    </row>
    <row r="32" spans="1:8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2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2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1.3553999999999999</v>
      </c>
      <c r="D34" s="54">
        <f>(B11*D5/100)*C34</f>
        <v>627.08868629999995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0</v>
      </c>
      <c r="D35" s="54">
        <f>(D5*B11/100)*C35</f>
        <v>0</v>
      </c>
      <c r="H35" s="7"/>
    </row>
    <row r="36" spans="1:8" ht="15" x14ac:dyDescent="0.3">
      <c r="A36" s="43" t="s">
        <v>3</v>
      </c>
      <c r="B36" s="42"/>
      <c r="C36" s="65">
        <v>0.43090000000000001</v>
      </c>
      <c r="D36" s="54">
        <f>(D6*B11)*C36</f>
        <v>12.861934100000001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62.84</v>
      </c>
      <c r="E38" s="49"/>
      <c r="H38" s="7"/>
    </row>
    <row r="39" spans="1:8" ht="15" x14ac:dyDescent="0.25">
      <c r="A39" s="43" t="s">
        <v>13</v>
      </c>
      <c r="B39" s="41">
        <f>B12</f>
        <v>0</v>
      </c>
      <c r="C39" s="56">
        <v>5</v>
      </c>
      <c r="D39" s="54">
        <f>C39*B39</f>
        <v>0</v>
      </c>
      <c r="H39" s="7"/>
    </row>
    <row r="40" spans="1:8" ht="15" x14ac:dyDescent="0.25">
      <c r="A40" s="43" t="s">
        <v>14</v>
      </c>
      <c r="B40" s="48" t="s">
        <v>55</v>
      </c>
      <c r="C40" s="40">
        <v>1</v>
      </c>
      <c r="D40" s="40">
        <v>975.63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2325.0718906078523</v>
      </c>
    </row>
    <row r="46" spans="1:8" x14ac:dyDescent="0.25">
      <c r="C46" s="6" t="s">
        <v>49</v>
      </c>
      <c r="D46" s="47">
        <f>F24-D45</f>
        <v>476.10138439214779</v>
      </c>
    </row>
    <row r="48" spans="1:8" ht="39" customHeight="1" x14ac:dyDescent="0.25">
      <c r="C48" s="58" t="s">
        <v>48</v>
      </c>
      <c r="D48" s="59">
        <f>D46/F24</f>
        <v>0.16996498882852856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DF851947-DC4A-4A22-AAF6-71DDE466B2C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E9306F5-F2AA-4D3E-BD5C-10755D58D392}">
          <x14:formula1>
            <xm:f>Liste!$C$7:$C$16</xm:f>
          </x14:formula1>
          <xm:sqref>B30:B33</xm:sqref>
        </x14:dataValidation>
        <x14:dataValidation type="list" allowBlank="1" showInputMessage="1" showErrorMessage="1" xr:uid="{D6C8A520-7FB5-4B69-97D2-FE42A051CB5A}">
          <x14:formula1>
            <xm:f>Liste!$A$24:$A$25</xm:f>
          </x14:formula1>
          <xm:sqref>B42</xm:sqref>
        </x14:dataValidation>
        <x14:dataValidation type="list" allowBlank="1" showInputMessage="1" showErrorMessage="1" xr:uid="{FE58F126-5D40-4959-A261-31777171A62E}">
          <x14:formula1>
            <xm:f>Liste!$A$21:$A$22</xm:f>
          </x14:formula1>
          <xm:sqref>B40</xm:sqref>
        </x14:dataValidation>
        <x14:dataValidation type="list" allowBlank="1" showInputMessage="1" showErrorMessage="1" xr:uid="{FA625FB7-0ED0-4E8D-8113-248337F379C4}">
          <x14:formula1>
            <xm:f>Liste!$C$2:$C$5</xm:f>
          </x14:formula1>
          <xm:sqref>B29</xm:sqref>
        </x14:dataValidation>
      </x14:dataValidation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28EC8-AAAE-4F84-ADEB-C837F4A064B4}">
  <sheetPr>
    <tabColor theme="7" tint="0.39997558519241921"/>
  </sheetPr>
  <dimension ref="A1:I48"/>
  <sheetViews>
    <sheetView topLeftCell="A13" workbookViewId="0">
      <selection activeCell="H37" sqref="H37"/>
    </sheetView>
  </sheetViews>
  <sheetFormatPr baseColWidth="10" defaultColWidth="11.44140625" defaultRowHeight="13.2" x14ac:dyDescent="0.25"/>
  <cols>
    <col min="1" max="1" width="36.6640625" style="1" bestFit="1" customWidth="1"/>
    <col min="2" max="2" width="20.6640625" style="1" customWidth="1"/>
    <col min="3" max="3" width="22.44140625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9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9" x14ac:dyDescent="0.25">
      <c r="A3" s="126" t="s">
        <v>5</v>
      </c>
      <c r="B3" s="126"/>
      <c r="C3" s="126"/>
      <c r="D3" s="126"/>
      <c r="E3" s="126"/>
      <c r="F3" s="126"/>
      <c r="G3" s="126"/>
    </row>
    <row r="4" spans="1:9" ht="15" x14ac:dyDescent="0.25">
      <c r="A4" s="2"/>
      <c r="B4" s="5" t="s">
        <v>10</v>
      </c>
      <c r="D4" s="11" t="s">
        <v>12</v>
      </c>
      <c r="F4" s="129" t="s">
        <v>15</v>
      </c>
      <c r="G4" s="130" t="s">
        <v>689</v>
      </c>
    </row>
    <row r="5" spans="1:9" ht="15" x14ac:dyDescent="0.25">
      <c r="A5" s="5" t="s">
        <v>8</v>
      </c>
      <c r="B5" s="10" t="s">
        <v>512</v>
      </c>
      <c r="C5" s="10"/>
      <c r="D5" s="17">
        <v>28.81</v>
      </c>
      <c r="E5" s="6"/>
      <c r="F5" s="129"/>
      <c r="G5" s="131"/>
    </row>
    <row r="6" spans="1:9" ht="15" x14ac:dyDescent="0.25">
      <c r="A6" s="5" t="s">
        <v>9</v>
      </c>
      <c r="B6" s="10" t="s">
        <v>299</v>
      </c>
      <c r="C6" s="10"/>
      <c r="D6" s="6">
        <v>1.9E-2</v>
      </c>
      <c r="F6" s="2"/>
      <c r="G6" s="2"/>
    </row>
    <row r="7" spans="1:9" ht="15" x14ac:dyDescent="0.25">
      <c r="A7" s="5" t="s">
        <v>16</v>
      </c>
      <c r="B7" s="12" t="s">
        <v>513</v>
      </c>
      <c r="C7" s="12"/>
      <c r="D7" s="63"/>
    </row>
    <row r="8" spans="1:9" ht="15" x14ac:dyDescent="0.25">
      <c r="A8" s="11" t="s">
        <v>71</v>
      </c>
      <c r="B8" s="18">
        <f>52.34+8.25</f>
        <v>60.59</v>
      </c>
      <c r="C8" s="18"/>
    </row>
    <row r="9" spans="1:9" x14ac:dyDescent="0.25">
      <c r="A9" s="11" t="s">
        <v>72</v>
      </c>
      <c r="B9" s="77">
        <f>34.49+6.95</f>
        <v>41.440000000000005</v>
      </c>
      <c r="C9" s="77"/>
    </row>
    <row r="10" spans="1:9" ht="15" x14ac:dyDescent="0.25">
      <c r="A10" s="5"/>
      <c r="B10" s="11" t="s">
        <v>70</v>
      </c>
      <c r="C10" s="2"/>
      <c r="D10" s="2"/>
      <c r="G10" s="11" t="s">
        <v>61</v>
      </c>
    </row>
    <row r="11" spans="1:9" ht="15" x14ac:dyDescent="0.25">
      <c r="B11" s="17">
        <f>1906+175</f>
        <v>2081</v>
      </c>
      <c r="C11" s="2"/>
      <c r="D11" s="2"/>
      <c r="G11" s="18">
        <v>0</v>
      </c>
    </row>
    <row r="12" spans="1:9" ht="15" x14ac:dyDescent="0.25">
      <c r="A12" s="5" t="s">
        <v>62</v>
      </c>
      <c r="B12" s="17">
        <v>64</v>
      </c>
      <c r="C12" s="74"/>
      <c r="D12" s="2"/>
      <c r="E12" s="2"/>
      <c r="F12" s="53" t="s">
        <v>55</v>
      </c>
      <c r="G12" s="53" t="s">
        <v>56</v>
      </c>
    </row>
    <row r="13" spans="1:9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9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9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9" x14ac:dyDescent="0.25">
      <c r="A16" s="15" t="s">
        <v>510</v>
      </c>
      <c r="B16" s="66" t="s">
        <v>208</v>
      </c>
      <c r="C16" s="66">
        <v>370</v>
      </c>
      <c r="D16" s="66">
        <v>5</v>
      </c>
      <c r="E16" s="97">
        <f>C16*D16</f>
        <v>1850</v>
      </c>
      <c r="F16" s="68">
        <f>(-11.44*5)</f>
        <v>-57.199999999999996</v>
      </c>
      <c r="G16" s="68">
        <f>F16+E16</f>
        <v>1792.8</v>
      </c>
      <c r="I16" s="49"/>
    </row>
    <row r="17" spans="1:8" x14ac:dyDescent="0.25">
      <c r="A17" s="90" t="s">
        <v>511</v>
      </c>
      <c r="B17" s="66" t="s">
        <v>208</v>
      </c>
      <c r="C17" s="66">
        <v>355</v>
      </c>
      <c r="D17" s="66">
        <v>5</v>
      </c>
      <c r="E17" s="97">
        <f t="shared" ref="E17:E22" si="0">C17*D17</f>
        <v>1775</v>
      </c>
      <c r="F17" s="73">
        <v>-2.0299999999999999E-2</v>
      </c>
      <c r="G17" s="68">
        <f t="shared" ref="G17:G22" si="1">(E17*F17)+E17</f>
        <v>1738.9675</v>
      </c>
    </row>
    <row r="18" spans="1:8" x14ac:dyDescent="0.25">
      <c r="A18" s="15" t="s">
        <v>736</v>
      </c>
      <c r="B18" s="66" t="s">
        <v>252</v>
      </c>
      <c r="C18" s="66">
        <v>251.68</v>
      </c>
      <c r="D18" s="66">
        <v>1</v>
      </c>
      <c r="E18" s="66">
        <f t="shared" si="0"/>
        <v>251.68</v>
      </c>
      <c r="F18" s="73">
        <v>3.9774999999999998E-2</v>
      </c>
      <c r="G18" s="68">
        <f t="shared" si="1"/>
        <v>261.69057200000003</v>
      </c>
    </row>
    <row r="19" spans="1:8" x14ac:dyDescent="0.25">
      <c r="A19" s="93"/>
      <c r="B19" s="66"/>
      <c r="C19" s="94"/>
      <c r="D19" s="66"/>
      <c r="E19" s="94">
        <f t="shared" si="0"/>
        <v>0</v>
      </c>
      <c r="F19" s="73"/>
      <c r="G19" s="96">
        <f t="shared" si="1"/>
        <v>0</v>
      </c>
    </row>
    <row r="20" spans="1:8" ht="15" customHeight="1" x14ac:dyDescent="0.25">
      <c r="A20" s="90"/>
      <c r="B20" s="66"/>
      <c r="C20" s="80"/>
      <c r="D20" s="66"/>
      <c r="E20" s="94">
        <f t="shared" si="0"/>
        <v>0</v>
      </c>
      <c r="F20" s="73"/>
      <c r="G20" s="68">
        <f t="shared" si="1"/>
        <v>0</v>
      </c>
    </row>
    <row r="21" spans="1:8" ht="15" customHeight="1" x14ac:dyDescent="0.25">
      <c r="A21" s="90"/>
      <c r="B21" s="66"/>
      <c r="C21" s="80"/>
      <c r="D21" s="66"/>
      <c r="E21" s="94">
        <f t="shared" si="0"/>
        <v>0</v>
      </c>
      <c r="F21" s="73"/>
      <c r="G21" s="68">
        <f t="shared" si="1"/>
        <v>0</v>
      </c>
    </row>
    <row r="22" spans="1:8" ht="15" customHeight="1" x14ac:dyDescent="0.25">
      <c r="A22" s="90"/>
      <c r="B22" s="66"/>
      <c r="C22" s="80"/>
      <c r="D22" s="80"/>
      <c r="E22" s="94">
        <f t="shared" si="0"/>
        <v>0</v>
      </c>
      <c r="F22" s="73"/>
      <c r="G22" s="68">
        <f t="shared" si="1"/>
        <v>0</v>
      </c>
    </row>
    <row r="23" spans="1:8" ht="15" x14ac:dyDescent="0.25">
      <c r="A23" s="2"/>
      <c r="B23" s="2"/>
      <c r="C23" s="2"/>
      <c r="D23" s="2"/>
      <c r="E23" s="2"/>
      <c r="F23" s="2"/>
      <c r="G23" s="2"/>
    </row>
    <row r="24" spans="1:8" ht="30" customHeight="1" x14ac:dyDescent="0.25">
      <c r="A24" s="106" t="s">
        <v>331</v>
      </c>
      <c r="B24" s="132" t="s">
        <v>11</v>
      </c>
      <c r="C24" s="132"/>
      <c r="D24" s="132"/>
      <c r="E24" s="132"/>
      <c r="F24" s="113">
        <f>SUM(G16:G22)</f>
        <v>3793.4580719999999</v>
      </c>
      <c r="G24" s="113"/>
    </row>
    <row r="25" spans="1:8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8" ht="15" x14ac:dyDescent="0.25">
      <c r="A26" s="2"/>
      <c r="B26" s="2"/>
      <c r="C26" s="2"/>
      <c r="D26" s="2"/>
      <c r="E26" s="2"/>
      <c r="F26" s="2"/>
      <c r="G26" s="2"/>
    </row>
    <row r="27" spans="1:8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8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8" ht="15" x14ac:dyDescent="0.25">
      <c r="A29" s="43" t="s">
        <v>134</v>
      </c>
      <c r="B29" s="41" t="s">
        <v>54</v>
      </c>
      <c r="C29" s="40">
        <f>IFERROR(VLOOKUP(B29,Liste!C1:D5,2,FALSE),"")</f>
        <v>2300</v>
      </c>
      <c r="D29" s="54">
        <f>IFERROR(C29/4.33,0)</f>
        <v>531.17782909930713</v>
      </c>
      <c r="H29" s="7"/>
    </row>
    <row r="30" spans="1:8" ht="15" x14ac:dyDescent="0.3">
      <c r="A30" s="43" t="s">
        <v>66</v>
      </c>
      <c r="B30" s="46" t="s">
        <v>39</v>
      </c>
      <c r="C30" s="40">
        <f>IFERROR(VLOOKUP(B30,Liste!$C$7:$D$15,2,FALSE),"")</f>
        <v>1000</v>
      </c>
      <c r="D30" s="54">
        <f>IFERROR(C30/4.33,0)</f>
        <v>230.94688221709006</v>
      </c>
      <c r="H30" s="7"/>
    </row>
    <row r="31" spans="1:8" ht="15" x14ac:dyDescent="0.3">
      <c r="A31" s="43" t="s">
        <v>67</v>
      </c>
      <c r="B31" s="46" t="s">
        <v>69</v>
      </c>
      <c r="C31" s="40" t="str">
        <f>IFERROR(VLOOKUP(B31,Liste!$C$7:$D$15,2,FALSE),"")</f>
        <v/>
      </c>
      <c r="D31" s="54">
        <f t="shared" ref="D31:D33" si="2">IFERROR(C31/4.33,0)</f>
        <v>0</v>
      </c>
      <c r="H31" s="7"/>
    </row>
    <row r="32" spans="1:8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2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2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1.3553999999999999</v>
      </c>
      <c r="D34" s="54">
        <f>(B11*D5/100)*C34</f>
        <v>812.61122994000004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0</v>
      </c>
      <c r="D35" s="54">
        <f>(D5*B11/100)*C35</f>
        <v>0</v>
      </c>
      <c r="H35" s="7"/>
    </row>
    <row r="36" spans="1:8" ht="15" x14ac:dyDescent="0.3">
      <c r="A36" s="43" t="s">
        <v>3</v>
      </c>
      <c r="B36" s="42"/>
      <c r="C36" s="65">
        <v>0.43090000000000001</v>
      </c>
      <c r="D36" s="54">
        <f>(D6*B11)*C36</f>
        <v>17.037355099999999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83.24</v>
      </c>
      <c r="E38" s="49"/>
      <c r="H38" s="7"/>
    </row>
    <row r="39" spans="1:8" ht="15" x14ac:dyDescent="0.25">
      <c r="A39" s="43" t="s">
        <v>13</v>
      </c>
      <c r="B39" s="41">
        <f>B12</f>
        <v>64</v>
      </c>
      <c r="C39" s="56">
        <v>5</v>
      </c>
      <c r="D39" s="54">
        <f>C39*B39</f>
        <v>320</v>
      </c>
      <c r="H39" s="7"/>
    </row>
    <row r="40" spans="1:8" ht="15" x14ac:dyDescent="0.25">
      <c r="A40" s="43" t="s">
        <v>14</v>
      </c>
      <c r="B40" s="48" t="s">
        <v>55</v>
      </c>
      <c r="C40" s="40">
        <v>1</v>
      </c>
      <c r="D40" s="40">
        <v>885.77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2880.7832963563974</v>
      </c>
    </row>
    <row r="46" spans="1:8" x14ac:dyDescent="0.25">
      <c r="C46" s="6" t="s">
        <v>49</v>
      </c>
      <c r="D46" s="47">
        <f>F24-D45</f>
        <v>912.67477564360252</v>
      </c>
    </row>
    <row r="48" spans="1:8" ht="39" customHeight="1" x14ac:dyDescent="0.25">
      <c r="C48" s="58" t="s">
        <v>48</v>
      </c>
      <c r="D48" s="59">
        <f>D46/F24</f>
        <v>0.2405917656979451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0D5DC7DE-0CCD-4AD8-815C-35B0E8910118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9FDF14C-9778-4FF9-964F-80A6B40B3E85}">
          <x14:formula1>
            <xm:f>Liste!$C$2:$C$5</xm:f>
          </x14:formula1>
          <xm:sqref>B29</xm:sqref>
        </x14:dataValidation>
        <x14:dataValidation type="list" allowBlank="1" showInputMessage="1" showErrorMessage="1" xr:uid="{A0DAE246-85CC-48DF-936F-83DE6544EC00}">
          <x14:formula1>
            <xm:f>Liste!$A$21:$A$22</xm:f>
          </x14:formula1>
          <xm:sqref>B40</xm:sqref>
        </x14:dataValidation>
        <x14:dataValidation type="list" allowBlank="1" showInputMessage="1" showErrorMessage="1" xr:uid="{92E91D5B-7885-416E-9306-71AE1E757EB6}">
          <x14:formula1>
            <xm:f>Liste!$A$24:$A$25</xm:f>
          </x14:formula1>
          <xm:sqref>B42</xm:sqref>
        </x14:dataValidation>
        <x14:dataValidation type="list" allowBlank="1" showInputMessage="1" showErrorMessage="1" xr:uid="{1EEED622-FD71-48D5-8A44-C36DA2F36174}">
          <x14:formula1>
            <xm:f>Liste!$C$7:$C$16</xm:f>
          </x14:formula1>
          <xm:sqref>B30:B33</xm:sqref>
        </x14:dataValidation>
      </x14:dataValidations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CECF4-F307-49A1-B24A-B12CEC292586}">
  <sheetPr>
    <tabColor theme="7" tint="0.39997558519241921"/>
  </sheetPr>
  <dimension ref="A1:I48"/>
  <sheetViews>
    <sheetView workbookViewId="0">
      <selection activeCell="J14" sqref="J14"/>
    </sheetView>
  </sheetViews>
  <sheetFormatPr baseColWidth="10" defaultColWidth="11.44140625" defaultRowHeight="13.2" x14ac:dyDescent="0.25"/>
  <cols>
    <col min="1" max="1" width="36.6640625" style="1" bestFit="1" customWidth="1"/>
    <col min="2" max="2" width="20.6640625" style="1" customWidth="1"/>
    <col min="3" max="3" width="22.44140625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9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9" x14ac:dyDescent="0.25">
      <c r="A3" s="126" t="s">
        <v>5</v>
      </c>
      <c r="B3" s="126"/>
      <c r="C3" s="126"/>
      <c r="D3" s="126"/>
      <c r="E3" s="126"/>
      <c r="F3" s="126"/>
      <c r="G3" s="126"/>
    </row>
    <row r="4" spans="1:9" ht="15" x14ac:dyDescent="0.25">
      <c r="A4" s="2"/>
      <c r="B4" s="5" t="s">
        <v>10</v>
      </c>
      <c r="D4" s="11" t="s">
        <v>12</v>
      </c>
      <c r="F4" s="129" t="s">
        <v>15</v>
      </c>
      <c r="G4" s="130" t="s">
        <v>688</v>
      </c>
    </row>
    <row r="5" spans="1:9" ht="15" x14ac:dyDescent="0.25">
      <c r="A5" s="5" t="s">
        <v>8</v>
      </c>
      <c r="B5" s="10" t="s">
        <v>738</v>
      </c>
      <c r="C5" s="10"/>
      <c r="D5" s="17">
        <v>23.71</v>
      </c>
      <c r="E5" s="6"/>
      <c r="F5" s="129"/>
      <c r="G5" s="131"/>
    </row>
    <row r="6" spans="1:9" ht="15" x14ac:dyDescent="0.25">
      <c r="A6" s="5" t="s">
        <v>9</v>
      </c>
      <c r="B6" s="10" t="s">
        <v>299</v>
      </c>
      <c r="C6" s="10"/>
      <c r="D6" s="6">
        <v>1.9E-2</v>
      </c>
      <c r="F6" s="2"/>
      <c r="G6" s="2"/>
    </row>
    <row r="7" spans="1:9" ht="15" x14ac:dyDescent="0.25">
      <c r="A7" s="5" t="s">
        <v>16</v>
      </c>
      <c r="B7" s="12" t="s">
        <v>533</v>
      </c>
      <c r="C7" s="12" t="s">
        <v>739</v>
      </c>
      <c r="D7" s="63"/>
    </row>
    <row r="8" spans="1:9" ht="15" x14ac:dyDescent="0.25">
      <c r="A8" s="11" t="s">
        <v>71</v>
      </c>
      <c r="B8" s="18">
        <v>42.64</v>
      </c>
      <c r="C8" s="18">
        <v>41.22</v>
      </c>
    </row>
    <row r="9" spans="1:9" x14ac:dyDescent="0.25">
      <c r="A9" s="11" t="s">
        <v>72</v>
      </c>
      <c r="B9" s="77">
        <v>35.9</v>
      </c>
      <c r="C9" s="77">
        <v>37.33</v>
      </c>
    </row>
    <row r="10" spans="1:9" ht="15" x14ac:dyDescent="0.25">
      <c r="A10" s="5"/>
      <c r="B10" s="11" t="s">
        <v>70</v>
      </c>
      <c r="C10" s="2"/>
      <c r="D10" s="2"/>
      <c r="G10" s="11" t="s">
        <v>61</v>
      </c>
    </row>
    <row r="11" spans="1:9" ht="15" x14ac:dyDescent="0.25">
      <c r="B11" s="17">
        <f>1217+2138</f>
        <v>3355</v>
      </c>
      <c r="C11" s="2"/>
      <c r="D11" s="2"/>
      <c r="G11" s="18">
        <v>0</v>
      </c>
    </row>
    <row r="12" spans="1:9" ht="15" x14ac:dyDescent="0.25">
      <c r="A12" s="5" t="s">
        <v>62</v>
      </c>
      <c r="B12" s="17">
        <f>29.08*2</f>
        <v>58.16</v>
      </c>
      <c r="C12" s="74"/>
      <c r="D12" s="2"/>
      <c r="E12" s="2"/>
      <c r="F12" s="53" t="s">
        <v>55</v>
      </c>
      <c r="G12" s="53" t="s">
        <v>56</v>
      </c>
    </row>
    <row r="13" spans="1:9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9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9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9" x14ac:dyDescent="0.25">
      <c r="A16" s="15" t="s">
        <v>532</v>
      </c>
      <c r="B16" s="66" t="s">
        <v>381</v>
      </c>
      <c r="C16" s="66">
        <v>330</v>
      </c>
      <c r="D16" s="66">
        <v>5</v>
      </c>
      <c r="E16" s="97">
        <f>C16*D16</f>
        <v>1650</v>
      </c>
      <c r="F16" s="73"/>
      <c r="G16" s="68">
        <f t="shared" ref="G16:G22" si="0">(E16*F16)+E16</f>
        <v>1650</v>
      </c>
      <c r="I16" s="49"/>
    </row>
    <row r="17" spans="1:9" x14ac:dyDescent="0.25">
      <c r="A17" s="99" t="s">
        <v>737</v>
      </c>
      <c r="B17" s="94" t="s">
        <v>208</v>
      </c>
      <c r="C17" s="94">
        <v>540</v>
      </c>
      <c r="D17" s="94">
        <v>5</v>
      </c>
      <c r="E17" s="100">
        <f t="shared" ref="E17:E22" si="1">C17*D17</f>
        <v>2700</v>
      </c>
      <c r="F17" s="95">
        <v>5.2499999999999998E-2</v>
      </c>
      <c r="G17" s="96">
        <f t="shared" si="0"/>
        <v>2841.75</v>
      </c>
      <c r="I17" s="49"/>
    </row>
    <row r="18" spans="1:9" x14ac:dyDescent="0.25">
      <c r="A18" s="15"/>
      <c r="B18" s="66"/>
      <c r="C18" s="66"/>
      <c r="D18" s="66"/>
      <c r="E18" s="66">
        <f t="shared" si="1"/>
        <v>0</v>
      </c>
      <c r="F18" s="73"/>
      <c r="G18" s="68">
        <f t="shared" si="0"/>
        <v>0</v>
      </c>
    </row>
    <row r="19" spans="1:9" x14ac:dyDescent="0.25">
      <c r="A19" s="93"/>
      <c r="B19" s="66"/>
      <c r="C19" s="94"/>
      <c r="D19" s="66"/>
      <c r="E19" s="94">
        <f t="shared" si="1"/>
        <v>0</v>
      </c>
      <c r="F19" s="68"/>
      <c r="G19" s="96">
        <f>F19+E19</f>
        <v>0</v>
      </c>
    </row>
    <row r="20" spans="1:9" ht="15" customHeight="1" x14ac:dyDescent="0.25">
      <c r="B20" s="66"/>
      <c r="C20" s="80"/>
      <c r="D20" s="66"/>
      <c r="E20" s="100">
        <f t="shared" si="1"/>
        <v>0</v>
      </c>
      <c r="F20" s="73"/>
      <c r="G20" s="68">
        <f t="shared" si="0"/>
        <v>0</v>
      </c>
    </row>
    <row r="21" spans="1:9" ht="15" customHeight="1" x14ac:dyDescent="0.25">
      <c r="A21" s="98" t="s">
        <v>740</v>
      </c>
      <c r="B21" s="66"/>
      <c r="C21" s="80"/>
      <c r="D21" s="66"/>
      <c r="E21" s="94">
        <f t="shared" si="1"/>
        <v>0</v>
      </c>
      <c r="F21" s="73"/>
      <c r="G21" s="68">
        <f t="shared" si="0"/>
        <v>0</v>
      </c>
    </row>
    <row r="22" spans="1:9" ht="15" customHeight="1" x14ac:dyDescent="0.25">
      <c r="A22" s="90"/>
      <c r="B22" s="66"/>
      <c r="C22" s="80"/>
      <c r="D22" s="80"/>
      <c r="E22" s="94">
        <f t="shared" si="1"/>
        <v>0</v>
      </c>
      <c r="F22" s="73"/>
      <c r="G22" s="68">
        <f t="shared" si="0"/>
        <v>0</v>
      </c>
    </row>
    <row r="23" spans="1:9" ht="15" x14ac:dyDescent="0.25">
      <c r="A23" s="2"/>
      <c r="B23" s="2"/>
      <c r="C23" s="2"/>
      <c r="D23" s="2"/>
      <c r="E23" s="2"/>
      <c r="F23" s="2"/>
      <c r="G23" s="2"/>
    </row>
    <row r="24" spans="1:9" ht="30" customHeight="1" x14ac:dyDescent="0.25">
      <c r="A24" s="106" t="s">
        <v>530</v>
      </c>
      <c r="B24" s="132" t="s">
        <v>11</v>
      </c>
      <c r="C24" s="132"/>
      <c r="D24" s="132"/>
      <c r="E24" s="132"/>
      <c r="F24" s="113">
        <f>SUM(G16:G22)</f>
        <v>4491.75</v>
      </c>
      <c r="G24" s="113"/>
    </row>
    <row r="25" spans="1:9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9" ht="15" x14ac:dyDescent="0.25">
      <c r="A26" s="2"/>
      <c r="B26" s="2"/>
      <c r="C26" s="2"/>
      <c r="D26" s="2"/>
      <c r="E26" s="2"/>
      <c r="F26" s="2"/>
      <c r="G26" s="2"/>
    </row>
    <row r="27" spans="1:9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9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9" ht="15" x14ac:dyDescent="0.25">
      <c r="A29" s="43" t="s">
        <v>134</v>
      </c>
      <c r="B29" s="41" t="s">
        <v>54</v>
      </c>
      <c r="C29" s="40">
        <f>IFERROR(VLOOKUP(B29,Liste!C1:D5,2,FALSE),"")</f>
        <v>2300</v>
      </c>
      <c r="D29" s="54">
        <f>IFERROR(C29/4.33,0)</f>
        <v>531.17782909930713</v>
      </c>
      <c r="H29" s="7"/>
    </row>
    <row r="30" spans="1:9" ht="15" x14ac:dyDescent="0.3">
      <c r="A30" s="43" t="s">
        <v>66</v>
      </c>
      <c r="B30" s="46" t="s">
        <v>39</v>
      </c>
      <c r="C30" s="40">
        <f>IFERROR(VLOOKUP(B30,Liste!$C$7:$D$15,2,FALSE),"")</f>
        <v>1000</v>
      </c>
      <c r="D30" s="54">
        <f>IFERROR(C30/4.33,0)</f>
        <v>230.94688221709006</v>
      </c>
      <c r="H30" s="7"/>
    </row>
    <row r="31" spans="1:9" ht="15" x14ac:dyDescent="0.3">
      <c r="A31" s="43" t="s">
        <v>67</v>
      </c>
      <c r="B31" s="46" t="s">
        <v>69</v>
      </c>
      <c r="C31" s="40" t="str">
        <f>IFERROR(VLOOKUP(B31,Liste!$C$7:$D$15,2,FALSE),"")</f>
        <v/>
      </c>
      <c r="D31" s="54">
        <f t="shared" ref="D31:D33" si="2">IFERROR(C31/4.33,0)</f>
        <v>0</v>
      </c>
      <c r="H31" s="7"/>
    </row>
    <row r="32" spans="1:9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2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2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1.3553999999999999</v>
      </c>
      <c r="D34" s="54">
        <f>(B11*D5/100)*C34</f>
        <v>1078.1807157000001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0</v>
      </c>
      <c r="D35" s="54">
        <f>(D5*B11/100)*C35</f>
        <v>0</v>
      </c>
      <c r="H35" s="7"/>
    </row>
    <row r="36" spans="1:8" ht="15" x14ac:dyDescent="0.3">
      <c r="A36" s="43" t="s">
        <v>3</v>
      </c>
      <c r="B36" s="42"/>
      <c r="C36" s="65">
        <v>0.43090000000000001</v>
      </c>
      <c r="D36" s="54">
        <f>(D6*B11)*C36</f>
        <v>27.467720499999999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134.19999999999999</v>
      </c>
      <c r="E38" s="49"/>
      <c r="H38" s="7"/>
    </row>
    <row r="39" spans="1:8" ht="15" x14ac:dyDescent="0.25">
      <c r="A39" s="43" t="s">
        <v>13</v>
      </c>
      <c r="B39" s="41">
        <f>B12</f>
        <v>58.16</v>
      </c>
      <c r="C39" s="56">
        <v>5</v>
      </c>
      <c r="D39" s="54">
        <f>C39*B39</f>
        <v>290.79999999999995</v>
      </c>
      <c r="H39" s="7"/>
    </row>
    <row r="40" spans="1:8" ht="15" x14ac:dyDescent="0.25">
      <c r="A40" s="43" t="s">
        <v>14</v>
      </c>
      <c r="B40" s="48" t="s">
        <v>55</v>
      </c>
      <c r="C40" s="40">
        <v>2</v>
      </c>
      <c r="D40" s="40">
        <f>811.13+857.75</f>
        <v>1668.88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3961.6531475163974</v>
      </c>
    </row>
    <row r="46" spans="1:8" x14ac:dyDescent="0.25">
      <c r="C46" s="6" t="s">
        <v>49</v>
      </c>
      <c r="D46" s="47">
        <f>F24-D45</f>
        <v>530.09685248360256</v>
      </c>
    </row>
    <row r="48" spans="1:8" ht="39" customHeight="1" x14ac:dyDescent="0.25">
      <c r="C48" s="58" t="s">
        <v>48</v>
      </c>
      <c r="D48" s="59">
        <f>D46/F24</f>
        <v>0.1180156626000117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04D67955-3398-4957-816F-F263AB47EA9E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8A35D38-3A51-4B87-8ACA-766E20FE0CFA}">
          <x14:formula1>
            <xm:f>Liste!$C$7:$C$16</xm:f>
          </x14:formula1>
          <xm:sqref>B30:B33</xm:sqref>
        </x14:dataValidation>
        <x14:dataValidation type="list" allowBlank="1" showInputMessage="1" showErrorMessage="1" xr:uid="{9B0578B8-812C-4CC7-AE8A-A660136170AA}">
          <x14:formula1>
            <xm:f>Liste!$A$24:$A$25</xm:f>
          </x14:formula1>
          <xm:sqref>B42</xm:sqref>
        </x14:dataValidation>
        <x14:dataValidation type="list" allowBlank="1" showInputMessage="1" showErrorMessage="1" xr:uid="{230C3B92-3EAA-4D92-A8BF-7A32426BEC5A}">
          <x14:formula1>
            <xm:f>Liste!$A$21:$A$22</xm:f>
          </x14:formula1>
          <xm:sqref>B40</xm:sqref>
        </x14:dataValidation>
        <x14:dataValidation type="list" allowBlank="1" showInputMessage="1" showErrorMessage="1" xr:uid="{79D9E22F-080C-4462-8614-4FF716A5D099}">
          <x14:formula1>
            <xm:f>Liste!$C$2:$C$5</xm:f>
          </x14:formula1>
          <xm:sqref>B29</xm:sqref>
        </x14:dataValidation>
      </x14:dataValidation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C670-A3B7-4B2E-8046-A40255775450}">
  <sheetPr>
    <tabColor theme="7" tint="0.39997558519241921"/>
  </sheetPr>
  <dimension ref="A1:I49"/>
  <sheetViews>
    <sheetView workbookViewId="0">
      <selection activeCell="G30" sqref="G30"/>
    </sheetView>
  </sheetViews>
  <sheetFormatPr baseColWidth="10" defaultColWidth="11.44140625" defaultRowHeight="13.2" x14ac:dyDescent="0.25"/>
  <cols>
    <col min="1" max="1" width="36.6640625" style="1" bestFit="1" customWidth="1"/>
    <col min="2" max="2" width="20.6640625" style="1" customWidth="1"/>
    <col min="3" max="3" width="22.44140625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9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9" x14ac:dyDescent="0.25">
      <c r="A3" s="126" t="s">
        <v>5</v>
      </c>
      <c r="B3" s="126"/>
      <c r="C3" s="126"/>
      <c r="D3" s="126"/>
      <c r="E3" s="126"/>
      <c r="F3" s="126"/>
      <c r="G3" s="126"/>
    </row>
    <row r="4" spans="1:9" ht="15" x14ac:dyDescent="0.25">
      <c r="A4" s="2"/>
      <c r="B4" s="5" t="s">
        <v>10</v>
      </c>
      <c r="D4" s="11" t="s">
        <v>12</v>
      </c>
      <c r="F4" s="129" t="s">
        <v>15</v>
      </c>
      <c r="G4" s="130" t="s">
        <v>688</v>
      </c>
    </row>
    <row r="5" spans="1:9" ht="15" x14ac:dyDescent="0.25">
      <c r="A5" s="5" t="s">
        <v>8</v>
      </c>
      <c r="B5" s="10" t="s">
        <v>538</v>
      </c>
      <c r="C5" s="10"/>
      <c r="D5" s="17">
        <v>27.48</v>
      </c>
      <c r="E5" s="6"/>
      <c r="F5" s="129"/>
      <c r="G5" s="131"/>
    </row>
    <row r="6" spans="1:9" ht="15" x14ac:dyDescent="0.25">
      <c r="A6" s="5" t="s">
        <v>9</v>
      </c>
      <c r="B6" s="10" t="s">
        <v>299</v>
      </c>
      <c r="C6" s="10"/>
      <c r="D6" s="6">
        <v>1.9E-2</v>
      </c>
      <c r="F6" s="2"/>
      <c r="G6" s="2"/>
    </row>
    <row r="7" spans="1:9" ht="15" x14ac:dyDescent="0.25">
      <c r="A7" s="5" t="s">
        <v>16</v>
      </c>
      <c r="B7" s="12" t="s">
        <v>539</v>
      </c>
      <c r="C7" s="12" t="s">
        <v>540</v>
      </c>
      <c r="D7" s="63"/>
    </row>
    <row r="8" spans="1:9" ht="15" x14ac:dyDescent="0.25">
      <c r="A8" s="11" t="s">
        <v>71</v>
      </c>
      <c r="B8" s="18">
        <v>56.45</v>
      </c>
      <c r="C8" s="18">
        <v>62.45</v>
      </c>
    </row>
    <row r="9" spans="1:9" x14ac:dyDescent="0.25">
      <c r="A9" s="11" t="s">
        <v>72</v>
      </c>
      <c r="B9" s="77">
        <v>29.73</v>
      </c>
      <c r="C9" s="77">
        <v>44.86</v>
      </c>
    </row>
    <row r="10" spans="1:9" ht="15" x14ac:dyDescent="0.25">
      <c r="A10" s="5"/>
      <c r="B10" s="11" t="s">
        <v>70</v>
      </c>
      <c r="C10" s="2"/>
      <c r="D10" s="2"/>
      <c r="G10" s="11" t="s">
        <v>61</v>
      </c>
    </row>
    <row r="11" spans="1:9" ht="15" x14ac:dyDescent="0.25">
      <c r="B11" s="17">
        <f>1136+2350</f>
        <v>3486</v>
      </c>
      <c r="C11" s="2"/>
      <c r="D11" s="2"/>
      <c r="G11" s="18">
        <v>0</v>
      </c>
    </row>
    <row r="12" spans="1:9" ht="15" x14ac:dyDescent="0.25">
      <c r="A12" s="5" t="s">
        <v>62</v>
      </c>
      <c r="B12" s="17">
        <v>78</v>
      </c>
      <c r="C12" s="74"/>
      <c r="D12" s="2"/>
      <c r="E12" s="2"/>
      <c r="F12" s="53" t="s">
        <v>55</v>
      </c>
      <c r="G12" s="53" t="s">
        <v>56</v>
      </c>
    </row>
    <row r="13" spans="1:9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9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9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9" x14ac:dyDescent="0.25">
      <c r="A16" s="99" t="s">
        <v>541</v>
      </c>
      <c r="B16" s="66" t="s">
        <v>208</v>
      </c>
      <c r="C16" s="66">
        <v>199.09</v>
      </c>
      <c r="D16" s="66">
        <v>6</v>
      </c>
      <c r="E16" s="97">
        <f>C16*D16</f>
        <v>1194.54</v>
      </c>
      <c r="F16" s="73">
        <v>3.9774999999999998E-2</v>
      </c>
      <c r="G16" s="68">
        <f t="shared" ref="G16:G23" si="0">(E16*F16)+E16</f>
        <v>1242.0528285</v>
      </c>
      <c r="I16" s="49"/>
    </row>
    <row r="17" spans="1:9" x14ac:dyDescent="0.25">
      <c r="A17" s="99" t="s">
        <v>741</v>
      </c>
      <c r="B17" s="66" t="s">
        <v>208</v>
      </c>
      <c r="C17" s="66">
        <v>119.79</v>
      </c>
      <c r="D17" s="66">
        <v>6</v>
      </c>
      <c r="E17" s="97">
        <f>C17*D17</f>
        <v>718.74</v>
      </c>
      <c r="F17" s="73">
        <v>4.7730000000000002E-2</v>
      </c>
      <c r="G17" s="68">
        <f t="shared" ref="G17" si="1">(E17*F17)+E17</f>
        <v>753.04546019999998</v>
      </c>
      <c r="I17" s="49"/>
    </row>
    <row r="18" spans="1:9" x14ac:dyDescent="0.25">
      <c r="A18" s="99" t="s">
        <v>542</v>
      </c>
      <c r="B18" s="94" t="s">
        <v>208</v>
      </c>
      <c r="C18" s="94">
        <v>335</v>
      </c>
      <c r="D18" s="94">
        <v>5</v>
      </c>
      <c r="E18" s="100">
        <f t="shared" ref="E18:E23" si="2">C18*D18</f>
        <v>1675</v>
      </c>
      <c r="F18" s="66">
        <f>6.64*5</f>
        <v>33.199999999999996</v>
      </c>
      <c r="G18" s="96">
        <f>F18+E18</f>
        <v>1708.2</v>
      </c>
      <c r="I18" s="49" t="s">
        <v>549</v>
      </c>
    </row>
    <row r="19" spans="1:9" x14ac:dyDescent="0.25">
      <c r="A19" s="15" t="s">
        <v>543</v>
      </c>
      <c r="B19" s="66" t="s">
        <v>208</v>
      </c>
      <c r="C19" s="66">
        <v>224.26</v>
      </c>
      <c r="D19" s="66">
        <v>5</v>
      </c>
      <c r="E19" s="66">
        <f t="shared" si="2"/>
        <v>1121.3</v>
      </c>
      <c r="F19" s="73">
        <v>3.9774999999999998E-2</v>
      </c>
      <c r="G19" s="68">
        <f t="shared" si="0"/>
        <v>1165.8997075</v>
      </c>
      <c r="I19" s="49"/>
    </row>
    <row r="20" spans="1:9" x14ac:dyDescent="0.25">
      <c r="A20" s="93" t="s">
        <v>544</v>
      </c>
      <c r="B20" s="66" t="s">
        <v>258</v>
      </c>
      <c r="C20" s="94">
        <v>2.3948999999999998</v>
      </c>
      <c r="D20" s="66">
        <v>180</v>
      </c>
      <c r="E20" s="94">
        <f t="shared" si="2"/>
        <v>431.08199999999999</v>
      </c>
      <c r="F20" s="68">
        <v>0</v>
      </c>
      <c r="G20" s="96">
        <f>F20+E20</f>
        <v>431.08199999999999</v>
      </c>
    </row>
    <row r="21" spans="1:9" ht="15" customHeight="1" x14ac:dyDescent="0.25">
      <c r="A21" s="99"/>
      <c r="B21" s="66"/>
      <c r="C21" s="66"/>
      <c r="D21" s="66"/>
      <c r="E21" s="97">
        <f>C21*D21</f>
        <v>0</v>
      </c>
      <c r="F21" s="73"/>
      <c r="G21" s="68">
        <f t="shared" ref="G21" si="3">(E21*F21)+E21</f>
        <v>0</v>
      </c>
    </row>
    <row r="22" spans="1:9" ht="15" customHeight="1" x14ac:dyDescent="0.25">
      <c r="A22" s="98"/>
      <c r="B22" s="66"/>
      <c r="C22" s="80"/>
      <c r="D22" s="66"/>
      <c r="E22" s="94">
        <f t="shared" si="2"/>
        <v>0</v>
      </c>
      <c r="F22" s="73"/>
      <c r="G22" s="68">
        <f t="shared" si="0"/>
        <v>0</v>
      </c>
    </row>
    <row r="23" spans="1:9" ht="15" customHeight="1" x14ac:dyDescent="0.25">
      <c r="A23" s="90"/>
      <c r="B23" s="66"/>
      <c r="C23" s="80"/>
      <c r="D23" s="80"/>
      <c r="E23" s="94">
        <f t="shared" si="2"/>
        <v>0</v>
      </c>
      <c r="F23" s="73"/>
      <c r="G23" s="68">
        <f t="shared" si="0"/>
        <v>0</v>
      </c>
    </row>
    <row r="24" spans="1:9" ht="15" x14ac:dyDescent="0.25">
      <c r="A24" s="2"/>
      <c r="B24" s="2"/>
      <c r="C24" s="2"/>
      <c r="D24" s="2"/>
      <c r="E24" s="2"/>
      <c r="F24" s="2"/>
      <c r="G24" s="2"/>
    </row>
    <row r="25" spans="1:9" ht="30" customHeight="1" x14ac:dyDescent="0.25">
      <c r="A25" s="106" t="s">
        <v>529</v>
      </c>
      <c r="B25" s="132" t="s">
        <v>11</v>
      </c>
      <c r="C25" s="132"/>
      <c r="D25" s="132"/>
      <c r="E25" s="132"/>
      <c r="F25" s="113">
        <f>SUM(G16:G23)</f>
        <v>5300.2799961999999</v>
      </c>
      <c r="G25" s="113"/>
    </row>
    <row r="26" spans="1:9" ht="18" x14ac:dyDescent="0.35">
      <c r="A26" s="86" t="s">
        <v>371</v>
      </c>
      <c r="B26" s="2"/>
      <c r="C26" s="2"/>
      <c r="D26" s="2"/>
      <c r="E26" s="9"/>
      <c r="F26" s="2"/>
      <c r="G26" s="2"/>
    </row>
    <row r="27" spans="1:9" ht="15" x14ac:dyDescent="0.25">
      <c r="A27" s="2"/>
      <c r="B27" s="2"/>
      <c r="C27" s="2"/>
      <c r="D27" s="2"/>
      <c r="E27" s="2"/>
      <c r="F27" s="2"/>
      <c r="G27" s="2"/>
    </row>
    <row r="28" spans="1:9" x14ac:dyDescent="0.25">
      <c r="A28" s="126" t="s">
        <v>0</v>
      </c>
      <c r="B28" s="126"/>
      <c r="C28" s="126"/>
      <c r="D28" s="126"/>
      <c r="E28" s="126"/>
      <c r="F28" s="126"/>
      <c r="G28" s="126"/>
    </row>
    <row r="29" spans="1:9" ht="26.25" customHeight="1" x14ac:dyDescent="0.25">
      <c r="A29" s="3"/>
      <c r="B29" s="6" t="s">
        <v>45</v>
      </c>
      <c r="C29" s="39" t="s">
        <v>63</v>
      </c>
      <c r="D29" s="39" t="s">
        <v>46</v>
      </c>
      <c r="E29" s="4"/>
      <c r="F29" s="4"/>
      <c r="G29" s="4"/>
      <c r="H29" s="8"/>
    </row>
    <row r="30" spans="1:9" ht="15" x14ac:dyDescent="0.25">
      <c r="A30" s="43" t="s">
        <v>134</v>
      </c>
      <c r="B30" s="41" t="s">
        <v>193</v>
      </c>
      <c r="C30" s="40">
        <f>IFERROR(VLOOKUP(B30,Liste!C1:D5,2,FALSE),"")</f>
        <v>2500</v>
      </c>
      <c r="D30" s="54">
        <f>IFERROR(C30/4.33,0)</f>
        <v>577.36720554272517</v>
      </c>
      <c r="H30" s="7"/>
    </row>
    <row r="31" spans="1:9" ht="15" x14ac:dyDescent="0.3">
      <c r="A31" s="43" t="s">
        <v>66</v>
      </c>
      <c r="B31" s="46" t="s">
        <v>39</v>
      </c>
      <c r="C31" s="40">
        <f>IFERROR(VLOOKUP(B31,Liste!$C$7:$D$15,2,FALSE),"")</f>
        <v>1000</v>
      </c>
      <c r="D31" s="54">
        <f>IFERROR(C31/4.33,0)</f>
        <v>230.94688221709006</v>
      </c>
      <c r="H31" s="7"/>
    </row>
    <row r="32" spans="1:9" ht="15" x14ac:dyDescent="0.3">
      <c r="A32" s="43" t="s">
        <v>67</v>
      </c>
      <c r="B32" s="46" t="s">
        <v>69</v>
      </c>
      <c r="C32" s="40" t="str">
        <f>IFERROR(VLOOKUP(B32,Liste!$C$7:$D$15,2,FALSE),"")</f>
        <v/>
      </c>
      <c r="D32" s="54">
        <f t="shared" ref="D32:D34" si="4">IFERROR(C32/4.33,0)</f>
        <v>0</v>
      </c>
      <c r="H32" s="7"/>
    </row>
    <row r="33" spans="1:8" ht="15" x14ac:dyDescent="0.3">
      <c r="A33" s="43" t="s">
        <v>68</v>
      </c>
      <c r="B33" s="46" t="s">
        <v>69</v>
      </c>
      <c r="C33" s="40" t="str">
        <f>IFERROR(VLOOKUP(B33,Liste!$C$7:$D$15,2,FALSE),"")</f>
        <v/>
      </c>
      <c r="D33" s="54">
        <f t="shared" si="4"/>
        <v>0</v>
      </c>
      <c r="H33" s="7"/>
    </row>
    <row r="34" spans="1:8" ht="15" x14ac:dyDescent="0.3">
      <c r="A34" s="43" t="s">
        <v>73</v>
      </c>
      <c r="B34" s="46" t="s">
        <v>69</v>
      </c>
      <c r="C34" s="40" t="str">
        <f>IFERROR(VLOOKUP(B34,Liste!$C$7:$D$15,2,FALSE),"")</f>
        <v/>
      </c>
      <c r="D34" s="54">
        <f t="shared" si="4"/>
        <v>0</v>
      </c>
      <c r="H34" s="7"/>
    </row>
    <row r="35" spans="1:8" ht="15" x14ac:dyDescent="0.25">
      <c r="A35" s="43" t="s">
        <v>2</v>
      </c>
      <c r="B35" s="41" t="s">
        <v>32</v>
      </c>
      <c r="C35" s="65">
        <v>0</v>
      </c>
      <c r="D35" s="54">
        <f>(B11*D5/100)*C35</f>
        <v>0</v>
      </c>
      <c r="E35" s="49"/>
      <c r="H35" s="7"/>
    </row>
    <row r="36" spans="1:8" ht="15" x14ac:dyDescent="0.25">
      <c r="A36" s="43" t="s">
        <v>2</v>
      </c>
      <c r="B36" s="41" t="s">
        <v>34</v>
      </c>
      <c r="C36" s="48">
        <v>1.365</v>
      </c>
      <c r="D36" s="54">
        <f>(D5*B11/100)*C36</f>
        <v>1307.6055719999999</v>
      </c>
      <c r="H36" s="7"/>
    </row>
    <row r="37" spans="1:8" ht="15" x14ac:dyDescent="0.3">
      <c r="A37" s="43" t="s">
        <v>3</v>
      </c>
      <c r="B37" s="42"/>
      <c r="C37" s="65">
        <v>0</v>
      </c>
      <c r="D37" s="54">
        <f>(D6*B11)*C37</f>
        <v>0</v>
      </c>
      <c r="H37" s="7"/>
    </row>
    <row r="38" spans="1:8" ht="15" x14ac:dyDescent="0.3">
      <c r="A38" s="43" t="s">
        <v>4</v>
      </c>
      <c r="B38" s="42"/>
      <c r="C38" s="48">
        <v>1.1225000000000001</v>
      </c>
      <c r="D38" s="55"/>
      <c r="H38" s="7"/>
    </row>
    <row r="39" spans="1:8" ht="30" x14ac:dyDescent="0.3">
      <c r="A39" s="43" t="s">
        <v>52</v>
      </c>
      <c r="B39" s="42"/>
      <c r="C39" s="44">
        <v>0.04</v>
      </c>
      <c r="D39" s="54">
        <f>C39*B11</f>
        <v>139.44</v>
      </c>
      <c r="E39" s="49"/>
      <c r="H39" s="7"/>
    </row>
    <row r="40" spans="1:8" ht="15" x14ac:dyDescent="0.25">
      <c r="A40" s="43" t="s">
        <v>13</v>
      </c>
      <c r="B40" s="41">
        <f>B12</f>
        <v>78</v>
      </c>
      <c r="C40" s="56">
        <v>5</v>
      </c>
      <c r="D40" s="54">
        <f>(C40*B40)+42</f>
        <v>432</v>
      </c>
      <c r="E40" s="85" t="s">
        <v>545</v>
      </c>
      <c r="H40" s="7"/>
    </row>
    <row r="41" spans="1:8" ht="15" x14ac:dyDescent="0.25">
      <c r="A41" s="43" t="s">
        <v>14</v>
      </c>
      <c r="B41" s="48" t="s">
        <v>55</v>
      </c>
      <c r="C41" s="40">
        <v>2</v>
      </c>
      <c r="D41" s="40">
        <f>880.93+874.06</f>
        <v>1754.9899999999998</v>
      </c>
      <c r="E41" s="49"/>
      <c r="H41" s="7"/>
    </row>
    <row r="42" spans="1:8" ht="15" x14ac:dyDescent="0.3">
      <c r="A42" s="43" t="s">
        <v>60</v>
      </c>
      <c r="B42" s="42"/>
      <c r="C42" s="42"/>
      <c r="D42" s="54">
        <f>G11</f>
        <v>0</v>
      </c>
      <c r="E42" s="49"/>
      <c r="H42" s="7"/>
    </row>
    <row r="43" spans="1:8" ht="15" x14ac:dyDescent="0.25">
      <c r="A43" s="43" t="s">
        <v>1</v>
      </c>
      <c r="B43" s="48" t="s">
        <v>65</v>
      </c>
      <c r="C43" s="40">
        <f>IF(B43=Liste!A24,Liste!B18,0)</f>
        <v>0</v>
      </c>
      <c r="D43" s="54">
        <f>C43/4.33</f>
        <v>0</v>
      </c>
      <c r="H43" s="7"/>
    </row>
    <row r="44" spans="1:8" ht="15" x14ac:dyDescent="0.3">
      <c r="A44" s="45" t="s">
        <v>50</v>
      </c>
      <c r="B44" s="42"/>
      <c r="C44" s="40">
        <v>0</v>
      </c>
      <c r="D44" s="54">
        <v>0</v>
      </c>
      <c r="H44" s="7"/>
    </row>
    <row r="45" spans="1:8" ht="15" customHeight="1" x14ac:dyDescent="0.25">
      <c r="A45" s="50"/>
      <c r="B45" s="51"/>
      <c r="C45" s="52"/>
    </row>
    <row r="46" spans="1:8" x14ac:dyDescent="0.25">
      <c r="C46" s="6" t="s">
        <v>47</v>
      </c>
      <c r="D46" s="47">
        <f>SUM(D30:D44)</f>
        <v>4442.349659759815</v>
      </c>
    </row>
    <row r="47" spans="1:8" x14ac:dyDescent="0.25">
      <c r="C47" s="6" t="s">
        <v>49</v>
      </c>
      <c r="D47" s="47">
        <f>F25-D46</f>
        <v>857.93033644018487</v>
      </c>
    </row>
    <row r="49" spans="3:4" ht="39" customHeight="1" x14ac:dyDescent="0.25">
      <c r="C49" s="58" t="s">
        <v>48</v>
      </c>
      <c r="D49" s="59">
        <f>D47/F25</f>
        <v>0.1618650971373724</v>
      </c>
    </row>
  </sheetData>
  <mergeCells count="6">
    <mergeCell ref="A28:G28"/>
    <mergeCell ref="A1:G1"/>
    <mergeCell ref="A3:G3"/>
    <mergeCell ref="F4:F5"/>
    <mergeCell ref="G4:G5"/>
    <mergeCell ref="B25:E25"/>
  </mergeCells>
  <hyperlinks>
    <hyperlink ref="A26" location="Sommaire!A1" display="SOMMAIRE" xr:uid="{EF4A74AF-4770-4D61-BC74-8F188826F5B3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FB4B25B-EAEF-4F12-B422-8A33287E933F}">
          <x14:formula1>
            <xm:f>Liste!$C$2:$C$5</xm:f>
          </x14:formula1>
          <xm:sqref>B30</xm:sqref>
        </x14:dataValidation>
        <x14:dataValidation type="list" allowBlank="1" showInputMessage="1" showErrorMessage="1" xr:uid="{51942106-809B-4BB4-B2A2-6C5F95684E64}">
          <x14:formula1>
            <xm:f>Liste!$A$21:$A$22</xm:f>
          </x14:formula1>
          <xm:sqref>B41</xm:sqref>
        </x14:dataValidation>
        <x14:dataValidation type="list" allowBlank="1" showInputMessage="1" showErrorMessage="1" xr:uid="{FB269D72-6EC2-4974-851E-30786A6A1B7B}">
          <x14:formula1>
            <xm:f>Liste!$A$24:$A$25</xm:f>
          </x14:formula1>
          <xm:sqref>B43</xm:sqref>
        </x14:dataValidation>
        <x14:dataValidation type="list" allowBlank="1" showInputMessage="1" showErrorMessage="1" xr:uid="{9F733FEA-8772-41A0-A780-B0A688D995AB}">
          <x14:formula1>
            <xm:f>Liste!$C$7:$C$16</xm:f>
          </x14:formula1>
          <xm:sqref>B31:B34</xm:sqref>
        </x14:dataValidation>
      </x14:dataValidations>
    </ext>
  </extLst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72119-97C8-4091-8D9D-A3356775D58E}">
  <sheetPr>
    <tabColor theme="7" tint="0.39997558519241921"/>
  </sheetPr>
  <dimension ref="A1:I49"/>
  <sheetViews>
    <sheetView workbookViewId="0">
      <selection activeCell="G42" sqref="G42"/>
    </sheetView>
  </sheetViews>
  <sheetFormatPr baseColWidth="10" defaultColWidth="11.44140625" defaultRowHeight="13.2" x14ac:dyDescent="0.25"/>
  <cols>
    <col min="1" max="1" width="36.6640625" style="1" bestFit="1" customWidth="1"/>
    <col min="2" max="2" width="20.6640625" style="1" customWidth="1"/>
    <col min="3" max="3" width="22.44140625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9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9" x14ac:dyDescent="0.25">
      <c r="A3" s="126" t="s">
        <v>5</v>
      </c>
      <c r="B3" s="126"/>
      <c r="C3" s="126"/>
      <c r="D3" s="126"/>
      <c r="E3" s="126"/>
      <c r="F3" s="126"/>
      <c r="G3" s="126"/>
    </row>
    <row r="4" spans="1:9" ht="15" x14ac:dyDescent="0.25">
      <c r="A4" s="2"/>
      <c r="B4" s="5" t="s">
        <v>10</v>
      </c>
      <c r="D4" s="11" t="s">
        <v>12</v>
      </c>
      <c r="F4" s="129" t="s">
        <v>15</v>
      </c>
      <c r="G4" s="130" t="s">
        <v>688</v>
      </c>
    </row>
    <row r="5" spans="1:9" ht="15" x14ac:dyDescent="0.25">
      <c r="A5" s="5" t="s">
        <v>8</v>
      </c>
      <c r="B5" s="10" t="s">
        <v>550</v>
      </c>
      <c r="C5" s="10"/>
      <c r="D5" s="17">
        <v>31.6</v>
      </c>
      <c r="E5" s="6"/>
      <c r="F5" s="129"/>
      <c r="G5" s="131"/>
    </row>
    <row r="6" spans="1:9" ht="15" x14ac:dyDescent="0.25">
      <c r="A6" s="5" t="s">
        <v>9</v>
      </c>
      <c r="B6" s="10" t="s">
        <v>299</v>
      </c>
      <c r="C6" s="10" t="s">
        <v>299</v>
      </c>
      <c r="D6" s="6">
        <v>1.9E-2</v>
      </c>
      <c r="F6" s="2"/>
      <c r="G6" s="2"/>
    </row>
    <row r="7" spans="1:9" ht="15" x14ac:dyDescent="0.25">
      <c r="A7" s="5" t="s">
        <v>16</v>
      </c>
      <c r="B7" s="12" t="s">
        <v>551</v>
      </c>
      <c r="C7" s="12" t="s">
        <v>552</v>
      </c>
      <c r="D7" s="63"/>
    </row>
    <row r="8" spans="1:9" ht="15" x14ac:dyDescent="0.25">
      <c r="A8" s="11" t="s">
        <v>71</v>
      </c>
      <c r="B8" s="18">
        <v>47.36</v>
      </c>
      <c r="C8" s="18">
        <v>59.36</v>
      </c>
    </row>
    <row r="9" spans="1:9" x14ac:dyDescent="0.25">
      <c r="A9" s="11" t="s">
        <v>72</v>
      </c>
      <c r="B9" s="77">
        <v>37.75</v>
      </c>
      <c r="C9" s="77">
        <v>48.53</v>
      </c>
    </row>
    <row r="10" spans="1:9" ht="15" x14ac:dyDescent="0.25">
      <c r="A10" s="5"/>
      <c r="B10" s="11" t="s">
        <v>70</v>
      </c>
      <c r="C10" s="2"/>
      <c r="D10" s="2"/>
      <c r="G10" s="11" t="s">
        <v>61</v>
      </c>
    </row>
    <row r="11" spans="1:9" ht="15" x14ac:dyDescent="0.25">
      <c r="B11" s="17">
        <f>832+988</f>
        <v>1820</v>
      </c>
      <c r="C11" s="2"/>
      <c r="D11" s="2"/>
      <c r="G11" s="18">
        <v>0</v>
      </c>
    </row>
    <row r="12" spans="1:9" ht="15" x14ac:dyDescent="0.25">
      <c r="A12" s="5" t="s">
        <v>62</v>
      </c>
      <c r="B12" s="17">
        <v>0</v>
      </c>
      <c r="C12" s="74"/>
      <c r="D12" s="2"/>
      <c r="E12" s="2"/>
      <c r="F12" s="53" t="s">
        <v>55</v>
      </c>
      <c r="G12" s="53" t="s">
        <v>56</v>
      </c>
    </row>
    <row r="13" spans="1:9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9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9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9" x14ac:dyDescent="0.25">
      <c r="A16" s="99" t="s">
        <v>553</v>
      </c>
      <c r="B16" s="66" t="s">
        <v>208</v>
      </c>
      <c r="C16" s="66">
        <v>186.69</v>
      </c>
      <c r="D16" s="66">
        <v>5</v>
      </c>
      <c r="E16" s="97">
        <f>C16*D16</f>
        <v>933.45</v>
      </c>
      <c r="F16" s="73">
        <v>3.9774999999999998E-2</v>
      </c>
      <c r="G16" s="68">
        <f t="shared" ref="G16:G22" si="0">(E16*F16)+E16</f>
        <v>970.57797375000007</v>
      </c>
      <c r="I16" s="49"/>
    </row>
    <row r="17" spans="1:9" x14ac:dyDescent="0.25">
      <c r="A17" s="15" t="s">
        <v>554</v>
      </c>
      <c r="B17" s="66" t="s">
        <v>208</v>
      </c>
      <c r="C17" s="66">
        <v>192.63</v>
      </c>
      <c r="D17" s="66">
        <v>5</v>
      </c>
      <c r="E17" s="66">
        <f t="shared" ref="E17" si="1">C17*D17</f>
        <v>963.15</v>
      </c>
      <c r="F17" s="73">
        <v>3.9774999999999998E-2</v>
      </c>
      <c r="G17" s="68">
        <f t="shared" ref="G17" si="2">(E17*F17)+E17</f>
        <v>1001.45929125</v>
      </c>
      <c r="I17" s="49"/>
    </row>
    <row r="18" spans="1:9" x14ac:dyDescent="0.25">
      <c r="A18" s="15" t="s">
        <v>742</v>
      </c>
      <c r="B18" s="66" t="s">
        <v>208</v>
      </c>
      <c r="C18" s="66">
        <v>100</v>
      </c>
      <c r="D18" s="66">
        <v>6</v>
      </c>
      <c r="E18" s="66">
        <f t="shared" ref="E18" si="3">C18*D18</f>
        <v>600</v>
      </c>
      <c r="F18" s="73">
        <v>3.9774999999999998E-2</v>
      </c>
      <c r="G18" s="68">
        <f t="shared" ref="G18" si="4">(E18*F18)+E18</f>
        <v>623.86500000000001</v>
      </c>
      <c r="I18" s="49"/>
    </row>
    <row r="19" spans="1:9" x14ac:dyDescent="0.25">
      <c r="A19" s="15" t="s">
        <v>555</v>
      </c>
      <c r="B19" s="66" t="s">
        <v>208</v>
      </c>
      <c r="C19" s="66">
        <v>176.79</v>
      </c>
      <c r="D19" s="66">
        <v>6</v>
      </c>
      <c r="E19" s="66">
        <f t="shared" ref="E19:E23" si="5">C19*D19</f>
        <v>1060.74</v>
      </c>
      <c r="F19" s="73">
        <v>3.9774999999999998E-2</v>
      </c>
      <c r="G19" s="68">
        <f t="shared" si="0"/>
        <v>1102.9309335</v>
      </c>
      <c r="I19" s="49"/>
    </row>
    <row r="20" spans="1:9" x14ac:dyDescent="0.25">
      <c r="A20" s="15" t="s">
        <v>556</v>
      </c>
      <c r="B20" s="66" t="s">
        <v>208</v>
      </c>
      <c r="C20" s="66">
        <v>97.32</v>
      </c>
      <c r="D20" s="66">
        <v>6</v>
      </c>
      <c r="E20" s="66">
        <f t="shared" ref="E20" si="6">C20*D20</f>
        <v>583.91999999999996</v>
      </c>
      <c r="F20" s="73">
        <v>3.9774999999999998E-2</v>
      </c>
      <c r="G20" s="68">
        <f t="shared" ref="G20" si="7">(E20*F20)+E20</f>
        <v>607.14541799999995</v>
      </c>
    </row>
    <row r="21" spans="1:9" ht="15" customHeight="1" x14ac:dyDescent="0.25">
      <c r="A21" s="15" t="s">
        <v>557</v>
      </c>
      <c r="B21" s="66" t="s">
        <v>457</v>
      </c>
      <c r="C21" s="66">
        <v>190</v>
      </c>
      <c r="D21" s="66">
        <v>4</v>
      </c>
      <c r="E21" s="97">
        <f>C21*D21</f>
        <v>760</v>
      </c>
      <c r="F21" s="73">
        <v>-3.0099999999999998E-2</v>
      </c>
      <c r="G21" s="68">
        <f t="shared" ref="G21" si="8">(E21*F21)+E21</f>
        <v>737.12400000000002</v>
      </c>
      <c r="I21" s="49" t="s">
        <v>561</v>
      </c>
    </row>
    <row r="22" spans="1:9" ht="15" customHeight="1" x14ac:dyDescent="0.25">
      <c r="A22" s="90" t="s">
        <v>562</v>
      </c>
      <c r="B22" s="66" t="s">
        <v>258</v>
      </c>
      <c r="C22" s="80">
        <v>137</v>
      </c>
      <c r="D22" s="66">
        <v>1</v>
      </c>
      <c r="E22" s="94">
        <f t="shared" si="5"/>
        <v>137</v>
      </c>
      <c r="F22" s="73">
        <v>0</v>
      </c>
      <c r="G22" s="68">
        <f t="shared" si="0"/>
        <v>137</v>
      </c>
    </row>
    <row r="23" spans="1:9" ht="15" customHeight="1" x14ac:dyDescent="0.25">
      <c r="A23" s="90"/>
      <c r="B23" s="66"/>
      <c r="C23" s="80"/>
      <c r="D23" s="80"/>
      <c r="E23" s="94">
        <f t="shared" si="5"/>
        <v>0</v>
      </c>
      <c r="F23" s="73"/>
      <c r="G23" s="68"/>
    </row>
    <row r="24" spans="1:9" ht="15" x14ac:dyDescent="0.25">
      <c r="A24" s="2"/>
      <c r="B24" s="2"/>
      <c r="C24" s="2"/>
      <c r="D24" s="2"/>
      <c r="E24" s="2"/>
      <c r="F24" s="2"/>
      <c r="G24" s="2"/>
    </row>
    <row r="25" spans="1:9" ht="30" customHeight="1" x14ac:dyDescent="0.25">
      <c r="A25" s="106" t="s">
        <v>528</v>
      </c>
      <c r="B25" s="132" t="s">
        <v>11</v>
      </c>
      <c r="C25" s="132"/>
      <c r="D25" s="132"/>
      <c r="E25" s="132"/>
      <c r="F25" s="113">
        <f>SUM(G16:G23)</f>
        <v>5180.1026164999994</v>
      </c>
      <c r="G25" s="113"/>
    </row>
    <row r="26" spans="1:9" ht="18" x14ac:dyDescent="0.35">
      <c r="A26" s="86" t="s">
        <v>371</v>
      </c>
      <c r="B26" s="2"/>
      <c r="C26" s="2"/>
      <c r="D26" s="2"/>
      <c r="E26" s="9"/>
      <c r="F26" s="2"/>
      <c r="G26" s="2"/>
    </row>
    <row r="27" spans="1:9" ht="15" x14ac:dyDescent="0.25">
      <c r="A27" s="2"/>
      <c r="B27" s="2"/>
      <c r="C27" s="2"/>
      <c r="D27" s="2"/>
      <c r="E27" s="2"/>
      <c r="F27" s="2"/>
      <c r="G27" s="2"/>
    </row>
    <row r="28" spans="1:9" x14ac:dyDescent="0.25">
      <c r="A28" s="126" t="s">
        <v>0</v>
      </c>
      <c r="B28" s="126"/>
      <c r="C28" s="126"/>
      <c r="D28" s="126"/>
      <c r="E28" s="126"/>
      <c r="F28" s="126"/>
      <c r="G28" s="126"/>
    </row>
    <row r="29" spans="1:9" ht="26.25" customHeight="1" x14ac:dyDescent="0.25">
      <c r="A29" s="3"/>
      <c r="B29" s="6" t="s">
        <v>45</v>
      </c>
      <c r="C29" s="39" t="s">
        <v>63</v>
      </c>
      <c r="D29" s="39" t="s">
        <v>46</v>
      </c>
      <c r="E29" s="4"/>
      <c r="F29" s="4"/>
      <c r="G29" s="4"/>
      <c r="H29" s="8"/>
    </row>
    <row r="30" spans="1:9" ht="15" x14ac:dyDescent="0.25">
      <c r="A30" s="43" t="s">
        <v>134</v>
      </c>
      <c r="B30" s="41" t="s">
        <v>193</v>
      </c>
      <c r="C30" s="40">
        <f>IFERROR(VLOOKUP(B30,Liste!C1:D5,2,FALSE),"")</f>
        <v>2500</v>
      </c>
      <c r="D30" s="54">
        <f>IFERROR(C30/4.33,0)</f>
        <v>577.36720554272517</v>
      </c>
      <c r="H30" s="7"/>
    </row>
    <row r="31" spans="1:9" ht="15" x14ac:dyDescent="0.3">
      <c r="A31" s="43" t="s">
        <v>66</v>
      </c>
      <c r="B31" s="46" t="s">
        <v>39</v>
      </c>
      <c r="C31" s="40">
        <f>IFERROR(VLOOKUP(B31,Liste!$C$7:$D$15,2,FALSE),"")</f>
        <v>1000</v>
      </c>
      <c r="D31" s="54">
        <f>IFERROR(C31/4.33,0)</f>
        <v>230.94688221709006</v>
      </c>
      <c r="H31" s="7"/>
    </row>
    <row r="32" spans="1:9" ht="15" x14ac:dyDescent="0.3">
      <c r="A32" s="43" t="s">
        <v>67</v>
      </c>
      <c r="B32" s="46" t="s">
        <v>39</v>
      </c>
      <c r="C32" s="40">
        <f>IFERROR(VLOOKUP(B32,Liste!$C$7:$D$15,2,FALSE),"")</f>
        <v>1000</v>
      </c>
      <c r="D32" s="54">
        <f t="shared" ref="D32:D34" si="9">IFERROR(C32/4.33,0)</f>
        <v>230.94688221709006</v>
      </c>
      <c r="H32" s="7"/>
    </row>
    <row r="33" spans="1:8" ht="15" x14ac:dyDescent="0.3">
      <c r="A33" s="43" t="s">
        <v>68</v>
      </c>
      <c r="B33" s="46" t="s">
        <v>69</v>
      </c>
      <c r="C33" s="40" t="str">
        <f>IFERROR(VLOOKUP(B33,Liste!$C$7:$D$15,2,FALSE),"")</f>
        <v/>
      </c>
      <c r="D33" s="54">
        <f t="shared" si="9"/>
        <v>0</v>
      </c>
      <c r="H33" s="7"/>
    </row>
    <row r="34" spans="1:8" ht="15" x14ac:dyDescent="0.3">
      <c r="A34" s="43" t="s">
        <v>73</v>
      </c>
      <c r="B34" s="46" t="s">
        <v>69</v>
      </c>
      <c r="C34" s="40" t="str">
        <f>IFERROR(VLOOKUP(B34,Liste!$C$7:$D$15,2,FALSE),"")</f>
        <v/>
      </c>
      <c r="D34" s="54">
        <f t="shared" si="9"/>
        <v>0</v>
      </c>
      <c r="H34" s="7"/>
    </row>
    <row r="35" spans="1:8" ht="15" x14ac:dyDescent="0.25">
      <c r="A35" s="43" t="s">
        <v>2</v>
      </c>
      <c r="B35" s="41" t="s">
        <v>32</v>
      </c>
      <c r="C35" s="65">
        <v>0</v>
      </c>
      <c r="D35" s="54">
        <f>(B11*D5/100)*C35</f>
        <v>0</v>
      </c>
      <c r="E35" s="49"/>
      <c r="H35" s="7"/>
    </row>
    <row r="36" spans="1:8" ht="15" x14ac:dyDescent="0.25">
      <c r="A36" s="43" t="s">
        <v>2</v>
      </c>
      <c r="B36" s="41" t="s">
        <v>34</v>
      </c>
      <c r="C36" s="48">
        <v>1.365</v>
      </c>
      <c r="D36" s="54">
        <f>(D5*B11/100)*C36</f>
        <v>785.03880000000004</v>
      </c>
      <c r="H36" s="7"/>
    </row>
    <row r="37" spans="1:8" ht="15" x14ac:dyDescent="0.3">
      <c r="A37" s="43" t="s">
        <v>3</v>
      </c>
      <c r="B37" s="42"/>
      <c r="C37" s="65">
        <v>0</v>
      </c>
      <c r="D37" s="54">
        <f>(D6*B11)*C37</f>
        <v>0</v>
      </c>
      <c r="H37" s="7"/>
    </row>
    <row r="38" spans="1:8" ht="15" x14ac:dyDescent="0.3">
      <c r="A38" s="43" t="s">
        <v>4</v>
      </c>
      <c r="B38" s="42"/>
      <c r="C38" s="48">
        <v>1.1225000000000001</v>
      </c>
      <c r="D38" s="55"/>
      <c r="H38" s="7"/>
    </row>
    <row r="39" spans="1:8" ht="30" x14ac:dyDescent="0.3">
      <c r="A39" s="43" t="s">
        <v>52</v>
      </c>
      <c r="B39" s="42"/>
      <c r="C39" s="44">
        <v>0.04</v>
      </c>
      <c r="D39" s="54">
        <f>C39*B11</f>
        <v>72.8</v>
      </c>
      <c r="E39" s="49"/>
      <c r="H39" s="7"/>
    </row>
    <row r="40" spans="1:8" ht="15" x14ac:dyDescent="0.25">
      <c r="A40" s="43" t="s">
        <v>13</v>
      </c>
      <c r="B40" s="41">
        <f>B12</f>
        <v>0</v>
      </c>
      <c r="C40" s="56">
        <v>5</v>
      </c>
      <c r="D40" s="54">
        <f>(C40*B40)</f>
        <v>0</v>
      </c>
      <c r="E40" s="85"/>
      <c r="H40" s="7"/>
    </row>
    <row r="41" spans="1:8" ht="15" x14ac:dyDescent="0.25">
      <c r="A41" s="43" t="s">
        <v>14</v>
      </c>
      <c r="B41" s="48" t="s">
        <v>55</v>
      </c>
      <c r="C41" s="40">
        <v>2</v>
      </c>
      <c r="D41" s="40">
        <f>1106.38+1137.37</f>
        <v>2243.75</v>
      </c>
      <c r="E41" s="49"/>
      <c r="H41" s="7"/>
    </row>
    <row r="42" spans="1:8" ht="15" x14ac:dyDescent="0.3">
      <c r="A42" s="43" t="s">
        <v>60</v>
      </c>
      <c r="B42" s="42"/>
      <c r="C42" s="42"/>
      <c r="D42" s="54">
        <f>G11</f>
        <v>0</v>
      </c>
      <c r="E42" s="49"/>
      <c r="H42" s="7"/>
    </row>
    <row r="43" spans="1:8" ht="15" x14ac:dyDescent="0.25">
      <c r="A43" s="43" t="s">
        <v>1</v>
      </c>
      <c r="B43" s="48" t="s">
        <v>65</v>
      </c>
      <c r="C43" s="40">
        <f>IF(B43=Liste!A24,Liste!B18,0)</f>
        <v>0</v>
      </c>
      <c r="D43" s="54">
        <f>C43/4.33</f>
        <v>0</v>
      </c>
      <c r="H43" s="7"/>
    </row>
    <row r="44" spans="1:8" ht="15" x14ac:dyDescent="0.3">
      <c r="A44" s="45" t="s">
        <v>50</v>
      </c>
      <c r="B44" s="42"/>
      <c r="C44" s="40">
        <v>0</v>
      </c>
      <c r="D44" s="54">
        <v>0</v>
      </c>
      <c r="H44" s="7"/>
    </row>
    <row r="45" spans="1:8" ht="15" customHeight="1" x14ac:dyDescent="0.25">
      <c r="A45" s="50"/>
      <c r="B45" s="51"/>
      <c r="C45" s="52"/>
    </row>
    <row r="46" spans="1:8" x14ac:dyDescent="0.25">
      <c r="C46" s="6" t="s">
        <v>47</v>
      </c>
      <c r="D46" s="47">
        <f>SUM(D30:D44)</f>
        <v>4140.849769976905</v>
      </c>
    </row>
    <row r="47" spans="1:8" x14ac:dyDescent="0.25">
      <c r="C47" s="6" t="s">
        <v>49</v>
      </c>
      <c r="D47" s="47">
        <f>F25-D46</f>
        <v>1039.2528465230944</v>
      </c>
    </row>
    <row r="49" spans="3:4" ht="39" customHeight="1" x14ac:dyDescent="0.25">
      <c r="C49" s="58" t="s">
        <v>48</v>
      </c>
      <c r="D49" s="59">
        <f>D47/F25</f>
        <v>0.20062398826092726</v>
      </c>
    </row>
  </sheetData>
  <mergeCells count="6">
    <mergeCell ref="A28:G28"/>
    <mergeCell ref="A1:G1"/>
    <mergeCell ref="A3:G3"/>
    <mergeCell ref="F4:F5"/>
    <mergeCell ref="G4:G5"/>
    <mergeCell ref="B25:E25"/>
  </mergeCells>
  <phoneticPr fontId="41" type="noConversion"/>
  <hyperlinks>
    <hyperlink ref="A26" location="Sommaire!A1" display="SOMMAIRE" xr:uid="{356F0106-135E-4CAE-9B4B-8B94248435C3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6CFDF18-EC7D-4378-BCAB-1C07B64803A7}">
          <x14:formula1>
            <xm:f>Liste!$C$7:$C$16</xm:f>
          </x14:formula1>
          <xm:sqref>B31:B34</xm:sqref>
        </x14:dataValidation>
        <x14:dataValidation type="list" allowBlank="1" showInputMessage="1" showErrorMessage="1" xr:uid="{CC0B1BB3-C1F4-4FFE-8CF8-9D10515A2063}">
          <x14:formula1>
            <xm:f>Liste!$A$24:$A$25</xm:f>
          </x14:formula1>
          <xm:sqref>B43</xm:sqref>
        </x14:dataValidation>
        <x14:dataValidation type="list" allowBlank="1" showInputMessage="1" showErrorMessage="1" xr:uid="{8E6939ED-7B81-4321-8C48-843752B08CD7}">
          <x14:formula1>
            <xm:f>Liste!$A$21:$A$22</xm:f>
          </x14:formula1>
          <xm:sqref>B41</xm:sqref>
        </x14:dataValidation>
        <x14:dataValidation type="list" allowBlank="1" showInputMessage="1" showErrorMessage="1" xr:uid="{28421927-4EC7-42A1-93E7-E2572544B2C4}">
          <x14:formula1>
            <xm:f>Liste!$C$2:$C$5</xm:f>
          </x14:formula1>
          <xm:sqref>B30</xm:sqref>
        </x14:dataValidation>
      </x14:dataValidation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6C9E0-7B1A-40A9-B05A-4DC633655A4D}">
  <sheetPr>
    <tabColor theme="7" tint="0.39997558519241921"/>
  </sheetPr>
  <dimension ref="A1:I48"/>
  <sheetViews>
    <sheetView workbookViewId="0">
      <selection activeCell="F28" sqref="F28"/>
    </sheetView>
  </sheetViews>
  <sheetFormatPr baseColWidth="10" defaultColWidth="11.44140625" defaultRowHeight="13.2" x14ac:dyDescent="0.25"/>
  <cols>
    <col min="1" max="1" width="36.6640625" style="1" bestFit="1" customWidth="1"/>
    <col min="2" max="2" width="20.6640625" style="1" customWidth="1"/>
    <col min="3" max="3" width="22.44140625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9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9" x14ac:dyDescent="0.25">
      <c r="A3" s="126" t="s">
        <v>5</v>
      </c>
      <c r="B3" s="126"/>
      <c r="C3" s="126"/>
      <c r="D3" s="126"/>
      <c r="E3" s="126"/>
      <c r="F3" s="126"/>
      <c r="G3" s="126"/>
    </row>
    <row r="4" spans="1:9" ht="15" x14ac:dyDescent="0.25">
      <c r="A4" s="2"/>
      <c r="B4" s="5" t="s">
        <v>10</v>
      </c>
      <c r="D4" s="11" t="s">
        <v>12</v>
      </c>
      <c r="F4" s="129" t="s">
        <v>15</v>
      </c>
      <c r="G4" s="130" t="s">
        <v>688</v>
      </c>
    </row>
    <row r="5" spans="1:9" ht="15" x14ac:dyDescent="0.25">
      <c r="A5" s="5" t="s">
        <v>8</v>
      </c>
      <c r="B5" s="10" t="s">
        <v>563</v>
      </c>
      <c r="C5" s="10"/>
      <c r="D5" s="17">
        <v>28.95</v>
      </c>
      <c r="E5" s="6"/>
      <c r="F5" s="129"/>
      <c r="G5" s="131"/>
    </row>
    <row r="6" spans="1:9" ht="15" x14ac:dyDescent="0.25">
      <c r="A6" s="5" t="s">
        <v>9</v>
      </c>
      <c r="B6" s="10" t="s">
        <v>299</v>
      </c>
      <c r="C6" s="10" t="s">
        <v>299</v>
      </c>
      <c r="D6" s="6">
        <v>1.9E-2</v>
      </c>
      <c r="F6" s="2"/>
      <c r="G6" s="2"/>
    </row>
    <row r="7" spans="1:9" ht="15" x14ac:dyDescent="0.25">
      <c r="A7" s="5" t="s">
        <v>16</v>
      </c>
      <c r="B7" s="12" t="s">
        <v>564</v>
      </c>
      <c r="C7" s="12" t="s">
        <v>743</v>
      </c>
      <c r="D7" s="63"/>
    </row>
    <row r="8" spans="1:9" ht="15" x14ac:dyDescent="0.25">
      <c r="A8" s="11" t="s">
        <v>71</v>
      </c>
      <c r="B8" s="18">
        <v>47.8</v>
      </c>
      <c r="C8" s="18">
        <v>55.76</v>
      </c>
    </row>
    <row r="9" spans="1:9" x14ac:dyDescent="0.25">
      <c r="A9" s="11" t="s">
        <v>72</v>
      </c>
      <c r="B9" s="77">
        <v>36.67</v>
      </c>
      <c r="C9" s="77">
        <v>51.07</v>
      </c>
    </row>
    <row r="10" spans="1:9" ht="15" x14ac:dyDescent="0.25">
      <c r="A10" s="5"/>
      <c r="B10" s="11" t="s">
        <v>70</v>
      </c>
      <c r="C10" s="2"/>
      <c r="D10" s="2"/>
      <c r="G10" s="11" t="s">
        <v>61</v>
      </c>
    </row>
    <row r="11" spans="1:9" ht="15" x14ac:dyDescent="0.25">
      <c r="B11" s="17">
        <f>1234+1262</f>
        <v>2496</v>
      </c>
      <c r="C11" s="2"/>
      <c r="D11" s="2"/>
      <c r="G11" s="18">
        <v>0</v>
      </c>
    </row>
    <row r="12" spans="1:9" ht="15" x14ac:dyDescent="0.25">
      <c r="A12" s="5" t="s">
        <v>62</v>
      </c>
      <c r="B12" s="17">
        <v>0</v>
      </c>
      <c r="C12" s="74"/>
      <c r="D12" s="2"/>
      <c r="E12" s="2"/>
      <c r="F12" s="53" t="s">
        <v>55</v>
      </c>
      <c r="G12" s="53" t="s">
        <v>56</v>
      </c>
    </row>
    <row r="13" spans="1:9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9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9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9" x14ac:dyDescent="0.25">
      <c r="A16" s="99" t="s">
        <v>565</v>
      </c>
      <c r="B16" s="66" t="s">
        <v>208</v>
      </c>
      <c r="C16" s="66">
        <v>198.16</v>
      </c>
      <c r="D16" s="66">
        <v>6</v>
      </c>
      <c r="E16" s="97">
        <f>C16*D16</f>
        <v>1188.96</v>
      </c>
      <c r="F16" s="73">
        <v>3.9774999999999998E-2</v>
      </c>
      <c r="G16" s="68">
        <f t="shared" ref="G16:G22" si="0">(E16*F16)+E16</f>
        <v>1236.250884</v>
      </c>
      <c r="I16" s="49"/>
    </row>
    <row r="17" spans="1:9" x14ac:dyDescent="0.25">
      <c r="A17" s="15" t="s">
        <v>566</v>
      </c>
      <c r="B17" s="66" t="s">
        <v>208</v>
      </c>
      <c r="C17" s="66">
        <v>198.76</v>
      </c>
      <c r="D17" s="66">
        <v>6</v>
      </c>
      <c r="E17" s="66">
        <f t="shared" ref="E17:E22" si="1">C17*D17</f>
        <v>1192.56</v>
      </c>
      <c r="F17" s="73">
        <v>3.9774999999999998E-2</v>
      </c>
      <c r="G17" s="68">
        <f t="shared" si="0"/>
        <v>1239.994074</v>
      </c>
      <c r="I17" s="49"/>
    </row>
    <row r="18" spans="1:9" x14ac:dyDescent="0.25">
      <c r="A18" s="15" t="s">
        <v>567</v>
      </c>
      <c r="B18" s="66" t="s">
        <v>208</v>
      </c>
      <c r="C18" s="66">
        <v>199.63</v>
      </c>
      <c r="D18" s="66">
        <v>5</v>
      </c>
      <c r="E18" s="66">
        <f t="shared" si="1"/>
        <v>998.15</v>
      </c>
      <c r="F18" s="73">
        <v>3.9774999999999998E-2</v>
      </c>
      <c r="G18" s="68">
        <f t="shared" si="0"/>
        <v>1037.8514162500001</v>
      </c>
      <c r="I18" s="49"/>
    </row>
    <row r="19" spans="1:9" x14ac:dyDescent="0.25">
      <c r="A19" s="15" t="s">
        <v>744</v>
      </c>
      <c r="B19" s="66" t="s">
        <v>208</v>
      </c>
      <c r="C19" s="66">
        <v>158.07</v>
      </c>
      <c r="D19" s="66">
        <v>5</v>
      </c>
      <c r="E19" s="66">
        <f t="shared" si="1"/>
        <v>790.34999999999991</v>
      </c>
      <c r="F19" s="73">
        <v>3.9774999999999998E-2</v>
      </c>
      <c r="G19" s="68">
        <f t="shared" si="0"/>
        <v>821.78617124999994</v>
      </c>
    </row>
    <row r="20" spans="1:9" ht="15" customHeight="1" x14ac:dyDescent="0.25">
      <c r="A20" s="15" t="s">
        <v>568</v>
      </c>
      <c r="B20" s="66" t="s">
        <v>208</v>
      </c>
      <c r="C20" s="66">
        <v>221.26</v>
      </c>
      <c r="D20" s="66">
        <v>5</v>
      </c>
      <c r="E20" s="66">
        <f t="shared" ref="E20" si="2">C20*D20</f>
        <v>1106.3</v>
      </c>
      <c r="F20" s="73">
        <v>3.9774999999999998E-2</v>
      </c>
      <c r="G20" s="68">
        <f t="shared" ref="G20" si="3">(E20*F20)+E20</f>
        <v>1150.3030824999998</v>
      </c>
      <c r="I20" s="49"/>
    </row>
    <row r="21" spans="1:9" ht="15" customHeight="1" x14ac:dyDescent="0.25">
      <c r="A21" s="124" t="s">
        <v>745</v>
      </c>
      <c r="B21" s="66"/>
      <c r="C21" s="80"/>
      <c r="D21" s="66"/>
      <c r="E21" s="94">
        <f t="shared" si="1"/>
        <v>0</v>
      </c>
      <c r="F21" s="73"/>
      <c r="G21" s="68">
        <f t="shared" si="0"/>
        <v>0</v>
      </c>
    </row>
    <row r="22" spans="1:9" ht="15" customHeight="1" x14ac:dyDescent="0.25">
      <c r="A22" s="90"/>
      <c r="B22" s="66"/>
      <c r="C22" s="80"/>
      <c r="D22" s="80"/>
      <c r="E22" s="94">
        <f t="shared" si="1"/>
        <v>0</v>
      </c>
      <c r="F22" s="73"/>
      <c r="G22" s="68">
        <f t="shared" si="0"/>
        <v>0</v>
      </c>
    </row>
    <row r="23" spans="1:9" ht="15" x14ac:dyDescent="0.25">
      <c r="A23" s="2"/>
      <c r="B23" s="2"/>
      <c r="C23" s="2"/>
      <c r="D23" s="2"/>
      <c r="E23" s="2"/>
      <c r="F23" s="2"/>
      <c r="G23" s="2"/>
    </row>
    <row r="24" spans="1:9" ht="30" customHeight="1" x14ac:dyDescent="0.25">
      <c r="A24" s="106" t="s">
        <v>527</v>
      </c>
      <c r="B24" s="132" t="s">
        <v>11</v>
      </c>
      <c r="C24" s="132"/>
      <c r="D24" s="132"/>
      <c r="E24" s="132"/>
      <c r="F24" s="113">
        <f>SUM(G16:G22)</f>
        <v>5486.1856280000002</v>
      </c>
      <c r="G24" s="113"/>
    </row>
    <row r="25" spans="1:9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9" ht="15" x14ac:dyDescent="0.25">
      <c r="A26" s="2"/>
      <c r="B26" s="2"/>
      <c r="C26" s="2"/>
      <c r="D26" s="2"/>
      <c r="E26" s="2"/>
      <c r="F26" s="2"/>
      <c r="G26" s="2"/>
    </row>
    <row r="27" spans="1:9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9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9" ht="15" x14ac:dyDescent="0.25">
      <c r="A29" s="43" t="s">
        <v>134</v>
      </c>
      <c r="B29" s="41" t="s">
        <v>193</v>
      </c>
      <c r="C29" s="40">
        <f>IFERROR(VLOOKUP(B29,Liste!C1:D5,2,FALSE),"")</f>
        <v>2500</v>
      </c>
      <c r="D29" s="54">
        <f>IFERROR(C29/4.33,0)</f>
        <v>577.36720554272517</v>
      </c>
      <c r="H29" s="7"/>
    </row>
    <row r="30" spans="1:9" ht="15" x14ac:dyDescent="0.3">
      <c r="A30" s="43" t="s">
        <v>66</v>
      </c>
      <c r="B30" s="46" t="s">
        <v>39</v>
      </c>
      <c r="C30" s="40">
        <f>IFERROR(VLOOKUP(B30,Liste!$C$7:$D$15,2,FALSE),"")</f>
        <v>1000</v>
      </c>
      <c r="D30" s="54">
        <f>IFERROR(C30/4.33,0)</f>
        <v>230.94688221709006</v>
      </c>
      <c r="H30" s="7"/>
    </row>
    <row r="31" spans="1:9" ht="15" x14ac:dyDescent="0.3">
      <c r="A31" s="43" t="s">
        <v>67</v>
      </c>
      <c r="B31" s="46" t="s">
        <v>39</v>
      </c>
      <c r="C31" s="40">
        <f>IFERROR(VLOOKUP(B31,Liste!$C$7:$D$15,2,FALSE),"")</f>
        <v>1000</v>
      </c>
      <c r="D31" s="54">
        <f t="shared" ref="D31:D33" si="4">IFERROR(C31/4.33,0)</f>
        <v>230.94688221709006</v>
      </c>
      <c r="H31" s="7"/>
    </row>
    <row r="32" spans="1:9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4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4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0</v>
      </c>
      <c r="D34" s="54">
        <f>(B11*D5/100)*C34</f>
        <v>0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1.365</v>
      </c>
      <c r="D35" s="54">
        <f>(D5*B11/100)*C35</f>
        <v>986.33807999999999</v>
      </c>
      <c r="H35" s="7"/>
    </row>
    <row r="36" spans="1:8" ht="15" x14ac:dyDescent="0.3">
      <c r="A36" s="43" t="s">
        <v>3</v>
      </c>
      <c r="B36" s="42"/>
      <c r="C36" s="65">
        <v>0</v>
      </c>
      <c r="D36" s="54">
        <f>(D6*B11)*C36</f>
        <v>0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99.84</v>
      </c>
      <c r="E38" s="49"/>
      <c r="H38" s="7"/>
    </row>
    <row r="39" spans="1:8" ht="15" x14ac:dyDescent="0.25">
      <c r="A39" s="43" t="s">
        <v>13</v>
      </c>
      <c r="B39" s="41">
        <f>B12</f>
        <v>0</v>
      </c>
      <c r="C39" s="56">
        <v>5</v>
      </c>
      <c r="D39" s="54">
        <f>(C39*B39)</f>
        <v>0</v>
      </c>
      <c r="E39" s="85"/>
      <c r="H39" s="7"/>
    </row>
    <row r="40" spans="1:8" ht="15" x14ac:dyDescent="0.25">
      <c r="A40" s="43" t="s">
        <v>14</v>
      </c>
      <c r="B40" s="48" t="s">
        <v>55</v>
      </c>
      <c r="C40" s="40">
        <v>2</v>
      </c>
      <c r="D40" s="40">
        <f>878.62+535.54</f>
        <v>1414.1599999999999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3539.599049976905</v>
      </c>
    </row>
    <row r="46" spans="1:8" x14ac:dyDescent="0.25">
      <c r="C46" s="6" t="s">
        <v>49</v>
      </c>
      <c r="D46" s="47">
        <f>F24-D45</f>
        <v>1946.5865780230952</v>
      </c>
    </row>
    <row r="48" spans="1:8" ht="39" customHeight="1" x14ac:dyDescent="0.25">
      <c r="C48" s="58" t="s">
        <v>48</v>
      </c>
      <c r="D48" s="59">
        <f>D46/F24</f>
        <v>0.35481602519758837</v>
      </c>
    </row>
  </sheetData>
  <mergeCells count="6">
    <mergeCell ref="A27:G27"/>
    <mergeCell ref="A1:G1"/>
    <mergeCell ref="A3:G3"/>
    <mergeCell ref="F4:F5"/>
    <mergeCell ref="G4:G5"/>
    <mergeCell ref="B24:E24"/>
  </mergeCells>
  <phoneticPr fontId="41" type="noConversion"/>
  <hyperlinks>
    <hyperlink ref="A25" location="Sommaire!A1" display="SOMMAIRE" xr:uid="{A76FB93B-3E24-4545-AD77-41C57C895B32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65F4D23-CB75-4C5C-930C-D8684EB3356F}">
          <x14:formula1>
            <xm:f>Liste!$C$2:$C$5</xm:f>
          </x14:formula1>
          <xm:sqref>B29</xm:sqref>
        </x14:dataValidation>
        <x14:dataValidation type="list" allowBlank="1" showInputMessage="1" showErrorMessage="1" xr:uid="{D741A619-7B61-4F64-927C-BC874FA213EA}">
          <x14:formula1>
            <xm:f>Liste!$A$21:$A$22</xm:f>
          </x14:formula1>
          <xm:sqref>B40</xm:sqref>
        </x14:dataValidation>
        <x14:dataValidation type="list" allowBlank="1" showInputMessage="1" showErrorMessage="1" xr:uid="{FDB6BCBE-A3C3-4010-81FD-8406BEEEEC9B}">
          <x14:formula1>
            <xm:f>Liste!$A$24:$A$25</xm:f>
          </x14:formula1>
          <xm:sqref>B42</xm:sqref>
        </x14:dataValidation>
        <x14:dataValidation type="list" allowBlank="1" showInputMessage="1" showErrorMessage="1" xr:uid="{00D8E420-102F-41B1-A638-F3A6963D0F27}">
          <x14:formula1>
            <xm:f>Liste!$C$7:$C$16</xm:f>
          </x14:formula1>
          <xm:sqref>B30:B33</xm:sqref>
        </x14:dataValidation>
      </x14:dataValidations>
    </ext>
  </extLst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8ECFA-73B0-4703-93D5-F6175B54A1F6}">
  <sheetPr>
    <tabColor theme="7" tint="0.39997558519241921"/>
  </sheetPr>
  <dimension ref="A1:I49"/>
  <sheetViews>
    <sheetView workbookViewId="0">
      <selection activeCell="I24" sqref="I24"/>
    </sheetView>
  </sheetViews>
  <sheetFormatPr baseColWidth="10" defaultColWidth="11.44140625" defaultRowHeight="13.2" x14ac:dyDescent="0.25"/>
  <cols>
    <col min="1" max="1" width="36.6640625" style="1" bestFit="1" customWidth="1"/>
    <col min="2" max="2" width="20.6640625" style="1" customWidth="1"/>
    <col min="3" max="3" width="22.44140625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9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9" x14ac:dyDescent="0.25">
      <c r="A3" s="126" t="s">
        <v>5</v>
      </c>
      <c r="B3" s="126"/>
      <c r="C3" s="126"/>
      <c r="D3" s="126"/>
      <c r="E3" s="126"/>
      <c r="F3" s="126"/>
      <c r="G3" s="126"/>
    </row>
    <row r="4" spans="1:9" ht="15" x14ac:dyDescent="0.25">
      <c r="A4" s="2"/>
      <c r="B4" s="5" t="s">
        <v>10</v>
      </c>
      <c r="D4" s="11" t="s">
        <v>12</v>
      </c>
      <c r="F4" s="129" t="s">
        <v>15</v>
      </c>
      <c r="G4" s="130" t="s">
        <v>688</v>
      </c>
    </row>
    <row r="5" spans="1:9" ht="15" x14ac:dyDescent="0.25">
      <c r="A5" s="5" t="s">
        <v>8</v>
      </c>
      <c r="B5" s="10" t="s">
        <v>573</v>
      </c>
      <c r="C5" s="10"/>
      <c r="D5" s="17">
        <v>32.909999999999997</v>
      </c>
      <c r="E5" s="6"/>
      <c r="F5" s="129"/>
      <c r="G5" s="131"/>
    </row>
    <row r="6" spans="1:9" ht="15" x14ac:dyDescent="0.25">
      <c r="A6" s="5" t="s">
        <v>9</v>
      </c>
      <c r="B6" s="10" t="s">
        <v>299</v>
      </c>
      <c r="C6" s="10" t="s">
        <v>572</v>
      </c>
      <c r="D6" s="6">
        <v>1.9E-2</v>
      </c>
      <c r="F6" s="2"/>
      <c r="G6" s="2"/>
    </row>
    <row r="7" spans="1:9" ht="15" x14ac:dyDescent="0.25">
      <c r="A7" s="5" t="s">
        <v>16</v>
      </c>
      <c r="B7" s="12" t="s">
        <v>581</v>
      </c>
      <c r="C7" s="12" t="s">
        <v>582</v>
      </c>
      <c r="D7" s="63"/>
    </row>
    <row r="8" spans="1:9" ht="15" x14ac:dyDescent="0.25">
      <c r="A8" s="11" t="s">
        <v>71</v>
      </c>
      <c r="B8" s="18">
        <v>73.349999999999994</v>
      </c>
      <c r="C8" s="18">
        <v>56.17</v>
      </c>
    </row>
    <row r="9" spans="1:9" x14ac:dyDescent="0.25">
      <c r="A9" s="11" t="s">
        <v>72</v>
      </c>
      <c r="B9" s="77">
        <v>52.38</v>
      </c>
      <c r="C9" s="77">
        <v>47.04</v>
      </c>
    </row>
    <row r="10" spans="1:9" ht="15" x14ac:dyDescent="0.25">
      <c r="A10" s="5"/>
      <c r="B10" s="11" t="s">
        <v>70</v>
      </c>
      <c r="C10" s="2"/>
      <c r="D10" s="2"/>
      <c r="G10" s="11" t="s">
        <v>61</v>
      </c>
    </row>
    <row r="11" spans="1:9" ht="15" x14ac:dyDescent="0.25">
      <c r="B11" s="17">
        <f>1552+1261</f>
        <v>2813</v>
      </c>
      <c r="C11" s="2"/>
      <c r="D11" s="2"/>
      <c r="G11" s="18">
        <v>0</v>
      </c>
    </row>
    <row r="12" spans="1:9" ht="15" x14ac:dyDescent="0.25">
      <c r="A12" s="5" t="s">
        <v>62</v>
      </c>
      <c r="B12" s="17">
        <v>11.66</v>
      </c>
      <c r="C12" s="74"/>
      <c r="D12" s="2"/>
      <c r="E12" s="2"/>
      <c r="F12" s="53" t="s">
        <v>55</v>
      </c>
      <c r="G12" s="53" t="s">
        <v>56</v>
      </c>
    </row>
    <row r="13" spans="1:9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9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9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9" x14ac:dyDescent="0.25">
      <c r="A16" s="99" t="s">
        <v>574</v>
      </c>
      <c r="B16" s="66" t="s">
        <v>208</v>
      </c>
      <c r="C16" s="66">
        <v>170</v>
      </c>
      <c r="D16" s="66">
        <v>5</v>
      </c>
      <c r="E16" s="97">
        <f>C16*D16</f>
        <v>850</v>
      </c>
      <c r="F16" s="73">
        <v>-3.0099999999999998E-2</v>
      </c>
      <c r="G16" s="68">
        <f t="shared" ref="G16:G23" si="0">(E16*F16)+E16</f>
        <v>824.41499999999996</v>
      </c>
      <c r="I16" s="49"/>
    </row>
    <row r="17" spans="1:9" x14ac:dyDescent="0.25">
      <c r="A17" s="15" t="s">
        <v>575</v>
      </c>
      <c r="B17" s="66" t="s">
        <v>208</v>
      </c>
      <c r="C17" s="66">
        <v>122.35</v>
      </c>
      <c r="D17" s="66">
        <v>6</v>
      </c>
      <c r="E17" s="66">
        <f t="shared" ref="E17:E23" si="1">C17*D17</f>
        <v>734.09999999999991</v>
      </c>
      <c r="F17" s="73">
        <v>4.2709999999999998E-2</v>
      </c>
      <c r="G17" s="68">
        <f t="shared" si="0"/>
        <v>765.45341099999996</v>
      </c>
      <c r="I17" s="49"/>
    </row>
    <row r="18" spans="1:9" x14ac:dyDescent="0.25">
      <c r="A18" s="15" t="s">
        <v>576</v>
      </c>
      <c r="B18" s="66" t="s">
        <v>208</v>
      </c>
      <c r="C18" s="66">
        <v>122.35</v>
      </c>
      <c r="D18" s="66">
        <v>6</v>
      </c>
      <c r="E18" s="66">
        <f t="shared" si="1"/>
        <v>734.09999999999991</v>
      </c>
      <c r="F18" s="73">
        <v>4.2709999999999998E-2</v>
      </c>
      <c r="G18" s="68">
        <f t="shared" si="0"/>
        <v>765.45341099999996</v>
      </c>
      <c r="I18" s="49"/>
    </row>
    <row r="19" spans="1:9" x14ac:dyDescent="0.25">
      <c r="A19" s="15" t="s">
        <v>577</v>
      </c>
      <c r="B19" s="66" t="s">
        <v>208</v>
      </c>
      <c r="C19" s="66">
        <v>131.61000000000001</v>
      </c>
      <c r="D19" s="66">
        <v>6</v>
      </c>
      <c r="E19" s="66">
        <f t="shared" si="1"/>
        <v>789.66000000000008</v>
      </c>
      <c r="F19" s="73">
        <v>4.2709999999999998E-2</v>
      </c>
      <c r="G19" s="68">
        <f t="shared" si="0"/>
        <v>823.38637860000006</v>
      </c>
    </row>
    <row r="20" spans="1:9" ht="15" customHeight="1" x14ac:dyDescent="0.25">
      <c r="A20" s="15" t="s">
        <v>578</v>
      </c>
      <c r="B20" s="66" t="s">
        <v>208</v>
      </c>
      <c r="C20" s="66">
        <v>115.38</v>
      </c>
      <c r="D20" s="66">
        <v>5</v>
      </c>
      <c r="E20" s="66">
        <f t="shared" si="1"/>
        <v>576.9</v>
      </c>
      <c r="F20" s="73">
        <v>4.2709999999999998E-2</v>
      </c>
      <c r="G20" s="68">
        <f>(E20*F20)+E20</f>
        <v>601.539399</v>
      </c>
      <c r="I20" s="49"/>
    </row>
    <row r="21" spans="1:9" ht="15" customHeight="1" x14ac:dyDescent="0.25">
      <c r="A21" s="15" t="s">
        <v>746</v>
      </c>
      <c r="B21" s="66" t="s">
        <v>208</v>
      </c>
      <c r="C21" s="66">
        <v>197.5</v>
      </c>
      <c r="D21" s="66">
        <v>5</v>
      </c>
      <c r="E21" s="66">
        <f t="shared" si="1"/>
        <v>987.5</v>
      </c>
      <c r="F21" s="73">
        <v>4.0899999999999999E-2</v>
      </c>
      <c r="G21" s="68">
        <f>(E21*F21)+E21</f>
        <v>1027.8887500000001</v>
      </c>
      <c r="I21" s="49"/>
    </row>
    <row r="22" spans="1:9" ht="15" customHeight="1" x14ac:dyDescent="0.25">
      <c r="A22" s="90" t="s">
        <v>579</v>
      </c>
      <c r="B22" s="66" t="s">
        <v>208</v>
      </c>
      <c r="C22" s="80">
        <v>96.85</v>
      </c>
      <c r="D22" s="66">
        <v>5</v>
      </c>
      <c r="E22" s="94">
        <f t="shared" si="1"/>
        <v>484.25</v>
      </c>
      <c r="F22" s="73">
        <v>4.2709999999999998E-2</v>
      </c>
      <c r="G22" s="68">
        <f t="shared" si="0"/>
        <v>504.93231750000001</v>
      </c>
    </row>
    <row r="23" spans="1:9" ht="15" customHeight="1" x14ac:dyDescent="0.25">
      <c r="A23" s="90" t="s">
        <v>580</v>
      </c>
      <c r="B23" s="66" t="s">
        <v>208</v>
      </c>
      <c r="C23" s="80">
        <v>134.94</v>
      </c>
      <c r="D23" s="80">
        <v>5</v>
      </c>
      <c r="E23" s="94">
        <f t="shared" si="1"/>
        <v>674.7</v>
      </c>
      <c r="F23" s="73">
        <v>3.9774999999999998E-2</v>
      </c>
      <c r="G23" s="68">
        <f t="shared" si="0"/>
        <v>701.53619250000008</v>
      </c>
    </row>
    <row r="24" spans="1:9" x14ac:dyDescent="0.25">
      <c r="A24" s="90" t="s">
        <v>583</v>
      </c>
      <c r="B24" s="66" t="s">
        <v>258</v>
      </c>
      <c r="C24" s="80">
        <f>127.84+102.8+148.98</f>
        <v>379.62</v>
      </c>
      <c r="D24" s="80">
        <v>1</v>
      </c>
      <c r="E24" s="94">
        <f t="shared" ref="E24" si="2">C24*D24</f>
        <v>379.62</v>
      </c>
      <c r="F24" s="73">
        <v>3.9774999999999998E-2</v>
      </c>
      <c r="G24" s="68">
        <f t="shared" ref="G24" si="3">(E24*F24)+E24</f>
        <v>394.71938549999999</v>
      </c>
    </row>
    <row r="25" spans="1:9" ht="30" customHeight="1" x14ac:dyDescent="0.25">
      <c r="A25" s="106" t="s">
        <v>526</v>
      </c>
      <c r="B25" s="132" t="s">
        <v>11</v>
      </c>
      <c r="C25" s="132"/>
      <c r="D25" s="132"/>
      <c r="E25" s="132"/>
      <c r="F25" s="113">
        <f>SUM(G16:G24)</f>
        <v>6409.3242450999996</v>
      </c>
      <c r="G25" s="113"/>
    </row>
    <row r="26" spans="1:9" ht="18" x14ac:dyDescent="0.35">
      <c r="A26" s="86" t="s">
        <v>371</v>
      </c>
      <c r="B26" s="2"/>
      <c r="C26" s="2"/>
      <c r="D26" s="2"/>
      <c r="E26" s="9"/>
      <c r="F26" s="2"/>
      <c r="G26" s="2"/>
    </row>
    <row r="27" spans="1:9" ht="15" x14ac:dyDescent="0.25">
      <c r="A27" s="2"/>
      <c r="B27" s="2"/>
      <c r="C27" s="2"/>
      <c r="D27" s="2"/>
      <c r="E27" s="2"/>
      <c r="F27" s="2"/>
      <c r="G27" s="2"/>
    </row>
    <row r="28" spans="1:9" x14ac:dyDescent="0.25">
      <c r="A28" s="126" t="s">
        <v>0</v>
      </c>
      <c r="B28" s="126"/>
      <c r="C28" s="126"/>
      <c r="D28" s="126"/>
      <c r="E28" s="126"/>
      <c r="F28" s="126"/>
      <c r="G28" s="126"/>
    </row>
    <row r="29" spans="1:9" ht="26.25" customHeight="1" x14ac:dyDescent="0.25">
      <c r="A29" s="3"/>
      <c r="B29" s="6" t="s">
        <v>45</v>
      </c>
      <c r="C29" s="39" t="s">
        <v>63</v>
      </c>
      <c r="D29" s="39" t="s">
        <v>46</v>
      </c>
      <c r="E29" s="4"/>
      <c r="F29" s="4"/>
      <c r="G29" s="4"/>
      <c r="H29" s="8"/>
    </row>
    <row r="30" spans="1:9" ht="15" x14ac:dyDescent="0.25">
      <c r="A30" s="43" t="s">
        <v>134</v>
      </c>
      <c r="B30" s="41" t="s">
        <v>193</v>
      </c>
      <c r="C30" s="40">
        <f>IFERROR(VLOOKUP(B30,Liste!C1:D5,2,FALSE),"")</f>
        <v>2500</v>
      </c>
      <c r="D30" s="54">
        <f>IFERROR(C30/4.33,0)</f>
        <v>577.36720554272517</v>
      </c>
      <c r="H30" s="7"/>
    </row>
    <row r="31" spans="1:9" ht="15" x14ac:dyDescent="0.3">
      <c r="A31" s="43" t="s">
        <v>66</v>
      </c>
      <c r="B31" s="46" t="s">
        <v>39</v>
      </c>
      <c r="C31" s="40">
        <f>IFERROR(VLOOKUP(B31,Liste!$C$7:$D$15,2,FALSE),"")</f>
        <v>1000</v>
      </c>
      <c r="D31" s="54">
        <f>IFERROR(C31/4.33,0)</f>
        <v>230.94688221709006</v>
      </c>
      <c r="H31" s="7"/>
    </row>
    <row r="32" spans="1:9" ht="15" x14ac:dyDescent="0.3">
      <c r="A32" s="43" t="s">
        <v>67</v>
      </c>
      <c r="B32" s="46" t="s">
        <v>36</v>
      </c>
      <c r="C32" s="40">
        <f>IFERROR(VLOOKUP(B32,Liste!$C$7:$D$15,2,FALSE),"")</f>
        <v>1200</v>
      </c>
      <c r="D32" s="54">
        <f t="shared" ref="D32:D34" si="4">IFERROR(C32/4.33,0)</f>
        <v>277.13625866050808</v>
      </c>
      <c r="H32" s="7"/>
    </row>
    <row r="33" spans="1:8" ht="15" x14ac:dyDescent="0.3">
      <c r="A33" s="43" t="s">
        <v>68</v>
      </c>
      <c r="B33" s="46" t="s">
        <v>69</v>
      </c>
      <c r="C33" s="40" t="str">
        <f>IFERROR(VLOOKUP(B33,Liste!$C$7:$D$15,2,FALSE),"")</f>
        <v/>
      </c>
      <c r="D33" s="54">
        <f t="shared" si="4"/>
        <v>0</v>
      </c>
      <c r="H33" s="7"/>
    </row>
    <row r="34" spans="1:8" ht="15" x14ac:dyDescent="0.3">
      <c r="A34" s="43" t="s">
        <v>73</v>
      </c>
      <c r="B34" s="46" t="s">
        <v>69</v>
      </c>
      <c r="C34" s="40" t="str">
        <f>IFERROR(VLOOKUP(B34,Liste!$C$7:$D$15,2,FALSE),"")</f>
        <v/>
      </c>
      <c r="D34" s="54">
        <f t="shared" si="4"/>
        <v>0</v>
      </c>
      <c r="H34" s="7"/>
    </row>
    <row r="35" spans="1:8" ht="15" x14ac:dyDescent="0.25">
      <c r="A35" s="43" t="s">
        <v>2</v>
      </c>
      <c r="B35" s="41" t="s">
        <v>32</v>
      </c>
      <c r="C35" s="65">
        <v>0</v>
      </c>
      <c r="D35" s="54">
        <f>(B11*D5/100)*C35</f>
        <v>0</v>
      </c>
      <c r="E35" s="49"/>
      <c r="H35" s="7"/>
    </row>
    <row r="36" spans="1:8" ht="15" x14ac:dyDescent="0.25">
      <c r="A36" s="43" t="s">
        <v>2</v>
      </c>
      <c r="B36" s="41" t="s">
        <v>34</v>
      </c>
      <c r="C36" s="48">
        <v>1.365</v>
      </c>
      <c r="D36" s="54">
        <f>(D5*B11/100)*C36</f>
        <v>1263.6600794999997</v>
      </c>
      <c r="H36" s="7"/>
    </row>
    <row r="37" spans="1:8" ht="15" x14ac:dyDescent="0.3">
      <c r="A37" s="43" t="s">
        <v>3</v>
      </c>
      <c r="B37" s="42"/>
      <c r="C37" s="65">
        <v>0</v>
      </c>
      <c r="D37" s="54">
        <f>(D6*B11)*C37</f>
        <v>0</v>
      </c>
      <c r="H37" s="7"/>
    </row>
    <row r="38" spans="1:8" ht="15" x14ac:dyDescent="0.3">
      <c r="A38" s="43" t="s">
        <v>4</v>
      </c>
      <c r="B38" s="42"/>
      <c r="C38" s="48">
        <v>1.1225000000000001</v>
      </c>
      <c r="D38" s="55"/>
      <c r="H38" s="7"/>
    </row>
    <row r="39" spans="1:8" ht="30" x14ac:dyDescent="0.3">
      <c r="A39" s="43" t="s">
        <v>52</v>
      </c>
      <c r="B39" s="42"/>
      <c r="C39" s="44">
        <v>0.04</v>
      </c>
      <c r="D39" s="54">
        <f>C39*B11</f>
        <v>112.52</v>
      </c>
      <c r="E39" s="49"/>
      <c r="H39" s="7"/>
    </row>
    <row r="40" spans="1:8" ht="15" x14ac:dyDescent="0.25">
      <c r="A40" s="43" t="s">
        <v>13</v>
      </c>
      <c r="B40" s="41">
        <f>B12</f>
        <v>11.66</v>
      </c>
      <c r="C40" s="56">
        <v>5</v>
      </c>
      <c r="D40" s="54">
        <f>(C40*B40)</f>
        <v>58.3</v>
      </c>
      <c r="E40" s="85"/>
      <c r="H40" s="7"/>
    </row>
    <row r="41" spans="1:8" ht="15" x14ac:dyDescent="0.25">
      <c r="A41" s="43" t="s">
        <v>14</v>
      </c>
      <c r="B41" s="48" t="s">
        <v>55</v>
      </c>
      <c r="C41" s="40">
        <v>2</v>
      </c>
      <c r="D41" s="40">
        <f>886.96+975.82</f>
        <v>1862.7800000000002</v>
      </c>
      <c r="E41" s="49"/>
      <c r="H41" s="7"/>
    </row>
    <row r="42" spans="1:8" ht="15" x14ac:dyDescent="0.3">
      <c r="A42" s="43" t="s">
        <v>60</v>
      </c>
      <c r="B42" s="42"/>
      <c r="C42" s="42"/>
      <c r="D42" s="54">
        <f>G11</f>
        <v>0</v>
      </c>
      <c r="E42" s="49"/>
      <c r="H42" s="7"/>
    </row>
    <row r="43" spans="1:8" ht="15" x14ac:dyDescent="0.25">
      <c r="A43" s="43" t="s">
        <v>1</v>
      </c>
      <c r="B43" s="48" t="s">
        <v>65</v>
      </c>
      <c r="C43" s="40">
        <f>IF(B43=Liste!A24,Liste!B18,0)</f>
        <v>0</v>
      </c>
      <c r="D43" s="54">
        <f>C43/4.33</f>
        <v>0</v>
      </c>
      <c r="H43" s="7"/>
    </row>
    <row r="44" spans="1:8" ht="15" x14ac:dyDescent="0.3">
      <c r="A44" s="45" t="s">
        <v>50</v>
      </c>
      <c r="B44" s="42"/>
      <c r="C44" s="40">
        <v>0</v>
      </c>
      <c r="D44" s="54">
        <v>0</v>
      </c>
      <c r="H44" s="7"/>
    </row>
    <row r="45" spans="1:8" ht="15" customHeight="1" x14ac:dyDescent="0.25">
      <c r="A45" s="50"/>
      <c r="B45" s="51"/>
      <c r="C45" s="52"/>
    </row>
    <row r="46" spans="1:8" x14ac:dyDescent="0.25">
      <c r="C46" s="6" t="s">
        <v>47</v>
      </c>
      <c r="D46" s="47">
        <f>SUM(D30:D44)</f>
        <v>4382.7104259203234</v>
      </c>
    </row>
    <row r="47" spans="1:8" x14ac:dyDescent="0.25">
      <c r="C47" s="6" t="s">
        <v>49</v>
      </c>
      <c r="D47" s="47">
        <f>F25-D46</f>
        <v>2026.6138191796763</v>
      </c>
    </row>
    <row r="49" spans="3:4" ht="39" customHeight="1" x14ac:dyDescent="0.25">
      <c r="C49" s="58" t="s">
        <v>48</v>
      </c>
      <c r="D49" s="59">
        <f>D47/F25</f>
        <v>0.3161977365599884</v>
      </c>
    </row>
  </sheetData>
  <mergeCells count="6">
    <mergeCell ref="A28:G28"/>
    <mergeCell ref="A1:G1"/>
    <mergeCell ref="A3:G3"/>
    <mergeCell ref="F4:F5"/>
    <mergeCell ref="G4:G5"/>
    <mergeCell ref="B25:E25"/>
  </mergeCells>
  <phoneticPr fontId="41" type="noConversion"/>
  <hyperlinks>
    <hyperlink ref="A26" location="Sommaire!A1" display="SOMMAIRE" xr:uid="{04C04C20-60B7-4B5B-B2E0-26D56B3D356E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A761A6E-07FD-4161-A4E7-8FAF7C16093D}">
          <x14:formula1>
            <xm:f>Liste!$C$7:$C$16</xm:f>
          </x14:formula1>
          <xm:sqref>B31:B34</xm:sqref>
        </x14:dataValidation>
        <x14:dataValidation type="list" allowBlank="1" showInputMessage="1" showErrorMessage="1" xr:uid="{834BB668-A18B-43F7-86F4-04FAA9D9CB11}">
          <x14:formula1>
            <xm:f>Liste!$A$24:$A$25</xm:f>
          </x14:formula1>
          <xm:sqref>B43</xm:sqref>
        </x14:dataValidation>
        <x14:dataValidation type="list" allowBlank="1" showInputMessage="1" showErrorMessage="1" xr:uid="{487AF1A8-EE38-4C41-AD46-A8BAE47FC082}">
          <x14:formula1>
            <xm:f>Liste!$A$21:$A$22</xm:f>
          </x14:formula1>
          <xm:sqref>B41</xm:sqref>
        </x14:dataValidation>
        <x14:dataValidation type="list" allowBlank="1" showInputMessage="1" showErrorMessage="1" xr:uid="{E70D3604-1F14-4D3B-AB22-3FF46E8ECF05}">
          <x14:formula1>
            <xm:f>Liste!$C$2:$C$5</xm:f>
          </x14:formula1>
          <xm:sqref>B30</xm:sqref>
        </x14:dataValidation>
      </x14:dataValidation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CE7B3-943F-454D-B833-950C6DD1A4B9}">
  <sheetPr>
    <tabColor theme="7" tint="0.39997558519241921"/>
  </sheetPr>
  <dimension ref="A1:I48"/>
  <sheetViews>
    <sheetView workbookViewId="0">
      <selection activeCell="J20" sqref="J20"/>
    </sheetView>
  </sheetViews>
  <sheetFormatPr baseColWidth="10" defaultColWidth="11.44140625" defaultRowHeight="13.2" x14ac:dyDescent="0.25"/>
  <cols>
    <col min="1" max="1" width="36.6640625" style="1" bestFit="1" customWidth="1"/>
    <col min="2" max="2" width="20.6640625" style="1" customWidth="1"/>
    <col min="3" max="3" width="22.44140625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9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9" x14ac:dyDescent="0.25">
      <c r="A3" s="126" t="s">
        <v>5</v>
      </c>
      <c r="B3" s="126"/>
      <c r="C3" s="126"/>
      <c r="D3" s="126"/>
      <c r="E3" s="126"/>
      <c r="F3" s="126"/>
      <c r="G3" s="126"/>
    </row>
    <row r="4" spans="1:9" ht="15" x14ac:dyDescent="0.25">
      <c r="A4" s="2"/>
      <c r="B4" s="5" t="s">
        <v>10</v>
      </c>
      <c r="D4" s="11" t="s">
        <v>12</v>
      </c>
      <c r="F4" s="129" t="s">
        <v>15</v>
      </c>
      <c r="G4" s="130" t="s">
        <v>688</v>
      </c>
    </row>
    <row r="5" spans="1:9" ht="15" x14ac:dyDescent="0.25">
      <c r="A5" s="5" t="s">
        <v>8</v>
      </c>
      <c r="B5" s="10" t="s">
        <v>585</v>
      </c>
      <c r="C5" s="10"/>
      <c r="D5" s="17">
        <v>30.6</v>
      </c>
      <c r="E5" s="6"/>
      <c r="F5" s="129"/>
      <c r="G5" s="131"/>
    </row>
    <row r="6" spans="1:9" ht="15" x14ac:dyDescent="0.25">
      <c r="A6" s="5" t="s">
        <v>9</v>
      </c>
      <c r="B6" s="10" t="s">
        <v>299</v>
      </c>
      <c r="C6" s="10" t="s">
        <v>299</v>
      </c>
      <c r="D6" s="6">
        <v>1.9E-2</v>
      </c>
      <c r="F6" s="2"/>
      <c r="G6" s="2"/>
    </row>
    <row r="7" spans="1:9" ht="15" x14ac:dyDescent="0.25">
      <c r="A7" s="5" t="s">
        <v>16</v>
      </c>
      <c r="B7" s="12" t="s">
        <v>594</v>
      </c>
      <c r="C7" s="12" t="s">
        <v>593</v>
      </c>
      <c r="D7" s="63"/>
    </row>
    <row r="8" spans="1:9" ht="15" x14ac:dyDescent="0.25">
      <c r="A8" s="11" t="s">
        <v>71</v>
      </c>
      <c r="B8" s="18">
        <v>71.23</v>
      </c>
      <c r="C8" s="18">
        <v>58.02</v>
      </c>
    </row>
    <row r="9" spans="1:9" x14ac:dyDescent="0.25">
      <c r="A9" s="11" t="s">
        <v>72</v>
      </c>
      <c r="B9" s="77">
        <v>64.41</v>
      </c>
      <c r="C9" s="77">
        <v>49.18</v>
      </c>
    </row>
    <row r="10" spans="1:9" ht="15" x14ac:dyDescent="0.25">
      <c r="A10" s="5"/>
      <c r="B10" s="11" t="s">
        <v>70</v>
      </c>
      <c r="C10" s="2"/>
      <c r="D10" s="2"/>
      <c r="G10" s="11" t="s">
        <v>61</v>
      </c>
    </row>
    <row r="11" spans="1:9" ht="15" x14ac:dyDescent="0.25">
      <c r="B11" s="17">
        <f>1410+1260</f>
        <v>2670</v>
      </c>
      <c r="C11" s="2"/>
      <c r="D11" s="2"/>
      <c r="G11" s="18">
        <v>0</v>
      </c>
    </row>
    <row r="12" spans="1:9" ht="15" x14ac:dyDescent="0.25">
      <c r="A12" s="5" t="s">
        <v>62</v>
      </c>
      <c r="B12" s="17">
        <v>13.56</v>
      </c>
      <c r="C12" s="74"/>
      <c r="D12" s="2"/>
      <c r="E12" s="2"/>
      <c r="F12" s="53" t="s">
        <v>55</v>
      </c>
      <c r="G12" s="53" t="s">
        <v>56</v>
      </c>
    </row>
    <row r="13" spans="1:9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9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9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9" x14ac:dyDescent="0.25">
      <c r="A16" s="99" t="s">
        <v>588</v>
      </c>
      <c r="B16" s="66" t="s">
        <v>208</v>
      </c>
      <c r="C16" s="66">
        <v>186.69</v>
      </c>
      <c r="D16" s="66">
        <v>6</v>
      </c>
      <c r="E16" s="97">
        <f>C16*D16</f>
        <v>1120.1399999999999</v>
      </c>
      <c r="F16" s="73">
        <v>3.9774999999999998E-2</v>
      </c>
      <c r="G16" s="68">
        <f t="shared" ref="G16:G23" si="0">(E16*F16)+E16</f>
        <v>1164.6935684999999</v>
      </c>
      <c r="I16" s="49"/>
    </row>
    <row r="17" spans="1:9" x14ac:dyDescent="0.25">
      <c r="A17" s="15" t="s">
        <v>589</v>
      </c>
      <c r="B17" s="66" t="s">
        <v>208</v>
      </c>
      <c r="C17" s="66">
        <v>160.57</v>
      </c>
      <c r="D17" s="66">
        <v>6</v>
      </c>
      <c r="E17" s="66">
        <f t="shared" ref="E17:E23" si="1">C17*D17</f>
        <v>963.42</v>
      </c>
      <c r="F17" s="73">
        <v>3.9774999999999998E-2</v>
      </c>
      <c r="G17" s="68">
        <f t="shared" si="0"/>
        <v>1001.7400305</v>
      </c>
      <c r="I17" s="49"/>
    </row>
    <row r="18" spans="1:9" x14ac:dyDescent="0.25">
      <c r="A18" s="15" t="s">
        <v>590</v>
      </c>
      <c r="B18" s="66" t="s">
        <v>208</v>
      </c>
      <c r="C18" s="66">
        <v>161.12</v>
      </c>
      <c r="D18" s="66">
        <v>6</v>
      </c>
      <c r="E18" s="66">
        <f t="shared" si="1"/>
        <v>966.72</v>
      </c>
      <c r="F18" s="73">
        <v>3.9774999999999998E-2</v>
      </c>
      <c r="G18" s="68">
        <f t="shared" si="0"/>
        <v>1005.171288</v>
      </c>
      <c r="I18" s="49"/>
    </row>
    <row r="19" spans="1:9" x14ac:dyDescent="0.25">
      <c r="A19" s="15" t="s">
        <v>591</v>
      </c>
      <c r="B19" s="66" t="s">
        <v>208</v>
      </c>
      <c r="C19" s="66">
        <v>160.79</v>
      </c>
      <c r="D19" s="66">
        <v>6</v>
      </c>
      <c r="E19" s="66">
        <f t="shared" si="1"/>
        <v>964.74</v>
      </c>
      <c r="F19" s="73">
        <v>3.9774999999999998E-2</v>
      </c>
      <c r="G19" s="68">
        <f t="shared" si="0"/>
        <v>1003.1125335</v>
      </c>
    </row>
    <row r="20" spans="1:9" ht="15" customHeight="1" x14ac:dyDescent="0.25">
      <c r="A20" s="15" t="s">
        <v>592</v>
      </c>
      <c r="B20" s="66" t="s">
        <v>208</v>
      </c>
      <c r="C20" s="66">
        <v>210.67</v>
      </c>
      <c r="D20" s="66">
        <v>6</v>
      </c>
      <c r="E20" s="66">
        <f t="shared" si="1"/>
        <v>1264.02</v>
      </c>
      <c r="F20" s="73">
        <v>3.9774999999999998E-2</v>
      </c>
      <c r="G20" s="68">
        <f t="shared" si="0"/>
        <v>1314.2963955</v>
      </c>
      <c r="I20" s="49"/>
    </row>
    <row r="21" spans="1:9" ht="15" customHeight="1" x14ac:dyDescent="0.25">
      <c r="A21" s="90"/>
      <c r="B21" s="66"/>
      <c r="C21" s="80"/>
      <c r="D21" s="66"/>
      <c r="E21" s="94">
        <f t="shared" si="1"/>
        <v>0</v>
      </c>
      <c r="F21" s="73"/>
      <c r="G21" s="68">
        <f t="shared" si="0"/>
        <v>0</v>
      </c>
    </row>
    <row r="22" spans="1:9" ht="15" customHeight="1" x14ac:dyDescent="0.25">
      <c r="A22" s="90"/>
      <c r="B22" s="66"/>
      <c r="C22" s="80"/>
      <c r="D22" s="80"/>
      <c r="E22" s="94">
        <f t="shared" si="1"/>
        <v>0</v>
      </c>
      <c r="F22" s="73"/>
      <c r="G22" s="68">
        <f t="shared" si="0"/>
        <v>0</v>
      </c>
    </row>
    <row r="23" spans="1:9" x14ac:dyDescent="0.25">
      <c r="A23" s="90"/>
      <c r="B23" s="66"/>
      <c r="C23" s="80"/>
      <c r="D23" s="80"/>
      <c r="E23" s="94">
        <f t="shared" si="1"/>
        <v>0</v>
      </c>
      <c r="F23" s="73"/>
      <c r="G23" s="68">
        <f t="shared" si="0"/>
        <v>0</v>
      </c>
    </row>
    <row r="24" spans="1:9" ht="30" customHeight="1" x14ac:dyDescent="0.25">
      <c r="A24" s="106" t="s">
        <v>525</v>
      </c>
      <c r="B24" s="132" t="s">
        <v>11</v>
      </c>
      <c r="C24" s="132"/>
      <c r="D24" s="132"/>
      <c r="E24" s="132"/>
      <c r="F24" s="113">
        <f>SUM(G16:G23)</f>
        <v>5489.0138160000006</v>
      </c>
      <c r="G24" s="113"/>
    </row>
    <row r="25" spans="1:9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9" ht="15" x14ac:dyDescent="0.25">
      <c r="A26" s="2"/>
      <c r="B26" s="2"/>
      <c r="C26" s="2"/>
      <c r="D26" s="2"/>
      <c r="E26" s="2"/>
      <c r="F26" s="2"/>
      <c r="G26" s="2"/>
    </row>
    <row r="27" spans="1:9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9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9" ht="15" x14ac:dyDescent="0.25">
      <c r="A29" s="43" t="s">
        <v>134</v>
      </c>
      <c r="B29" s="41" t="s">
        <v>193</v>
      </c>
      <c r="C29" s="40">
        <f>IFERROR(VLOOKUP(B29,Liste!C1:D5,2,FALSE),"")</f>
        <v>2500</v>
      </c>
      <c r="D29" s="54">
        <f>IFERROR(C29/4.33,0)</f>
        <v>577.36720554272517</v>
      </c>
      <c r="H29" s="7"/>
    </row>
    <row r="30" spans="1:9" ht="15" x14ac:dyDescent="0.3">
      <c r="A30" s="43" t="s">
        <v>66</v>
      </c>
      <c r="B30" s="46" t="s">
        <v>39</v>
      </c>
      <c r="C30" s="40">
        <f>IFERROR(VLOOKUP(B30,Liste!$C$7:$D$15,2,FALSE),"")</f>
        <v>1000</v>
      </c>
      <c r="D30" s="54">
        <f>IFERROR(C30/4.33,0)</f>
        <v>230.94688221709006</v>
      </c>
      <c r="H30" s="7"/>
    </row>
    <row r="31" spans="1:9" ht="15" x14ac:dyDescent="0.3">
      <c r="A31" s="43" t="s">
        <v>67</v>
      </c>
      <c r="B31" s="46" t="s">
        <v>39</v>
      </c>
      <c r="C31" s="40">
        <f>IFERROR(VLOOKUP(B31,Liste!$C$7:$D$15,2,FALSE),"")</f>
        <v>1000</v>
      </c>
      <c r="D31" s="54">
        <f t="shared" ref="D31:D33" si="2">IFERROR(C31/4.33,0)</f>
        <v>230.94688221709006</v>
      </c>
      <c r="H31" s="7"/>
    </row>
    <row r="32" spans="1:9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2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2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0</v>
      </c>
      <c r="D34" s="54">
        <f>(B11*D5/100)*C34</f>
        <v>0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1.365</v>
      </c>
      <c r="D35" s="54">
        <f>(D5*B11/100)*C35</f>
        <v>1115.2322999999999</v>
      </c>
      <c r="H35" s="7"/>
    </row>
    <row r="36" spans="1:8" ht="15" x14ac:dyDescent="0.3">
      <c r="A36" s="43" t="s">
        <v>3</v>
      </c>
      <c r="B36" s="42"/>
      <c r="C36" s="65">
        <v>0</v>
      </c>
      <c r="D36" s="54">
        <f>(D6*B11)*C36</f>
        <v>0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106.8</v>
      </c>
      <c r="E38" s="49"/>
      <c r="H38" s="7"/>
    </row>
    <row r="39" spans="1:8" ht="15" x14ac:dyDescent="0.25">
      <c r="A39" s="43" t="s">
        <v>13</v>
      </c>
      <c r="B39" s="41">
        <f>B12</f>
        <v>13.56</v>
      </c>
      <c r="C39" s="56">
        <v>5</v>
      </c>
      <c r="D39" s="54">
        <f>(C39*B39)</f>
        <v>67.8</v>
      </c>
      <c r="E39" s="85"/>
      <c r="H39" s="7"/>
    </row>
    <row r="40" spans="1:8" ht="15" x14ac:dyDescent="0.25">
      <c r="A40" s="43" t="s">
        <v>14</v>
      </c>
      <c r="B40" s="48" t="s">
        <v>55</v>
      </c>
      <c r="C40" s="40">
        <v>2</v>
      </c>
      <c r="D40" s="40">
        <f>842.61+921.93</f>
        <v>1764.54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4093.6332699769055</v>
      </c>
    </row>
    <row r="46" spans="1:8" x14ac:dyDescent="0.25">
      <c r="C46" s="6" t="s">
        <v>49</v>
      </c>
      <c r="D46" s="47">
        <f>F24-D45</f>
        <v>1395.3805460230951</v>
      </c>
    </row>
    <row r="48" spans="1:8" ht="39" customHeight="1" x14ac:dyDescent="0.25">
      <c r="C48" s="58" t="s">
        <v>48</v>
      </c>
      <c r="D48" s="59">
        <f>D46/F24</f>
        <v>0.2542133419223106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70C5FC48-2CFD-4204-AC68-FCC6C3F24A88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341DDD2-33D8-4D45-AF52-EFB914D64D46}">
          <x14:formula1>
            <xm:f>Liste!$C$2:$C$5</xm:f>
          </x14:formula1>
          <xm:sqref>B29</xm:sqref>
        </x14:dataValidation>
        <x14:dataValidation type="list" allowBlank="1" showInputMessage="1" showErrorMessage="1" xr:uid="{FDCD1EFF-A1F2-4532-A601-067BD360C034}">
          <x14:formula1>
            <xm:f>Liste!$A$21:$A$22</xm:f>
          </x14:formula1>
          <xm:sqref>B40</xm:sqref>
        </x14:dataValidation>
        <x14:dataValidation type="list" allowBlank="1" showInputMessage="1" showErrorMessage="1" xr:uid="{12E30EBB-DD5D-46AF-A8E6-622116FEEC38}">
          <x14:formula1>
            <xm:f>Liste!$A$24:$A$25</xm:f>
          </x14:formula1>
          <xm:sqref>B42</xm:sqref>
        </x14:dataValidation>
        <x14:dataValidation type="list" allowBlank="1" showInputMessage="1" showErrorMessage="1" xr:uid="{2359490D-498B-4F25-95CD-9A18FB234048}">
          <x14:formula1>
            <xm:f>Liste!$C$7:$C$16</xm:f>
          </x14:formula1>
          <xm:sqref>B30:B33</xm:sqref>
        </x14:dataValidation>
      </x14:dataValidations>
    </ext>
  </extLst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C5C9B-E595-4690-A839-7BA4383279FF}">
  <sheetPr>
    <tabColor theme="7" tint="0.39997558519241921"/>
  </sheetPr>
  <dimension ref="A1:I48"/>
  <sheetViews>
    <sheetView workbookViewId="0">
      <selection activeCell="G30" sqref="G30"/>
    </sheetView>
  </sheetViews>
  <sheetFormatPr baseColWidth="10" defaultColWidth="11.44140625" defaultRowHeight="13.2" x14ac:dyDescent="0.25"/>
  <cols>
    <col min="1" max="1" width="36.6640625" style="1" bestFit="1" customWidth="1"/>
    <col min="2" max="2" width="20.6640625" style="1" customWidth="1"/>
    <col min="3" max="3" width="22.44140625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9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9" x14ac:dyDescent="0.25">
      <c r="A3" s="126" t="s">
        <v>5</v>
      </c>
      <c r="B3" s="126"/>
      <c r="C3" s="126"/>
      <c r="D3" s="126"/>
      <c r="E3" s="126"/>
      <c r="F3" s="126"/>
      <c r="G3" s="126"/>
    </row>
    <row r="4" spans="1:9" ht="15" x14ac:dyDescent="0.25">
      <c r="A4" s="2"/>
      <c r="B4" s="5" t="s">
        <v>10</v>
      </c>
      <c r="D4" s="11" t="s">
        <v>12</v>
      </c>
      <c r="F4" s="129" t="s">
        <v>15</v>
      </c>
      <c r="G4" s="130" t="s">
        <v>688</v>
      </c>
    </row>
    <row r="5" spans="1:9" ht="15" x14ac:dyDescent="0.25">
      <c r="A5" s="5" t="s">
        <v>8</v>
      </c>
      <c r="B5" s="10" t="s">
        <v>595</v>
      </c>
      <c r="C5" s="10"/>
      <c r="D5" s="17">
        <v>29.13</v>
      </c>
      <c r="E5" s="6"/>
      <c r="F5" s="129"/>
      <c r="G5" s="131"/>
    </row>
    <row r="6" spans="1:9" ht="15" x14ac:dyDescent="0.25">
      <c r="A6" s="5" t="s">
        <v>9</v>
      </c>
      <c r="B6" s="10" t="s">
        <v>299</v>
      </c>
      <c r="C6" s="10" t="s">
        <v>755</v>
      </c>
      <c r="D6" s="6">
        <v>1.9E-2</v>
      </c>
      <c r="F6" s="2"/>
      <c r="G6" s="2"/>
    </row>
    <row r="7" spans="1:9" ht="15" x14ac:dyDescent="0.25">
      <c r="A7" s="5" t="s">
        <v>16</v>
      </c>
      <c r="B7" s="12" t="s">
        <v>596</v>
      </c>
      <c r="C7" s="12" t="s">
        <v>747</v>
      </c>
      <c r="D7" s="63"/>
    </row>
    <row r="8" spans="1:9" ht="15" x14ac:dyDescent="0.25">
      <c r="A8" s="11" t="s">
        <v>71</v>
      </c>
      <c r="B8" s="18">
        <v>51.09</v>
      </c>
      <c r="C8" s="18">
        <v>65.150000000000006</v>
      </c>
    </row>
    <row r="9" spans="1:9" x14ac:dyDescent="0.25">
      <c r="A9" s="11" t="s">
        <v>72</v>
      </c>
      <c r="B9" s="77">
        <v>41.79</v>
      </c>
      <c r="C9" s="77">
        <v>40.950000000000003</v>
      </c>
    </row>
    <row r="10" spans="1:9" ht="15" x14ac:dyDescent="0.25">
      <c r="A10" s="5"/>
      <c r="B10" s="11" t="s">
        <v>70</v>
      </c>
      <c r="C10" s="2"/>
      <c r="D10" s="2"/>
      <c r="G10" s="11" t="s">
        <v>61</v>
      </c>
    </row>
    <row r="11" spans="1:9" ht="15" x14ac:dyDescent="0.25">
      <c r="A11" s="125" t="s">
        <v>752</v>
      </c>
      <c r="B11" s="17">
        <f>1972+1422</f>
        <v>3394</v>
      </c>
      <c r="C11" s="2"/>
      <c r="D11" s="2"/>
      <c r="G11" s="18">
        <v>0</v>
      </c>
    </row>
    <row r="12" spans="1:9" ht="15" x14ac:dyDescent="0.25">
      <c r="A12" s="5" t="s">
        <v>62</v>
      </c>
      <c r="B12" s="17">
        <v>0</v>
      </c>
      <c r="C12" s="74"/>
      <c r="D12" s="2"/>
      <c r="E12" s="2"/>
      <c r="F12" s="53" t="s">
        <v>55</v>
      </c>
      <c r="G12" s="53" t="s">
        <v>56</v>
      </c>
    </row>
    <row r="13" spans="1:9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9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9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9" x14ac:dyDescent="0.25">
      <c r="A16" s="99" t="s">
        <v>599</v>
      </c>
      <c r="B16" s="66" t="s">
        <v>208</v>
      </c>
      <c r="C16" s="66">
        <v>385</v>
      </c>
      <c r="D16" s="66">
        <v>5</v>
      </c>
      <c r="E16" s="97">
        <f>C16*D16</f>
        <v>1925</v>
      </c>
      <c r="F16" s="73">
        <v>-9.1000000000000004E-3</v>
      </c>
      <c r="G16" s="68">
        <f t="shared" ref="G16:G22" si="0">(E16*F16)+E16</f>
        <v>1907.4825000000001</v>
      </c>
      <c r="I16" s="49"/>
    </row>
    <row r="17" spans="1:9" x14ac:dyDescent="0.25">
      <c r="A17" s="15" t="s">
        <v>749</v>
      </c>
      <c r="B17" s="66" t="s">
        <v>208</v>
      </c>
      <c r="C17" s="66">
        <v>215</v>
      </c>
      <c r="D17" s="66">
        <v>5</v>
      </c>
      <c r="E17" s="66">
        <f t="shared" ref="E17:E23" si="1">C17*D17</f>
        <v>1075</v>
      </c>
      <c r="F17" s="73"/>
      <c r="G17" s="68">
        <f t="shared" si="0"/>
        <v>1075</v>
      </c>
      <c r="I17" s="49"/>
    </row>
    <row r="18" spans="1:9" x14ac:dyDescent="0.25">
      <c r="A18" s="15" t="s">
        <v>597</v>
      </c>
      <c r="B18" s="66" t="s">
        <v>208</v>
      </c>
      <c r="C18" s="66">
        <v>220</v>
      </c>
      <c r="D18" s="66">
        <v>5</v>
      </c>
      <c r="E18" s="66">
        <f t="shared" si="1"/>
        <v>1100</v>
      </c>
      <c r="F18" s="68">
        <f>-16.069*5</f>
        <v>-80.344999999999999</v>
      </c>
      <c r="G18" s="68">
        <f>F18+E18</f>
        <v>1019.655</v>
      </c>
      <c r="I18" s="49"/>
    </row>
    <row r="19" spans="1:9" x14ac:dyDescent="0.25">
      <c r="A19" s="15" t="s">
        <v>598</v>
      </c>
      <c r="B19" s="66" t="s">
        <v>208</v>
      </c>
      <c r="C19" s="66">
        <v>190</v>
      </c>
      <c r="D19" s="66">
        <v>5</v>
      </c>
      <c r="E19" s="66">
        <f t="shared" si="1"/>
        <v>950</v>
      </c>
      <c r="F19" s="73">
        <v>-1.23E-2</v>
      </c>
      <c r="G19" s="68">
        <f t="shared" si="0"/>
        <v>938.31500000000005</v>
      </c>
    </row>
    <row r="20" spans="1:9" ht="15" customHeight="1" x14ac:dyDescent="0.25">
      <c r="A20" s="15" t="s">
        <v>750</v>
      </c>
      <c r="B20" s="66" t="s">
        <v>208</v>
      </c>
      <c r="C20" s="66">
        <v>165</v>
      </c>
      <c r="D20" s="66">
        <v>5</v>
      </c>
      <c r="E20" s="66">
        <f t="shared" si="1"/>
        <v>825</v>
      </c>
      <c r="F20" s="66">
        <f>2.27*5</f>
        <v>11.35</v>
      </c>
      <c r="G20" s="68">
        <f>F20+E20</f>
        <v>836.35</v>
      </c>
    </row>
    <row r="21" spans="1:9" ht="15" customHeight="1" x14ac:dyDescent="0.25">
      <c r="A21" s="15" t="s">
        <v>748</v>
      </c>
      <c r="B21" s="66" t="s">
        <v>208</v>
      </c>
      <c r="C21" s="80">
        <v>197.5</v>
      </c>
      <c r="D21" s="66">
        <v>5</v>
      </c>
      <c r="E21" s="94">
        <f t="shared" si="1"/>
        <v>987.5</v>
      </c>
      <c r="F21" s="73">
        <v>4.0899999999999999E-2</v>
      </c>
      <c r="G21" s="68">
        <f t="shared" si="0"/>
        <v>1027.8887500000001</v>
      </c>
    </row>
    <row r="22" spans="1:9" ht="15" customHeight="1" x14ac:dyDescent="0.25">
      <c r="A22" s="15" t="s">
        <v>753</v>
      </c>
      <c r="B22" s="66" t="s">
        <v>751</v>
      </c>
      <c r="C22" s="80">
        <v>282.86</v>
      </c>
      <c r="D22" s="80">
        <v>1</v>
      </c>
      <c r="E22" s="94">
        <f t="shared" si="1"/>
        <v>282.86</v>
      </c>
      <c r="F22" s="73">
        <v>3.9774999999999998E-2</v>
      </c>
      <c r="G22" s="68">
        <f t="shared" si="0"/>
        <v>294.11075650000004</v>
      </c>
    </row>
    <row r="23" spans="1:9" x14ac:dyDescent="0.25">
      <c r="A23" s="98" t="s">
        <v>754</v>
      </c>
      <c r="B23" s="66" t="s">
        <v>751</v>
      </c>
      <c r="C23" s="80">
        <v>120</v>
      </c>
      <c r="D23" s="80">
        <v>1</v>
      </c>
      <c r="E23" s="94">
        <f t="shared" si="1"/>
        <v>120</v>
      </c>
      <c r="F23" s="66">
        <f>50*0.1412</f>
        <v>7.06</v>
      </c>
      <c r="G23" s="68">
        <f>F23+E23</f>
        <v>127.06</v>
      </c>
    </row>
    <row r="24" spans="1:9" ht="30" customHeight="1" x14ac:dyDescent="0.25">
      <c r="A24" s="106" t="s">
        <v>524</v>
      </c>
      <c r="B24" s="132" t="s">
        <v>11</v>
      </c>
      <c r="C24" s="132"/>
      <c r="D24" s="132"/>
      <c r="E24" s="132"/>
      <c r="F24" s="113">
        <f>SUM(G16:G23)</f>
        <v>7225.8620065000005</v>
      </c>
      <c r="G24" s="113"/>
    </row>
    <row r="25" spans="1:9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9" ht="15" x14ac:dyDescent="0.25">
      <c r="A26" s="2"/>
      <c r="B26" s="2"/>
      <c r="C26" s="2"/>
      <c r="D26" s="2"/>
      <c r="E26" s="2"/>
      <c r="F26" s="2"/>
      <c r="G26" s="2"/>
    </row>
    <row r="27" spans="1:9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9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9" ht="15" x14ac:dyDescent="0.25">
      <c r="A29" s="43" t="s">
        <v>134</v>
      </c>
      <c r="B29" s="41" t="s">
        <v>54</v>
      </c>
      <c r="C29" s="40">
        <f>IFERROR(VLOOKUP(B29,Liste!C1:D5,2,FALSE),"")</f>
        <v>2300</v>
      </c>
      <c r="D29" s="54">
        <f>IFERROR(C29/4.33,0)</f>
        <v>531.17782909930713</v>
      </c>
      <c r="H29" s="7"/>
    </row>
    <row r="30" spans="1:9" ht="15" x14ac:dyDescent="0.3">
      <c r="A30" s="43" t="s">
        <v>66</v>
      </c>
      <c r="B30" s="46" t="s">
        <v>39</v>
      </c>
      <c r="C30" s="40">
        <f>IFERROR(VLOOKUP(B30,Liste!$C$7:$D$15,2,FALSE),"")</f>
        <v>1000</v>
      </c>
      <c r="D30" s="54">
        <f>IFERROR(C30/4.33,0)</f>
        <v>230.94688221709006</v>
      </c>
      <c r="H30" s="7"/>
    </row>
    <row r="31" spans="1:9" ht="15" x14ac:dyDescent="0.3">
      <c r="A31" s="43" t="s">
        <v>67</v>
      </c>
      <c r="B31" s="46" t="s">
        <v>39</v>
      </c>
      <c r="C31" s="40">
        <f>IFERROR(VLOOKUP(B31,Liste!$C$7:$D$15,2,FALSE),"")</f>
        <v>1000</v>
      </c>
      <c r="D31" s="54">
        <f t="shared" ref="D31:D33" si="2">IFERROR(C31/4.33,0)</f>
        <v>230.94688221709006</v>
      </c>
      <c r="H31" s="7"/>
    </row>
    <row r="32" spans="1:9" ht="15" x14ac:dyDescent="0.3">
      <c r="A32" s="43" t="s">
        <v>68</v>
      </c>
      <c r="B32" s="46" t="s">
        <v>39</v>
      </c>
      <c r="C32" s="40">
        <f>IFERROR(VLOOKUP(B32,Liste!$C$7:$D$15,2,FALSE),"")</f>
        <v>1000</v>
      </c>
      <c r="D32" s="54">
        <f t="shared" si="2"/>
        <v>230.94688221709006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2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1.3553999999999999</v>
      </c>
      <c r="D34" s="54">
        <f>(B11*D5/100)*C34</f>
        <v>1340.0462998799999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0</v>
      </c>
      <c r="D35" s="54">
        <f>(D5*B11/100)*C35</f>
        <v>0</v>
      </c>
      <c r="H35" s="7"/>
    </row>
    <row r="36" spans="1:8" ht="15" x14ac:dyDescent="0.3">
      <c r="A36" s="43" t="s">
        <v>3</v>
      </c>
      <c r="B36" s="42"/>
      <c r="C36" s="65">
        <v>0.43090000000000001</v>
      </c>
      <c r="D36" s="54">
        <f>(D6*B11)*C36</f>
        <v>27.787017400000003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135.76</v>
      </c>
      <c r="E38" s="49"/>
      <c r="H38" s="7"/>
    </row>
    <row r="39" spans="1:8" ht="15" x14ac:dyDescent="0.25">
      <c r="A39" s="43" t="s">
        <v>13</v>
      </c>
      <c r="B39" s="41">
        <f>B12</f>
        <v>0</v>
      </c>
      <c r="C39" s="56">
        <v>5</v>
      </c>
      <c r="D39" s="54">
        <f>(C39*B39)</f>
        <v>0</v>
      </c>
      <c r="E39" s="85"/>
      <c r="H39" s="7"/>
    </row>
    <row r="40" spans="1:8" ht="15" x14ac:dyDescent="0.25">
      <c r="A40" s="43" t="s">
        <v>14</v>
      </c>
      <c r="B40" s="48" t="s">
        <v>55</v>
      </c>
      <c r="C40" s="40">
        <v>2</v>
      </c>
      <c r="D40" s="40">
        <f>908.53+871.25</f>
        <v>1779.78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4507.391793030577</v>
      </c>
    </row>
    <row r="46" spans="1:8" x14ac:dyDescent="0.25">
      <c r="C46" s="6" t="s">
        <v>49</v>
      </c>
      <c r="D46" s="47">
        <f>F24-D45</f>
        <v>2718.4702134694235</v>
      </c>
    </row>
    <row r="48" spans="1:8" ht="39" customHeight="1" x14ac:dyDescent="0.25">
      <c r="C48" s="58" t="s">
        <v>48</v>
      </c>
      <c r="D48" s="59">
        <f>D46/F24</f>
        <v>0.37621396741648711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7ED42214-FE48-4B67-820A-B35930E7789D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DDB2D37-DCE3-4AC1-A17D-FCC3789DF49D}">
          <x14:formula1>
            <xm:f>Liste!$C$7:$C$16</xm:f>
          </x14:formula1>
          <xm:sqref>B30:B33</xm:sqref>
        </x14:dataValidation>
        <x14:dataValidation type="list" allowBlank="1" showInputMessage="1" showErrorMessage="1" xr:uid="{FE1CA309-7B0D-41E6-91F4-B859402FC55A}">
          <x14:formula1>
            <xm:f>Liste!$A$24:$A$25</xm:f>
          </x14:formula1>
          <xm:sqref>B42</xm:sqref>
        </x14:dataValidation>
        <x14:dataValidation type="list" allowBlank="1" showInputMessage="1" showErrorMessage="1" xr:uid="{7B15F31B-02F0-49A0-B08A-EB96433DE407}">
          <x14:formula1>
            <xm:f>Liste!$A$21:$A$22</xm:f>
          </x14:formula1>
          <xm:sqref>B40</xm:sqref>
        </x14:dataValidation>
        <x14:dataValidation type="list" allowBlank="1" showInputMessage="1" showErrorMessage="1" xr:uid="{E774ABBF-93E1-4191-A667-08EBBB2938C1}">
          <x14:formula1>
            <xm:f>Liste!$C$2:$C$5</xm:f>
          </x14:formula1>
          <xm:sqref>B29</xm:sqref>
        </x14:dataValidation>
      </x14:dataValidation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45A0C-F9AF-444E-9ABB-C02AFB1874AF}">
  <sheetPr>
    <tabColor theme="7" tint="0.39997558519241921"/>
  </sheetPr>
  <dimension ref="A1:I48"/>
  <sheetViews>
    <sheetView workbookViewId="0">
      <selection activeCell="J14" sqref="J14"/>
    </sheetView>
  </sheetViews>
  <sheetFormatPr baseColWidth="10" defaultColWidth="11.44140625" defaultRowHeight="13.2" x14ac:dyDescent="0.25"/>
  <cols>
    <col min="1" max="1" width="36.6640625" style="1" bestFit="1" customWidth="1"/>
    <col min="2" max="2" width="20.6640625" style="1" customWidth="1"/>
    <col min="3" max="3" width="22.44140625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9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9" x14ac:dyDescent="0.25">
      <c r="A3" s="126" t="s">
        <v>5</v>
      </c>
      <c r="B3" s="126"/>
      <c r="C3" s="126"/>
      <c r="D3" s="126"/>
      <c r="E3" s="126"/>
      <c r="F3" s="126"/>
      <c r="G3" s="126"/>
    </row>
    <row r="4" spans="1:9" ht="15" x14ac:dyDescent="0.25">
      <c r="A4" s="2"/>
      <c r="B4" s="5" t="s">
        <v>10</v>
      </c>
      <c r="D4" s="11" t="s">
        <v>12</v>
      </c>
      <c r="F4" s="129" t="s">
        <v>15</v>
      </c>
      <c r="G4" s="130" t="s">
        <v>688</v>
      </c>
    </row>
    <row r="5" spans="1:9" ht="15" x14ac:dyDescent="0.25">
      <c r="A5" s="5" t="s">
        <v>8</v>
      </c>
      <c r="B5" s="10" t="s">
        <v>603</v>
      </c>
      <c r="C5" s="10"/>
      <c r="D5" s="17">
        <v>22.78</v>
      </c>
      <c r="E5" s="6"/>
      <c r="F5" s="129"/>
      <c r="G5" s="131"/>
    </row>
    <row r="6" spans="1:9" ht="15" x14ac:dyDescent="0.25">
      <c r="A6" s="5" t="s">
        <v>9</v>
      </c>
      <c r="B6" s="10" t="s">
        <v>299</v>
      </c>
      <c r="C6" s="10"/>
      <c r="D6" s="6">
        <v>1.9E-2</v>
      </c>
      <c r="F6" s="2"/>
      <c r="G6" s="2"/>
    </row>
    <row r="7" spans="1:9" ht="15" x14ac:dyDescent="0.25">
      <c r="A7" s="5" t="s">
        <v>16</v>
      </c>
      <c r="B7" s="12" t="s">
        <v>756</v>
      </c>
      <c r="C7" s="12"/>
      <c r="D7" s="63"/>
    </row>
    <row r="8" spans="1:9" ht="15" x14ac:dyDescent="0.25">
      <c r="A8" s="11" t="s">
        <v>71</v>
      </c>
      <c r="B8" s="18">
        <v>61.2</v>
      </c>
      <c r="C8" s="18"/>
    </row>
    <row r="9" spans="1:9" x14ac:dyDescent="0.25">
      <c r="A9" s="11" t="s">
        <v>72</v>
      </c>
      <c r="B9" s="77">
        <v>48.19</v>
      </c>
      <c r="C9" s="77"/>
    </row>
    <row r="10" spans="1:9" ht="15" x14ac:dyDescent="0.25">
      <c r="A10" s="5"/>
      <c r="B10" s="11" t="s">
        <v>70</v>
      </c>
      <c r="C10" s="2"/>
      <c r="D10" s="2"/>
      <c r="G10" s="11" t="s">
        <v>61</v>
      </c>
    </row>
    <row r="11" spans="1:9" ht="15" x14ac:dyDescent="0.25">
      <c r="B11" s="17">
        <v>2970</v>
      </c>
      <c r="C11" s="2"/>
      <c r="D11" s="2"/>
      <c r="G11" s="18">
        <v>0</v>
      </c>
    </row>
    <row r="12" spans="1:9" ht="15" x14ac:dyDescent="0.25">
      <c r="A12" s="5" t="s">
        <v>62</v>
      </c>
      <c r="B12" s="17">
        <f>59.42+6.42+30.17</f>
        <v>96.01</v>
      </c>
      <c r="C12" s="74"/>
      <c r="D12" s="2"/>
      <c r="E12" s="2"/>
      <c r="F12" s="53" t="s">
        <v>55</v>
      </c>
      <c r="G12" s="53" t="s">
        <v>56</v>
      </c>
    </row>
    <row r="13" spans="1:9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9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9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9" x14ac:dyDescent="0.25">
      <c r="A16" s="99" t="s">
        <v>604</v>
      </c>
      <c r="B16" s="66" t="s">
        <v>208</v>
      </c>
      <c r="C16" s="66">
        <v>510</v>
      </c>
      <c r="D16" s="66">
        <v>5</v>
      </c>
      <c r="E16" s="97">
        <f>C16*D16</f>
        <v>2550</v>
      </c>
      <c r="F16" s="73">
        <v>0</v>
      </c>
      <c r="G16" s="68">
        <f t="shared" ref="G16:G23" si="0">(E16*F16)+E16</f>
        <v>2550</v>
      </c>
      <c r="I16" s="49"/>
    </row>
    <row r="17" spans="1:9" x14ac:dyDescent="0.25">
      <c r="A17" s="15" t="s">
        <v>606</v>
      </c>
      <c r="B17" s="66" t="s">
        <v>208</v>
      </c>
      <c r="C17" s="66">
        <v>500</v>
      </c>
      <c r="D17" s="66">
        <v>5</v>
      </c>
      <c r="E17" s="66">
        <f t="shared" ref="E17:E23" si="1">C17*D17</f>
        <v>2500</v>
      </c>
      <c r="F17" s="66">
        <f>(225*5)*0.1412</f>
        <v>158.85</v>
      </c>
      <c r="G17" s="68">
        <f>F17+E17</f>
        <v>2658.85</v>
      </c>
      <c r="I17" s="49"/>
    </row>
    <row r="18" spans="1:9" x14ac:dyDescent="0.25">
      <c r="A18" s="15"/>
      <c r="B18" s="66"/>
      <c r="C18" s="66"/>
      <c r="D18" s="66"/>
      <c r="E18" s="66">
        <f t="shared" si="1"/>
        <v>0</v>
      </c>
      <c r="F18" s="68"/>
      <c r="G18" s="68">
        <f>F18+E18</f>
        <v>0</v>
      </c>
      <c r="I18" s="49"/>
    </row>
    <row r="19" spans="1:9" x14ac:dyDescent="0.25">
      <c r="A19" s="101" t="s">
        <v>605</v>
      </c>
      <c r="B19" s="66"/>
      <c r="C19" s="66"/>
      <c r="D19" s="66"/>
      <c r="E19" s="66">
        <f t="shared" si="1"/>
        <v>0</v>
      </c>
      <c r="F19" s="73"/>
      <c r="G19" s="68">
        <f t="shared" si="0"/>
        <v>0</v>
      </c>
    </row>
    <row r="20" spans="1:9" ht="15" customHeight="1" x14ac:dyDescent="0.25">
      <c r="A20" s="93"/>
      <c r="B20" s="94"/>
      <c r="C20" s="94"/>
      <c r="D20" s="94"/>
      <c r="E20" s="94">
        <f t="shared" si="1"/>
        <v>0</v>
      </c>
      <c r="F20" s="95"/>
      <c r="G20" s="96">
        <f t="shared" si="0"/>
        <v>0</v>
      </c>
    </row>
    <row r="21" spans="1:9" ht="15" customHeight="1" x14ac:dyDescent="0.25">
      <c r="A21" s="98"/>
      <c r="B21" s="66"/>
      <c r="C21" s="80"/>
      <c r="D21" s="66"/>
      <c r="E21" s="94">
        <f t="shared" si="1"/>
        <v>0</v>
      </c>
      <c r="F21" s="73"/>
      <c r="G21" s="68">
        <f t="shared" si="0"/>
        <v>0</v>
      </c>
    </row>
    <row r="22" spans="1:9" ht="15" customHeight="1" x14ac:dyDescent="0.25">
      <c r="A22" s="98"/>
      <c r="B22" s="66"/>
      <c r="C22" s="80"/>
      <c r="D22" s="80"/>
      <c r="E22" s="94">
        <f t="shared" si="1"/>
        <v>0</v>
      </c>
      <c r="F22" s="73"/>
      <c r="G22" s="68">
        <f t="shared" si="0"/>
        <v>0</v>
      </c>
    </row>
    <row r="23" spans="1:9" x14ac:dyDescent="0.25">
      <c r="A23" s="90"/>
      <c r="B23" s="66"/>
      <c r="C23" s="80"/>
      <c r="D23" s="80"/>
      <c r="E23" s="94">
        <f t="shared" si="1"/>
        <v>0</v>
      </c>
      <c r="F23" s="73"/>
      <c r="G23" s="68">
        <f t="shared" si="0"/>
        <v>0</v>
      </c>
    </row>
    <row r="24" spans="1:9" ht="30" customHeight="1" x14ac:dyDescent="0.25">
      <c r="A24" s="106" t="s">
        <v>523</v>
      </c>
      <c r="B24" s="132" t="s">
        <v>11</v>
      </c>
      <c r="C24" s="132"/>
      <c r="D24" s="132"/>
      <c r="E24" s="132"/>
      <c r="F24" s="113">
        <f>SUM(G16:G23)</f>
        <v>5208.8500000000004</v>
      </c>
      <c r="G24" s="113"/>
    </row>
    <row r="25" spans="1:9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9" ht="15" x14ac:dyDescent="0.25">
      <c r="A26" s="2"/>
      <c r="B26" s="2"/>
      <c r="C26" s="2"/>
      <c r="D26" s="2"/>
      <c r="E26" s="2"/>
      <c r="F26" s="2"/>
      <c r="G26" s="2"/>
    </row>
    <row r="27" spans="1:9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9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9" ht="15" x14ac:dyDescent="0.25">
      <c r="A29" s="43" t="s">
        <v>134</v>
      </c>
      <c r="B29" s="41" t="s">
        <v>54</v>
      </c>
      <c r="C29" s="40">
        <f>IFERROR(VLOOKUP(B29,Liste!C1:D5,2,FALSE),"")</f>
        <v>2300</v>
      </c>
      <c r="D29" s="54">
        <f>IFERROR(C29/4.33,0)</f>
        <v>531.17782909930713</v>
      </c>
      <c r="H29" s="7"/>
    </row>
    <row r="30" spans="1:9" ht="15" x14ac:dyDescent="0.3">
      <c r="A30" s="43" t="s">
        <v>66</v>
      </c>
      <c r="B30" s="46" t="s">
        <v>39</v>
      </c>
      <c r="C30" s="40">
        <f>IFERROR(VLOOKUP(B30,Liste!$C$7:$D$15,2,FALSE),"")</f>
        <v>1000</v>
      </c>
      <c r="D30" s="54">
        <f>IFERROR(C30/4.33,0)</f>
        <v>230.94688221709006</v>
      </c>
      <c r="H30" s="7"/>
    </row>
    <row r="31" spans="1:9" ht="15" x14ac:dyDescent="0.3">
      <c r="A31" s="43" t="s">
        <v>67</v>
      </c>
      <c r="B31" s="46" t="s">
        <v>69</v>
      </c>
      <c r="C31" s="40" t="str">
        <f>IFERROR(VLOOKUP(B31,Liste!$C$7:$D$15,2,FALSE),"")</f>
        <v/>
      </c>
      <c r="D31" s="54">
        <f t="shared" ref="D31:D33" si="2">IFERROR(C31/4.33,0)</f>
        <v>0</v>
      </c>
      <c r="H31" s="7"/>
    </row>
    <row r="32" spans="1:9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2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2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1.3553999999999999</v>
      </c>
      <c r="D34" s="54">
        <f>(B11*D5/100)*C34</f>
        <v>917.01755639999999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0</v>
      </c>
      <c r="D35" s="54">
        <f>(D5*B11/100)*C35</f>
        <v>0</v>
      </c>
      <c r="H35" s="7"/>
    </row>
    <row r="36" spans="1:8" ht="15" x14ac:dyDescent="0.3">
      <c r="A36" s="43" t="s">
        <v>3</v>
      </c>
      <c r="B36" s="42"/>
      <c r="C36" s="65">
        <v>0.43090000000000001</v>
      </c>
      <c r="D36" s="54">
        <f>(D6*B11)*C36</f>
        <v>24.315687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118.8</v>
      </c>
      <c r="E38" s="49"/>
      <c r="H38" s="7"/>
    </row>
    <row r="39" spans="1:8" ht="15" x14ac:dyDescent="0.25">
      <c r="A39" s="43" t="s">
        <v>13</v>
      </c>
      <c r="B39" s="41">
        <f>B12</f>
        <v>96.01</v>
      </c>
      <c r="C39" s="56">
        <v>5</v>
      </c>
      <c r="D39" s="54">
        <f>(C39*B39)</f>
        <v>480.05</v>
      </c>
      <c r="E39" s="85"/>
      <c r="H39" s="7"/>
    </row>
    <row r="40" spans="1:8" ht="15" x14ac:dyDescent="0.25">
      <c r="A40" s="43" t="s">
        <v>14</v>
      </c>
      <c r="B40" s="48" t="s">
        <v>55</v>
      </c>
      <c r="C40" s="40">
        <v>1</v>
      </c>
      <c r="D40" s="40">
        <v>1417.87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3720.1779547163974</v>
      </c>
    </row>
    <row r="46" spans="1:8" x14ac:dyDescent="0.25">
      <c r="C46" s="6" t="s">
        <v>49</v>
      </c>
      <c r="D46" s="47">
        <f>F24-D45</f>
        <v>1488.672045283603</v>
      </c>
    </row>
    <row r="48" spans="1:8" ht="39" customHeight="1" x14ac:dyDescent="0.25">
      <c r="C48" s="58" t="s">
        <v>48</v>
      </c>
      <c r="D48" s="59">
        <f>D46/F24</f>
        <v>0.2857966816636307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EFC379C5-3CE8-47D0-964D-C42A55F094C7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C1CBFF5-8645-4050-9C7A-A3854C29D7EA}">
          <x14:formula1>
            <xm:f>Liste!$C$2:$C$5</xm:f>
          </x14:formula1>
          <xm:sqref>B29</xm:sqref>
        </x14:dataValidation>
        <x14:dataValidation type="list" allowBlank="1" showInputMessage="1" showErrorMessage="1" xr:uid="{3EA11A88-7715-4294-9616-29280F9FF32A}">
          <x14:formula1>
            <xm:f>Liste!$A$21:$A$22</xm:f>
          </x14:formula1>
          <xm:sqref>B40</xm:sqref>
        </x14:dataValidation>
        <x14:dataValidation type="list" allowBlank="1" showInputMessage="1" showErrorMessage="1" xr:uid="{033055C4-C1C1-47D9-A931-80118A5E1001}">
          <x14:formula1>
            <xm:f>Liste!$A$24:$A$25</xm:f>
          </x14:formula1>
          <xm:sqref>B42</xm:sqref>
        </x14:dataValidation>
        <x14:dataValidation type="list" allowBlank="1" showInputMessage="1" showErrorMessage="1" xr:uid="{D724DD3C-EF91-42CE-B0B3-DD6FEE5F8619}">
          <x14:formula1>
            <xm:f>Liste!$C$7:$C$16</xm:f>
          </x14:formula1>
          <xm:sqref>B30:B33</xm:sqref>
        </x14:dataValidation>
      </x14:dataValidations>
    </ext>
  </extLst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EB058-29DC-4C32-87E6-9CB331A82525}">
  <sheetPr>
    <tabColor theme="7" tint="0.39997558519241921"/>
  </sheetPr>
  <dimension ref="A1:I48"/>
  <sheetViews>
    <sheetView workbookViewId="0">
      <selection activeCell="J19" sqref="J19"/>
    </sheetView>
  </sheetViews>
  <sheetFormatPr baseColWidth="10" defaultColWidth="11.44140625" defaultRowHeight="13.2" x14ac:dyDescent="0.25"/>
  <cols>
    <col min="1" max="1" width="39.6640625" style="1" bestFit="1" customWidth="1"/>
    <col min="2" max="2" width="20.6640625" style="1" customWidth="1"/>
    <col min="3" max="3" width="22.44140625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9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9" x14ac:dyDescent="0.25">
      <c r="A3" s="126" t="s">
        <v>5</v>
      </c>
      <c r="B3" s="126"/>
      <c r="C3" s="126"/>
      <c r="D3" s="126"/>
      <c r="E3" s="126"/>
      <c r="F3" s="126"/>
      <c r="G3" s="126"/>
    </row>
    <row r="4" spans="1:9" ht="15" x14ac:dyDescent="0.25">
      <c r="A4" s="2"/>
      <c r="B4" s="5" t="s">
        <v>10</v>
      </c>
      <c r="D4" s="11" t="s">
        <v>12</v>
      </c>
      <c r="F4" s="129" t="s">
        <v>15</v>
      </c>
      <c r="G4" s="130" t="s">
        <v>688</v>
      </c>
    </row>
    <row r="5" spans="1:9" ht="15" x14ac:dyDescent="0.25">
      <c r="A5" s="5" t="s">
        <v>8</v>
      </c>
      <c r="B5" s="10" t="s">
        <v>610</v>
      </c>
      <c r="C5" s="10"/>
      <c r="D5" s="17">
        <v>28.76</v>
      </c>
      <c r="E5" s="6"/>
      <c r="F5" s="129"/>
      <c r="G5" s="131"/>
    </row>
    <row r="6" spans="1:9" ht="15" x14ac:dyDescent="0.25">
      <c r="A6" s="5" t="s">
        <v>9</v>
      </c>
      <c r="B6" s="10" t="s">
        <v>299</v>
      </c>
      <c r="C6" s="10" t="s">
        <v>491</v>
      </c>
      <c r="D6" s="6">
        <v>1.9E-2</v>
      </c>
      <c r="F6" s="2"/>
      <c r="G6" s="2"/>
    </row>
    <row r="7" spans="1:9" ht="15" x14ac:dyDescent="0.25">
      <c r="A7" s="5" t="s">
        <v>16</v>
      </c>
      <c r="B7" s="12" t="s">
        <v>611</v>
      </c>
      <c r="C7" s="12" t="s">
        <v>757</v>
      </c>
      <c r="D7" s="63"/>
    </row>
    <row r="8" spans="1:9" ht="15" x14ac:dyDescent="0.25">
      <c r="A8" s="11" t="s">
        <v>71</v>
      </c>
      <c r="B8" s="18">
        <v>58.2</v>
      </c>
      <c r="C8" s="18">
        <v>50.16</v>
      </c>
    </row>
    <row r="9" spans="1:9" x14ac:dyDescent="0.25">
      <c r="A9" s="11" t="s">
        <v>72</v>
      </c>
      <c r="B9" s="77">
        <v>35.1</v>
      </c>
      <c r="C9" s="77">
        <v>27.87</v>
      </c>
    </row>
    <row r="10" spans="1:9" ht="15" x14ac:dyDescent="0.25">
      <c r="A10" s="5"/>
      <c r="B10" s="11" t="s">
        <v>70</v>
      </c>
      <c r="C10" s="2"/>
      <c r="D10" s="2"/>
      <c r="G10" s="11" t="s">
        <v>61</v>
      </c>
    </row>
    <row r="11" spans="1:9" ht="15" x14ac:dyDescent="0.25">
      <c r="B11" s="17">
        <f>1275+1065</f>
        <v>2340</v>
      </c>
      <c r="C11" s="2"/>
      <c r="D11" s="2"/>
      <c r="G11" s="18">
        <v>0</v>
      </c>
    </row>
    <row r="12" spans="1:9" ht="15" x14ac:dyDescent="0.25">
      <c r="A12" s="5" t="s">
        <v>62</v>
      </c>
      <c r="B12" s="17">
        <v>0</v>
      </c>
      <c r="C12" s="74"/>
      <c r="D12" s="2"/>
      <c r="E12" s="2"/>
      <c r="F12" s="53" t="s">
        <v>55</v>
      </c>
      <c r="G12" s="53" t="s">
        <v>56</v>
      </c>
    </row>
    <row r="13" spans="1:9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9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9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9" x14ac:dyDescent="0.25">
      <c r="A16" s="99" t="s">
        <v>615</v>
      </c>
      <c r="B16" s="66" t="s">
        <v>381</v>
      </c>
      <c r="C16" s="66">
        <v>75</v>
      </c>
      <c r="D16" s="66">
        <v>5</v>
      </c>
      <c r="E16" s="97">
        <f>C16*D16</f>
        <v>375</v>
      </c>
      <c r="F16" s="73">
        <v>-1.9E-3</v>
      </c>
      <c r="G16" s="68">
        <f t="shared" ref="G16:G23" si="0">(E16*F16)+E16</f>
        <v>374.28750000000002</v>
      </c>
      <c r="I16" s="49"/>
    </row>
    <row r="17" spans="1:9" x14ac:dyDescent="0.25">
      <c r="A17" s="15" t="s">
        <v>612</v>
      </c>
      <c r="B17" s="66" t="s">
        <v>208</v>
      </c>
      <c r="C17" s="66">
        <v>405</v>
      </c>
      <c r="D17" s="66">
        <v>6</v>
      </c>
      <c r="E17" s="66">
        <f t="shared" ref="E17:E23" si="1">C17*D17</f>
        <v>2430</v>
      </c>
      <c r="F17" s="66">
        <v>0</v>
      </c>
      <c r="G17" s="68">
        <f>F17+E17</f>
        <v>2430</v>
      </c>
      <c r="I17" s="49"/>
    </row>
    <row r="18" spans="1:9" x14ac:dyDescent="0.25">
      <c r="A18" s="15" t="s">
        <v>759</v>
      </c>
      <c r="B18" s="66" t="s">
        <v>208</v>
      </c>
      <c r="C18" s="66">
        <v>245</v>
      </c>
      <c r="D18" s="66">
        <v>5</v>
      </c>
      <c r="E18" s="66">
        <f t="shared" si="1"/>
        <v>1225</v>
      </c>
      <c r="F18" s="68">
        <v>0</v>
      </c>
      <c r="G18" s="68">
        <f>F18+E18</f>
        <v>1225</v>
      </c>
      <c r="I18" s="49"/>
    </row>
    <row r="19" spans="1:9" x14ac:dyDescent="0.25">
      <c r="A19" s="15" t="s">
        <v>758</v>
      </c>
      <c r="B19" s="66" t="s">
        <v>208</v>
      </c>
      <c r="C19" s="66">
        <v>190</v>
      </c>
      <c r="D19" s="66">
        <v>5</v>
      </c>
      <c r="E19" s="66">
        <f t="shared" si="1"/>
        <v>950</v>
      </c>
      <c r="F19" s="73">
        <v>-3.0099999999999998E-2</v>
      </c>
      <c r="G19" s="68">
        <f t="shared" si="0"/>
        <v>921.40499999999997</v>
      </c>
    </row>
    <row r="20" spans="1:9" ht="15" customHeight="1" x14ac:dyDescent="0.25">
      <c r="A20" s="93" t="s">
        <v>761</v>
      </c>
      <c r="B20" s="94" t="s">
        <v>258</v>
      </c>
      <c r="C20" s="94">
        <v>340</v>
      </c>
      <c r="D20" s="94">
        <v>1</v>
      </c>
      <c r="E20" s="94">
        <f t="shared" si="1"/>
        <v>340</v>
      </c>
      <c r="F20" s="95">
        <v>0</v>
      </c>
      <c r="G20" s="96">
        <f t="shared" si="0"/>
        <v>340</v>
      </c>
    </row>
    <row r="21" spans="1:9" ht="15" customHeight="1" x14ac:dyDescent="0.25">
      <c r="A21" s="90" t="s">
        <v>762</v>
      </c>
      <c r="B21" s="94" t="s">
        <v>258</v>
      </c>
      <c r="C21" s="80">
        <v>300</v>
      </c>
      <c r="D21" s="66">
        <v>1</v>
      </c>
      <c r="E21" s="94">
        <f t="shared" si="1"/>
        <v>300</v>
      </c>
      <c r="F21" s="73">
        <v>-3.0099999999999998E-2</v>
      </c>
      <c r="G21" s="68">
        <f t="shared" si="0"/>
        <v>290.97000000000003</v>
      </c>
    </row>
    <row r="22" spans="1:9" ht="15" customHeight="1" x14ac:dyDescent="0.25">
      <c r="A22" s="98" t="s">
        <v>760</v>
      </c>
      <c r="B22" s="66" t="s">
        <v>258</v>
      </c>
      <c r="C22" s="80">
        <v>265</v>
      </c>
      <c r="D22" s="80">
        <v>1</v>
      </c>
      <c r="E22" s="94">
        <f t="shared" si="1"/>
        <v>265</v>
      </c>
      <c r="F22" s="73">
        <v>0</v>
      </c>
      <c r="G22" s="68">
        <f t="shared" si="0"/>
        <v>265</v>
      </c>
    </row>
    <row r="23" spans="1:9" x14ac:dyDescent="0.25">
      <c r="A23" s="90" t="s">
        <v>763</v>
      </c>
      <c r="B23" s="66" t="s">
        <v>258</v>
      </c>
      <c r="C23" s="80">
        <v>240</v>
      </c>
      <c r="D23" s="80">
        <v>1</v>
      </c>
      <c r="E23" s="94">
        <f t="shared" si="1"/>
        <v>240</v>
      </c>
      <c r="F23" s="73">
        <v>5.8200000000000002E-2</v>
      </c>
      <c r="G23" s="68">
        <f t="shared" si="0"/>
        <v>253.96799999999999</v>
      </c>
    </row>
    <row r="24" spans="1:9" ht="30" customHeight="1" x14ac:dyDescent="0.25">
      <c r="A24" s="106" t="s">
        <v>522</v>
      </c>
      <c r="B24" s="132" t="s">
        <v>11</v>
      </c>
      <c r="C24" s="132"/>
      <c r="D24" s="132"/>
      <c r="E24" s="132"/>
      <c r="F24" s="113">
        <f>SUM(G16:G23)</f>
        <v>6100.6305000000002</v>
      </c>
      <c r="G24" s="113"/>
    </row>
    <row r="25" spans="1:9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9" ht="15" x14ac:dyDescent="0.25">
      <c r="A26" s="2"/>
      <c r="B26" s="2"/>
      <c r="C26" s="2"/>
      <c r="D26" s="2"/>
      <c r="E26" s="2"/>
      <c r="F26" s="2"/>
      <c r="G26" s="2"/>
    </row>
    <row r="27" spans="1:9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9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9" ht="15" x14ac:dyDescent="0.25">
      <c r="A29" s="43" t="s">
        <v>134</v>
      </c>
      <c r="B29" s="41" t="s">
        <v>193</v>
      </c>
      <c r="C29" s="40">
        <f>IFERROR(VLOOKUP(B29,Liste!C1:D5,2,FALSE),"")</f>
        <v>2500</v>
      </c>
      <c r="D29" s="54">
        <f>IFERROR(C29/4.33,0)</f>
        <v>577.36720554272517</v>
      </c>
      <c r="H29" s="7"/>
    </row>
    <row r="30" spans="1:9" ht="15" x14ac:dyDescent="0.3">
      <c r="A30" s="43" t="s">
        <v>66</v>
      </c>
      <c r="B30" s="46" t="s">
        <v>39</v>
      </c>
      <c r="C30" s="40">
        <f>IFERROR(VLOOKUP(B30,Liste!$C$7:$D$15,2,FALSE),"")</f>
        <v>1000</v>
      </c>
      <c r="D30" s="54">
        <f>IFERROR(C30/4.33,0)</f>
        <v>230.94688221709006</v>
      </c>
      <c r="H30" s="7"/>
    </row>
    <row r="31" spans="1:9" ht="15" x14ac:dyDescent="0.3">
      <c r="A31" s="43" t="s">
        <v>67</v>
      </c>
      <c r="B31" s="46" t="s">
        <v>36</v>
      </c>
      <c r="C31" s="40">
        <f>IFERROR(VLOOKUP(B31,Liste!$C$7:$D$15,2,FALSE),"")</f>
        <v>1200</v>
      </c>
      <c r="D31" s="54">
        <f t="shared" ref="D31:D33" si="2">IFERROR(C31/4.33,0)</f>
        <v>277.13625866050808</v>
      </c>
      <c r="H31" s="7"/>
    </row>
    <row r="32" spans="1:9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2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2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0</v>
      </c>
      <c r="D34" s="54">
        <f>(B11*D5/100)*C34</f>
        <v>0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1.3553999999999999</v>
      </c>
      <c r="D35" s="54">
        <f>(D5*B11/100)*C35</f>
        <v>912.16251360000001</v>
      </c>
      <c r="H35" s="7"/>
    </row>
    <row r="36" spans="1:8" ht="15" x14ac:dyDescent="0.3">
      <c r="A36" s="43" t="s">
        <v>3</v>
      </c>
      <c r="B36" s="42"/>
      <c r="C36" s="65">
        <v>0</v>
      </c>
      <c r="D36" s="54">
        <f>(D6*B11)*C36</f>
        <v>0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93.600000000000009</v>
      </c>
      <c r="E38" s="49"/>
      <c r="H38" s="7"/>
    </row>
    <row r="39" spans="1:8" ht="15" x14ac:dyDescent="0.25">
      <c r="A39" s="43" t="s">
        <v>13</v>
      </c>
      <c r="B39" s="41">
        <f>B12</f>
        <v>0</v>
      </c>
      <c r="C39" s="56">
        <v>5</v>
      </c>
      <c r="D39" s="54">
        <f>(C39*B39)</f>
        <v>0</v>
      </c>
      <c r="E39" s="85"/>
      <c r="H39" s="7"/>
    </row>
    <row r="40" spans="1:8" ht="15" x14ac:dyDescent="0.25">
      <c r="A40" s="43" t="s">
        <v>14</v>
      </c>
      <c r="B40" s="48" t="s">
        <v>55</v>
      </c>
      <c r="C40" s="40">
        <v>2</v>
      </c>
      <c r="D40" s="40">
        <f>1154.92+956.78</f>
        <v>2111.6999999999998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4202.912860020323</v>
      </c>
    </row>
    <row r="46" spans="1:8" x14ac:dyDescent="0.25">
      <c r="C46" s="6" t="s">
        <v>49</v>
      </c>
      <c r="D46" s="47">
        <f>F24-D45</f>
        <v>1897.7176399796772</v>
      </c>
    </row>
    <row r="48" spans="1:8" ht="39" customHeight="1" x14ac:dyDescent="0.25">
      <c r="C48" s="58" t="s">
        <v>48</v>
      </c>
      <c r="D48" s="59">
        <f>D46/F24</f>
        <v>0.31106910014951356</v>
      </c>
    </row>
  </sheetData>
  <mergeCells count="6">
    <mergeCell ref="A27:G27"/>
    <mergeCell ref="A1:G1"/>
    <mergeCell ref="A3:G3"/>
    <mergeCell ref="F4:F5"/>
    <mergeCell ref="G4:G5"/>
    <mergeCell ref="B24:E24"/>
  </mergeCells>
  <phoneticPr fontId="41" type="noConversion"/>
  <hyperlinks>
    <hyperlink ref="A25" location="Sommaire!A1" display="SOMMAIRE" xr:uid="{97AFCDDB-13B2-47FB-840B-20D4CE0C78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3E4E42B-C05F-4453-A8D3-D0AC9587FE95}">
          <x14:formula1>
            <xm:f>Liste!$C$7:$C$16</xm:f>
          </x14:formula1>
          <xm:sqref>B30:B33</xm:sqref>
        </x14:dataValidation>
        <x14:dataValidation type="list" allowBlank="1" showInputMessage="1" showErrorMessage="1" xr:uid="{4F7E7A69-9AA2-4CD7-A564-2C0FAD0E75F6}">
          <x14:formula1>
            <xm:f>Liste!$A$24:$A$25</xm:f>
          </x14:formula1>
          <xm:sqref>B42</xm:sqref>
        </x14:dataValidation>
        <x14:dataValidation type="list" allowBlank="1" showInputMessage="1" showErrorMessage="1" xr:uid="{10D44187-8E3C-4273-B4F8-1D145EC6E974}">
          <x14:formula1>
            <xm:f>Liste!$A$21:$A$22</xm:f>
          </x14:formula1>
          <xm:sqref>B40</xm:sqref>
        </x14:dataValidation>
        <x14:dataValidation type="list" allowBlank="1" showInputMessage="1" showErrorMessage="1" xr:uid="{F506AFAE-D222-4B94-88D4-91C2649AB2FC}">
          <x14:formula1>
            <xm:f>Liste!$C$2:$C$5</xm:f>
          </x14:formula1>
          <xm:sqref>B29</xm:sqref>
        </x14:dataValidation>
      </x14:dataValidations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7623C-EED1-4D5F-AF74-BEE2F631ED63}">
  <sheetPr>
    <tabColor theme="7" tint="0.39997558519241921"/>
  </sheetPr>
  <dimension ref="A1:I48"/>
  <sheetViews>
    <sheetView workbookViewId="0">
      <selection activeCell="G22" sqref="G22"/>
    </sheetView>
  </sheetViews>
  <sheetFormatPr baseColWidth="10" defaultColWidth="11.44140625" defaultRowHeight="13.2" x14ac:dyDescent="0.25"/>
  <cols>
    <col min="1" max="1" width="36.6640625" style="1" bestFit="1" customWidth="1"/>
    <col min="2" max="2" width="20.6640625" style="1" customWidth="1"/>
    <col min="3" max="3" width="22.44140625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9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9" x14ac:dyDescent="0.25">
      <c r="A3" s="126" t="s">
        <v>5</v>
      </c>
      <c r="B3" s="126"/>
      <c r="C3" s="126"/>
      <c r="D3" s="126"/>
      <c r="E3" s="126"/>
      <c r="F3" s="126"/>
      <c r="G3" s="126"/>
    </row>
    <row r="4" spans="1:9" ht="15" x14ac:dyDescent="0.25">
      <c r="A4" s="2"/>
      <c r="B4" s="5" t="s">
        <v>10</v>
      </c>
      <c r="D4" s="11" t="s">
        <v>12</v>
      </c>
      <c r="F4" s="129" t="s">
        <v>15</v>
      </c>
      <c r="G4" s="130" t="s">
        <v>688</v>
      </c>
    </row>
    <row r="5" spans="1:9" ht="15" x14ac:dyDescent="0.25">
      <c r="A5" s="5" t="s">
        <v>8</v>
      </c>
      <c r="B5" s="10" t="s">
        <v>619</v>
      </c>
      <c r="C5" s="10"/>
      <c r="D5" s="17">
        <v>27.41</v>
      </c>
      <c r="E5" s="6"/>
      <c r="F5" s="129"/>
      <c r="G5" s="131"/>
    </row>
    <row r="6" spans="1:9" ht="15" x14ac:dyDescent="0.25">
      <c r="A6" s="5" t="s">
        <v>9</v>
      </c>
      <c r="B6" s="10" t="s">
        <v>299</v>
      </c>
      <c r="C6" s="10" t="s">
        <v>299</v>
      </c>
      <c r="D6" s="6">
        <v>1.9E-2</v>
      </c>
      <c r="F6" s="2"/>
      <c r="G6" s="2"/>
    </row>
    <row r="7" spans="1:9" ht="15" x14ac:dyDescent="0.25">
      <c r="A7" s="5" t="s">
        <v>16</v>
      </c>
      <c r="B7" s="12" t="s">
        <v>620</v>
      </c>
      <c r="C7" s="12" t="s">
        <v>621</v>
      </c>
      <c r="D7" s="63"/>
    </row>
    <row r="8" spans="1:9" ht="15" x14ac:dyDescent="0.25">
      <c r="A8" s="11" t="s">
        <v>71</v>
      </c>
      <c r="B8" s="18">
        <v>56.28</v>
      </c>
      <c r="C8" s="18">
        <v>58.06</v>
      </c>
    </row>
    <row r="9" spans="1:9" x14ac:dyDescent="0.25">
      <c r="A9" s="11" t="s">
        <v>72</v>
      </c>
      <c r="B9" s="77">
        <v>38.85</v>
      </c>
      <c r="C9" s="77">
        <v>39.450000000000003</v>
      </c>
    </row>
    <row r="10" spans="1:9" ht="15" x14ac:dyDescent="0.25">
      <c r="A10" s="5"/>
      <c r="B10" s="11" t="s">
        <v>70</v>
      </c>
      <c r="C10" s="2"/>
      <c r="D10" s="2"/>
      <c r="G10" s="11" t="s">
        <v>61</v>
      </c>
    </row>
    <row r="11" spans="1:9" ht="15" x14ac:dyDescent="0.25">
      <c r="B11" s="17">
        <f>1741+1459</f>
        <v>3200</v>
      </c>
      <c r="C11" s="2"/>
      <c r="D11" s="2"/>
      <c r="G11" s="18">
        <v>0</v>
      </c>
    </row>
    <row r="12" spans="1:9" ht="15" x14ac:dyDescent="0.25">
      <c r="A12" s="5" t="s">
        <v>62</v>
      </c>
      <c r="B12" s="17">
        <f>12.25*2</f>
        <v>24.5</v>
      </c>
      <c r="C12" s="74"/>
      <c r="D12" s="2"/>
      <c r="E12" s="2"/>
      <c r="F12" s="53" t="s">
        <v>55</v>
      </c>
      <c r="G12" s="53" t="s">
        <v>56</v>
      </c>
    </row>
    <row r="13" spans="1:9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9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9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9" x14ac:dyDescent="0.25">
      <c r="A16" s="99" t="s">
        <v>622</v>
      </c>
      <c r="B16" s="66" t="s">
        <v>208</v>
      </c>
      <c r="C16" s="66">
        <v>80.650000000000006</v>
      </c>
      <c r="D16" s="66">
        <v>6</v>
      </c>
      <c r="E16" s="97">
        <f>C16*D16</f>
        <v>483.90000000000003</v>
      </c>
      <c r="F16" s="73">
        <v>4.7730000000000002E-2</v>
      </c>
      <c r="G16" s="68">
        <f t="shared" ref="G16:G23" si="0">(E16*F16)+E16</f>
        <v>506.99654700000002</v>
      </c>
      <c r="I16" s="49"/>
    </row>
    <row r="17" spans="1:9" x14ac:dyDescent="0.25">
      <c r="A17" s="15" t="s">
        <v>623</v>
      </c>
      <c r="B17" s="66" t="s">
        <v>208</v>
      </c>
      <c r="C17" s="66">
        <v>102.54</v>
      </c>
      <c r="D17" s="66">
        <v>6</v>
      </c>
      <c r="E17" s="66">
        <f t="shared" ref="E17:E23" si="1">C17*D17</f>
        <v>615.24</v>
      </c>
      <c r="F17" s="73">
        <v>4.7730000000000002E-2</v>
      </c>
      <c r="G17" s="68">
        <f t="shared" si="0"/>
        <v>644.60540520000006</v>
      </c>
      <c r="I17" s="49"/>
    </row>
    <row r="18" spans="1:9" x14ac:dyDescent="0.25">
      <c r="A18" s="15" t="s">
        <v>624</v>
      </c>
      <c r="B18" s="66" t="s">
        <v>208</v>
      </c>
      <c r="C18" s="66">
        <v>235.76</v>
      </c>
      <c r="D18" s="66">
        <v>6</v>
      </c>
      <c r="E18" s="66">
        <f t="shared" si="1"/>
        <v>1414.56</v>
      </c>
      <c r="F18" s="73">
        <v>4.7730000000000002E-2</v>
      </c>
      <c r="G18" s="68">
        <f t="shared" si="0"/>
        <v>1482.0769487999999</v>
      </c>
      <c r="I18" s="49"/>
    </row>
    <row r="19" spans="1:9" x14ac:dyDescent="0.25">
      <c r="A19" s="15" t="s">
        <v>765</v>
      </c>
      <c r="B19" s="66" t="s">
        <v>208</v>
      </c>
      <c r="C19" s="66">
        <v>197.5</v>
      </c>
      <c r="D19" s="66">
        <v>6</v>
      </c>
      <c r="E19" s="66">
        <f t="shared" si="1"/>
        <v>1185</v>
      </c>
      <c r="F19" s="73">
        <v>4.0899999999999999E-2</v>
      </c>
      <c r="G19" s="68">
        <f t="shared" si="0"/>
        <v>1233.4665</v>
      </c>
    </row>
    <row r="20" spans="1:9" ht="15" customHeight="1" x14ac:dyDescent="0.25">
      <c r="A20" s="93" t="s">
        <v>764</v>
      </c>
      <c r="B20" s="94" t="s">
        <v>208</v>
      </c>
      <c r="C20" s="94">
        <v>285</v>
      </c>
      <c r="D20" s="94">
        <v>5</v>
      </c>
      <c r="E20" s="94">
        <f t="shared" si="1"/>
        <v>1425</v>
      </c>
      <c r="F20" s="95">
        <v>0</v>
      </c>
      <c r="G20" s="68">
        <f t="shared" si="0"/>
        <v>1425</v>
      </c>
    </row>
    <row r="21" spans="1:9" ht="15" customHeight="1" x14ac:dyDescent="0.25">
      <c r="A21" s="90"/>
      <c r="B21" s="94"/>
      <c r="C21" s="80"/>
      <c r="D21" s="66"/>
      <c r="E21" s="94">
        <f t="shared" si="1"/>
        <v>0</v>
      </c>
      <c r="F21" s="73"/>
      <c r="G21" s="68">
        <f t="shared" si="0"/>
        <v>0</v>
      </c>
    </row>
    <row r="22" spans="1:9" ht="15" customHeight="1" x14ac:dyDescent="0.25">
      <c r="A22" s="98" t="s">
        <v>766</v>
      </c>
      <c r="B22" s="66" t="s">
        <v>258</v>
      </c>
      <c r="C22" s="80">
        <v>139.79</v>
      </c>
      <c r="D22" s="80">
        <v>1</v>
      </c>
      <c r="E22" s="94">
        <f t="shared" si="1"/>
        <v>139.79</v>
      </c>
      <c r="F22" s="73">
        <v>4.2709999999999998E-2</v>
      </c>
      <c r="G22" s="68">
        <f t="shared" si="0"/>
        <v>145.76043089999999</v>
      </c>
    </row>
    <row r="23" spans="1:9" x14ac:dyDescent="0.25">
      <c r="A23" s="90" t="s">
        <v>440</v>
      </c>
      <c r="B23" s="66" t="s">
        <v>258</v>
      </c>
      <c r="C23" s="80">
        <v>204.26</v>
      </c>
      <c r="D23" s="80">
        <v>1</v>
      </c>
      <c r="E23" s="94">
        <f t="shared" si="1"/>
        <v>204.26</v>
      </c>
      <c r="F23" s="73">
        <v>3.9774999999999998E-2</v>
      </c>
      <c r="G23" s="68">
        <f t="shared" si="0"/>
        <v>212.38444149999998</v>
      </c>
    </row>
    <row r="24" spans="1:9" ht="30" customHeight="1" x14ac:dyDescent="0.25">
      <c r="A24" s="106" t="s">
        <v>521</v>
      </c>
      <c r="B24" s="132" t="s">
        <v>11</v>
      </c>
      <c r="C24" s="132"/>
      <c r="D24" s="132"/>
      <c r="E24" s="132"/>
      <c r="F24" s="113">
        <f>SUM(G16:G23)</f>
        <v>5650.2902733999999</v>
      </c>
      <c r="G24" s="113"/>
    </row>
    <row r="25" spans="1:9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9" ht="15" x14ac:dyDescent="0.25">
      <c r="A26" s="2"/>
      <c r="B26" s="2"/>
      <c r="C26" s="2"/>
      <c r="D26" s="2"/>
      <c r="E26" s="2"/>
      <c r="F26" s="2"/>
      <c r="G26" s="2"/>
    </row>
    <row r="27" spans="1:9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9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9" ht="15" x14ac:dyDescent="0.25">
      <c r="A29" s="43" t="s">
        <v>134</v>
      </c>
      <c r="B29" s="41" t="s">
        <v>193</v>
      </c>
      <c r="C29" s="40">
        <f>IFERROR(VLOOKUP(B29,Liste!C1:D5,2,FALSE),"")</f>
        <v>2500</v>
      </c>
      <c r="D29" s="54">
        <f>IFERROR(C29/4.33,0)</f>
        <v>577.36720554272517</v>
      </c>
      <c r="H29" s="7"/>
    </row>
    <row r="30" spans="1:9" ht="15" x14ac:dyDescent="0.3">
      <c r="A30" s="43" t="s">
        <v>66</v>
      </c>
      <c r="B30" s="46" t="s">
        <v>39</v>
      </c>
      <c r="C30" s="40">
        <f>IFERROR(VLOOKUP(B30,Liste!$C$7:$D$15,2,FALSE),"")</f>
        <v>1000</v>
      </c>
      <c r="D30" s="54">
        <f>IFERROR(C30/4.33,0)</f>
        <v>230.94688221709006</v>
      </c>
      <c r="H30" s="7"/>
    </row>
    <row r="31" spans="1:9" ht="15" x14ac:dyDescent="0.3">
      <c r="A31" s="43" t="s">
        <v>67</v>
      </c>
      <c r="B31" s="46" t="s">
        <v>39</v>
      </c>
      <c r="C31" s="40">
        <f>IFERROR(VLOOKUP(B31,Liste!$C$7:$D$15,2,FALSE),"")</f>
        <v>1000</v>
      </c>
      <c r="D31" s="54">
        <f t="shared" ref="D31:D33" si="2">IFERROR(C31/4.33,0)</f>
        <v>230.94688221709006</v>
      </c>
      <c r="H31" s="7"/>
    </row>
    <row r="32" spans="1:9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2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2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0</v>
      </c>
      <c r="D34" s="54">
        <f>(B11*D5/100)*C34</f>
        <v>0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1.365</v>
      </c>
      <c r="D35" s="54">
        <f>(D5*B11/100)*C35</f>
        <v>1197.2688000000001</v>
      </c>
      <c r="H35" s="7"/>
    </row>
    <row r="36" spans="1:8" ht="15" x14ac:dyDescent="0.3">
      <c r="A36" s="43" t="s">
        <v>3</v>
      </c>
      <c r="B36" s="42"/>
      <c r="C36" s="65">
        <v>0</v>
      </c>
      <c r="D36" s="54">
        <f>(D6*B11)*C36</f>
        <v>0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128</v>
      </c>
      <c r="E38" s="49"/>
      <c r="H38" s="7"/>
    </row>
    <row r="39" spans="1:8" ht="15" x14ac:dyDescent="0.25">
      <c r="A39" s="43" t="s">
        <v>13</v>
      </c>
      <c r="B39" s="41">
        <f>B12</f>
        <v>24.5</v>
      </c>
      <c r="C39" s="56">
        <v>5</v>
      </c>
      <c r="D39" s="54">
        <f>(C39*B39)</f>
        <v>122.5</v>
      </c>
      <c r="E39" s="85"/>
      <c r="H39" s="7"/>
    </row>
    <row r="40" spans="1:8" ht="15" x14ac:dyDescent="0.25">
      <c r="A40" s="43" t="s">
        <v>14</v>
      </c>
      <c r="B40" s="48" t="s">
        <v>55</v>
      </c>
      <c r="C40" s="40">
        <v>2</v>
      </c>
      <c r="D40" s="40">
        <f>895.32+876.57</f>
        <v>1771.89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4258.9197699769056</v>
      </c>
    </row>
    <row r="46" spans="1:8" x14ac:dyDescent="0.25">
      <c r="C46" s="6" t="s">
        <v>49</v>
      </c>
      <c r="D46" s="47">
        <f>F24-D45</f>
        <v>1391.3705034230943</v>
      </c>
    </row>
    <row r="48" spans="1:8" ht="39" customHeight="1" x14ac:dyDescent="0.25">
      <c r="C48" s="58" t="s">
        <v>48</v>
      </c>
      <c r="D48" s="59">
        <f>D46/F24</f>
        <v>0.24624761491870265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DC8D49FC-9F8B-45C5-8DB7-C581855E5873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75BEAA7-1C5A-49FF-AEA9-65EC255EBF46}">
          <x14:formula1>
            <xm:f>Liste!$C$2:$C$5</xm:f>
          </x14:formula1>
          <xm:sqref>B29</xm:sqref>
        </x14:dataValidation>
        <x14:dataValidation type="list" allowBlank="1" showInputMessage="1" showErrorMessage="1" xr:uid="{A2E58D87-57C2-435C-A9F6-4D27A59E66FB}">
          <x14:formula1>
            <xm:f>Liste!$A$21:$A$22</xm:f>
          </x14:formula1>
          <xm:sqref>B40</xm:sqref>
        </x14:dataValidation>
        <x14:dataValidation type="list" allowBlank="1" showInputMessage="1" showErrorMessage="1" xr:uid="{60CBB614-A62A-4F60-9F7E-5C87A72C5A8A}">
          <x14:formula1>
            <xm:f>Liste!$A$24:$A$25</xm:f>
          </x14:formula1>
          <xm:sqref>B42</xm:sqref>
        </x14:dataValidation>
        <x14:dataValidation type="list" allowBlank="1" showInputMessage="1" showErrorMessage="1" xr:uid="{C4568287-03B6-4805-951C-0162ACA7D414}">
          <x14:formula1>
            <xm:f>Liste!$C$7:$C$16</xm:f>
          </x14:formula1>
          <xm:sqref>B30:B33</xm:sqref>
        </x14:dataValidation>
      </x14:dataValidations>
    </ext>
  </extLst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38BF2-AE72-41FB-BFAE-5F30563F5AB3}">
  <sheetPr>
    <tabColor theme="7" tint="0.39997558519241921"/>
  </sheetPr>
  <dimension ref="A1:I48"/>
  <sheetViews>
    <sheetView workbookViewId="0">
      <selection activeCell="K17" sqref="K17"/>
    </sheetView>
  </sheetViews>
  <sheetFormatPr baseColWidth="10" defaultColWidth="11.44140625" defaultRowHeight="13.2" x14ac:dyDescent="0.25"/>
  <cols>
    <col min="1" max="1" width="36.6640625" style="1" bestFit="1" customWidth="1"/>
    <col min="2" max="2" width="20.6640625" style="1" customWidth="1"/>
    <col min="3" max="3" width="22.44140625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9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9" x14ac:dyDescent="0.25">
      <c r="A3" s="126" t="s">
        <v>5</v>
      </c>
      <c r="B3" s="126"/>
      <c r="C3" s="126"/>
      <c r="D3" s="126"/>
      <c r="E3" s="126"/>
      <c r="F3" s="126"/>
      <c r="G3" s="126"/>
    </row>
    <row r="4" spans="1:9" ht="15" x14ac:dyDescent="0.25">
      <c r="A4" s="2"/>
      <c r="B4" s="5" t="s">
        <v>10</v>
      </c>
      <c r="D4" s="11" t="s">
        <v>12</v>
      </c>
      <c r="F4" s="129" t="s">
        <v>15</v>
      </c>
      <c r="G4" s="130" t="s">
        <v>688</v>
      </c>
    </row>
    <row r="5" spans="1:9" ht="15" x14ac:dyDescent="0.25">
      <c r="A5" s="5" t="s">
        <v>8</v>
      </c>
      <c r="B5" s="10" t="s">
        <v>629</v>
      </c>
      <c r="C5" s="10"/>
      <c r="D5" s="17">
        <v>27.44</v>
      </c>
      <c r="E5" s="6"/>
      <c r="F5" s="129"/>
      <c r="G5" s="131"/>
    </row>
    <row r="6" spans="1:9" ht="15" x14ac:dyDescent="0.25">
      <c r="A6" s="5" t="s">
        <v>9</v>
      </c>
      <c r="B6" s="10" t="s">
        <v>299</v>
      </c>
      <c r="C6" s="10"/>
      <c r="D6" s="6">
        <v>1.9E-2</v>
      </c>
      <c r="F6" s="2"/>
      <c r="G6" s="2"/>
    </row>
    <row r="7" spans="1:9" ht="15" x14ac:dyDescent="0.25">
      <c r="A7" s="5" t="s">
        <v>16</v>
      </c>
      <c r="B7" s="12" t="s">
        <v>630</v>
      </c>
      <c r="C7" s="12"/>
      <c r="D7" s="63"/>
    </row>
    <row r="8" spans="1:9" ht="15" x14ac:dyDescent="0.25">
      <c r="A8" s="11" t="s">
        <v>71</v>
      </c>
      <c r="B8" s="18">
        <v>59.04</v>
      </c>
      <c r="C8" s="18"/>
    </row>
    <row r="9" spans="1:9" x14ac:dyDescent="0.25">
      <c r="A9" s="11" t="s">
        <v>72</v>
      </c>
      <c r="B9" s="77">
        <v>53.92</v>
      </c>
      <c r="C9" s="77"/>
    </row>
    <row r="10" spans="1:9" ht="15" x14ac:dyDescent="0.25">
      <c r="A10" s="5"/>
      <c r="B10" s="11" t="s">
        <v>70</v>
      </c>
      <c r="C10" s="2"/>
      <c r="D10" s="2"/>
      <c r="G10" s="11" t="s">
        <v>61</v>
      </c>
    </row>
    <row r="11" spans="1:9" ht="15" x14ac:dyDescent="0.25">
      <c r="B11" s="17">
        <v>1628</v>
      </c>
      <c r="C11" s="2"/>
      <c r="D11" s="2"/>
      <c r="G11" s="18">
        <v>0</v>
      </c>
    </row>
    <row r="12" spans="1:9" ht="15" x14ac:dyDescent="0.25">
      <c r="A12" s="5" t="s">
        <v>62</v>
      </c>
      <c r="B12" s="17">
        <v>0</v>
      </c>
      <c r="C12" s="74"/>
      <c r="D12" s="2"/>
      <c r="E12" s="2"/>
      <c r="F12" s="53" t="s">
        <v>55</v>
      </c>
      <c r="G12" s="53" t="s">
        <v>56</v>
      </c>
    </row>
    <row r="13" spans="1:9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9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9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9" x14ac:dyDescent="0.25">
      <c r="A16" s="99" t="s">
        <v>631</v>
      </c>
      <c r="B16" s="66" t="s">
        <v>208</v>
      </c>
      <c r="C16" s="66">
        <v>208.26</v>
      </c>
      <c r="D16" s="66">
        <v>6</v>
      </c>
      <c r="E16" s="97">
        <f>C16*D16</f>
        <v>1249.56</v>
      </c>
      <c r="F16" s="73">
        <v>3.9774999999999998E-2</v>
      </c>
      <c r="G16" s="68">
        <f t="shared" ref="G16:G23" si="0">(E16*F16)+E16</f>
        <v>1299.2612489999999</v>
      </c>
      <c r="I16" s="49"/>
    </row>
    <row r="17" spans="1:9" x14ac:dyDescent="0.25">
      <c r="A17" s="15" t="s">
        <v>632</v>
      </c>
      <c r="B17" s="66" t="s">
        <v>208</v>
      </c>
      <c r="C17" s="66">
        <v>268.88</v>
      </c>
      <c r="D17" s="66">
        <v>6</v>
      </c>
      <c r="E17" s="66">
        <f t="shared" ref="E17:E23" si="1">C17*D17</f>
        <v>1613.28</v>
      </c>
      <c r="F17" s="73">
        <v>3.9774999999999998E-2</v>
      </c>
      <c r="G17" s="68">
        <f t="shared" si="0"/>
        <v>1677.448212</v>
      </c>
      <c r="I17" s="49"/>
    </row>
    <row r="18" spans="1:9" x14ac:dyDescent="0.25">
      <c r="A18" s="15"/>
      <c r="B18" s="66"/>
      <c r="C18" s="66"/>
      <c r="D18" s="66"/>
      <c r="E18" s="66">
        <f t="shared" si="1"/>
        <v>0</v>
      </c>
      <c r="F18" s="73"/>
      <c r="G18" s="68">
        <f t="shared" si="0"/>
        <v>0</v>
      </c>
      <c r="I18" s="49"/>
    </row>
    <row r="19" spans="1:9" x14ac:dyDescent="0.25">
      <c r="A19" s="15"/>
      <c r="B19" s="66"/>
      <c r="C19" s="66"/>
      <c r="D19" s="66"/>
      <c r="E19" s="66">
        <f t="shared" si="1"/>
        <v>0</v>
      </c>
      <c r="F19" s="73"/>
      <c r="G19" s="68">
        <f t="shared" si="0"/>
        <v>0</v>
      </c>
    </row>
    <row r="20" spans="1:9" ht="15" customHeight="1" x14ac:dyDescent="0.25">
      <c r="A20" s="93"/>
      <c r="B20" s="94"/>
      <c r="C20" s="94"/>
      <c r="D20" s="94"/>
      <c r="E20" s="94">
        <f t="shared" si="1"/>
        <v>0</v>
      </c>
      <c r="F20" s="95"/>
      <c r="G20" s="68">
        <f t="shared" si="0"/>
        <v>0</v>
      </c>
    </row>
    <row r="21" spans="1:9" ht="15" customHeight="1" x14ac:dyDescent="0.25">
      <c r="A21" s="90"/>
      <c r="B21" s="94"/>
      <c r="C21" s="80"/>
      <c r="D21" s="66"/>
      <c r="E21" s="94">
        <f t="shared" si="1"/>
        <v>0</v>
      </c>
      <c r="F21" s="73"/>
      <c r="G21" s="68">
        <f t="shared" si="0"/>
        <v>0</v>
      </c>
    </row>
    <row r="22" spans="1:9" ht="15" customHeight="1" x14ac:dyDescent="0.25">
      <c r="A22" s="98"/>
      <c r="B22" s="66"/>
      <c r="C22" s="80"/>
      <c r="D22" s="80"/>
      <c r="E22" s="94">
        <f t="shared" si="1"/>
        <v>0</v>
      </c>
      <c r="F22" s="73"/>
      <c r="G22" s="68">
        <f t="shared" si="0"/>
        <v>0</v>
      </c>
    </row>
    <row r="23" spans="1:9" x14ac:dyDescent="0.25">
      <c r="A23" s="90"/>
      <c r="B23" s="66"/>
      <c r="C23" s="80"/>
      <c r="D23" s="80"/>
      <c r="E23" s="94">
        <f t="shared" si="1"/>
        <v>0</v>
      </c>
      <c r="F23" s="73"/>
      <c r="G23" s="68">
        <f t="shared" si="0"/>
        <v>0</v>
      </c>
    </row>
    <row r="24" spans="1:9" ht="30" customHeight="1" x14ac:dyDescent="0.25">
      <c r="A24" s="106" t="s">
        <v>520</v>
      </c>
      <c r="B24" s="132" t="s">
        <v>11</v>
      </c>
      <c r="C24" s="132"/>
      <c r="D24" s="132"/>
      <c r="E24" s="132"/>
      <c r="F24" s="113">
        <f>SUM(G16:G23)</f>
        <v>2976.7094609999999</v>
      </c>
      <c r="G24" s="113"/>
    </row>
    <row r="25" spans="1:9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9" ht="15" x14ac:dyDescent="0.25">
      <c r="A26" s="2"/>
      <c r="B26" s="2"/>
      <c r="C26" s="2"/>
      <c r="D26" s="2"/>
      <c r="E26" s="2"/>
      <c r="F26" s="2"/>
      <c r="G26" s="2"/>
    </row>
    <row r="27" spans="1:9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9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9" ht="15" x14ac:dyDescent="0.25">
      <c r="A29" s="43" t="s">
        <v>134</v>
      </c>
      <c r="B29" s="41" t="s">
        <v>193</v>
      </c>
      <c r="C29" s="40">
        <f>IFERROR(VLOOKUP(B29,Liste!C1:D5,2,FALSE),"")</f>
        <v>2500</v>
      </c>
      <c r="D29" s="54">
        <f>IFERROR(C29/4.33,0)</f>
        <v>577.36720554272517</v>
      </c>
      <c r="H29" s="7"/>
    </row>
    <row r="30" spans="1:9" ht="15" x14ac:dyDescent="0.3">
      <c r="A30" s="43" t="s">
        <v>66</v>
      </c>
      <c r="B30" s="46" t="s">
        <v>39</v>
      </c>
      <c r="C30" s="40">
        <f>IFERROR(VLOOKUP(B30,Liste!$C$7:$D$15,2,FALSE),"")</f>
        <v>1000</v>
      </c>
      <c r="D30" s="54">
        <f>IFERROR(C30/4.33,0)</f>
        <v>230.94688221709006</v>
      </c>
      <c r="H30" s="7"/>
    </row>
    <row r="31" spans="1:9" ht="15" x14ac:dyDescent="0.3">
      <c r="A31" s="43" t="s">
        <v>67</v>
      </c>
      <c r="B31" s="46" t="s">
        <v>69</v>
      </c>
      <c r="C31" s="40" t="str">
        <f>IFERROR(VLOOKUP(B31,Liste!$C$7:$D$15,2,FALSE),"")</f>
        <v/>
      </c>
      <c r="D31" s="54">
        <f t="shared" ref="D31:D33" si="2">IFERROR(C31/4.33,0)</f>
        <v>0</v>
      </c>
      <c r="H31" s="7"/>
    </row>
    <row r="32" spans="1:9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2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2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0</v>
      </c>
      <c r="D34" s="54">
        <f>(B11*D5/100)*C34</f>
        <v>0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1.365</v>
      </c>
      <c r="D35" s="54">
        <f>(D5*B11/100)*C35</f>
        <v>609.77716800000007</v>
      </c>
      <c r="H35" s="7"/>
    </row>
    <row r="36" spans="1:8" ht="15" x14ac:dyDescent="0.3">
      <c r="A36" s="43" t="s">
        <v>3</v>
      </c>
      <c r="B36" s="42"/>
      <c r="C36" s="65">
        <v>0</v>
      </c>
      <c r="D36" s="54">
        <f>(D6*B11)*C36</f>
        <v>0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65.12</v>
      </c>
      <c r="E38" s="49"/>
      <c r="H38" s="7"/>
    </row>
    <row r="39" spans="1:8" ht="15" x14ac:dyDescent="0.25">
      <c r="A39" s="43" t="s">
        <v>13</v>
      </c>
      <c r="B39" s="41">
        <f>B12</f>
        <v>0</v>
      </c>
      <c r="C39" s="56">
        <v>5</v>
      </c>
      <c r="D39" s="54">
        <f>(C39*B39)</f>
        <v>0</v>
      </c>
      <c r="E39" s="85"/>
      <c r="H39" s="7"/>
    </row>
    <row r="40" spans="1:8" ht="15" x14ac:dyDescent="0.25">
      <c r="A40" s="43" t="s">
        <v>14</v>
      </c>
      <c r="B40" s="48" t="s">
        <v>55</v>
      </c>
      <c r="C40" s="40">
        <v>1</v>
      </c>
      <c r="D40" s="40">
        <v>909.42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2392.6312557598153</v>
      </c>
    </row>
    <row r="46" spans="1:8" x14ac:dyDescent="0.25">
      <c r="C46" s="6" t="s">
        <v>49</v>
      </c>
      <c r="D46" s="47">
        <f>F24-D45</f>
        <v>584.07820524018462</v>
      </c>
    </row>
    <row r="48" spans="1:8" ht="39" customHeight="1" x14ac:dyDescent="0.25">
      <c r="C48" s="58" t="s">
        <v>48</v>
      </c>
      <c r="D48" s="59">
        <f>D46/F24</f>
        <v>0.19621606102060379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6EC83BB0-8E9B-4E5E-871A-850F0C8F428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D9779FF-0CCA-4E26-8654-E76E7486B81B}">
          <x14:formula1>
            <xm:f>Liste!$C$7:$C$16</xm:f>
          </x14:formula1>
          <xm:sqref>B30:B33</xm:sqref>
        </x14:dataValidation>
        <x14:dataValidation type="list" allowBlank="1" showInputMessage="1" showErrorMessage="1" xr:uid="{BA90BA32-947A-43E4-874E-76B956F42418}">
          <x14:formula1>
            <xm:f>Liste!$A$24:$A$25</xm:f>
          </x14:formula1>
          <xm:sqref>B42</xm:sqref>
        </x14:dataValidation>
        <x14:dataValidation type="list" allowBlank="1" showInputMessage="1" showErrorMessage="1" xr:uid="{57DC2E2C-1A6A-4483-BC2E-EA9114AAEFD6}">
          <x14:formula1>
            <xm:f>Liste!$A$21:$A$22</xm:f>
          </x14:formula1>
          <xm:sqref>B40</xm:sqref>
        </x14:dataValidation>
        <x14:dataValidation type="list" allowBlank="1" showInputMessage="1" showErrorMessage="1" xr:uid="{46B33E69-9EB6-46EF-A0DF-15B1F94D11B5}">
          <x14:formula1>
            <xm:f>Liste!$C$2:$C$5</xm:f>
          </x14:formula1>
          <xm:sqref>B29</xm:sqref>
        </x14:dataValidation>
      </x14:dataValidations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D9A5A-2173-4880-9AAA-A84E3CC4A3B1}">
  <sheetPr>
    <tabColor theme="7" tint="0.39997558519241921"/>
  </sheetPr>
  <dimension ref="A1:I48"/>
  <sheetViews>
    <sheetView workbookViewId="0">
      <selection activeCell="I18" sqref="I18"/>
    </sheetView>
  </sheetViews>
  <sheetFormatPr baseColWidth="10" defaultColWidth="11.44140625" defaultRowHeight="13.2" x14ac:dyDescent="0.25"/>
  <cols>
    <col min="1" max="1" width="36.6640625" style="1" bestFit="1" customWidth="1"/>
    <col min="2" max="2" width="20.6640625" style="1" customWidth="1"/>
    <col min="3" max="3" width="22.44140625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9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9" x14ac:dyDescent="0.25">
      <c r="A3" s="126" t="s">
        <v>5</v>
      </c>
      <c r="B3" s="126"/>
      <c r="C3" s="126"/>
      <c r="D3" s="126"/>
      <c r="E3" s="126"/>
      <c r="F3" s="126"/>
      <c r="G3" s="126"/>
    </row>
    <row r="4" spans="1:9" ht="15" x14ac:dyDescent="0.25">
      <c r="A4" s="2"/>
      <c r="B4" s="5" t="s">
        <v>10</v>
      </c>
      <c r="D4" s="11" t="s">
        <v>12</v>
      </c>
      <c r="F4" s="129" t="s">
        <v>15</v>
      </c>
      <c r="G4" s="130" t="s">
        <v>689</v>
      </c>
    </row>
    <row r="5" spans="1:9" ht="15" x14ac:dyDescent="0.25">
      <c r="A5" s="5" t="s">
        <v>8</v>
      </c>
      <c r="B5" s="10" t="s">
        <v>633</v>
      </c>
      <c r="C5" s="10"/>
      <c r="D5" s="17">
        <v>29.93</v>
      </c>
      <c r="E5" s="6"/>
      <c r="F5" s="129"/>
      <c r="G5" s="131"/>
    </row>
    <row r="6" spans="1:9" ht="15" x14ac:dyDescent="0.25">
      <c r="A6" s="5" t="s">
        <v>9</v>
      </c>
      <c r="B6" s="10" t="s">
        <v>299</v>
      </c>
      <c r="C6" s="10" t="s">
        <v>299</v>
      </c>
      <c r="D6" s="6">
        <v>1.9E-2</v>
      </c>
      <c r="F6" s="2"/>
      <c r="G6" s="2"/>
    </row>
    <row r="7" spans="1:9" ht="15" x14ac:dyDescent="0.25">
      <c r="A7" s="5" t="s">
        <v>16</v>
      </c>
      <c r="B7" s="12" t="s">
        <v>640</v>
      </c>
      <c r="C7" s="12" t="s">
        <v>767</v>
      </c>
      <c r="D7" s="63"/>
    </row>
    <row r="8" spans="1:9" ht="15" x14ac:dyDescent="0.25">
      <c r="A8" s="11" t="s">
        <v>71</v>
      </c>
      <c r="B8" s="18">
        <v>65.37</v>
      </c>
      <c r="C8" s="18">
        <v>54.04</v>
      </c>
    </row>
    <row r="9" spans="1:9" x14ac:dyDescent="0.25">
      <c r="A9" s="11" t="s">
        <v>72</v>
      </c>
      <c r="B9" s="77">
        <v>55.4</v>
      </c>
      <c r="C9" s="77">
        <v>31</v>
      </c>
    </row>
    <row r="10" spans="1:9" ht="15" x14ac:dyDescent="0.25">
      <c r="A10" s="5"/>
      <c r="B10" s="11" t="s">
        <v>70</v>
      </c>
      <c r="C10" s="2"/>
      <c r="D10" s="2"/>
      <c r="G10" s="11" t="s">
        <v>61</v>
      </c>
    </row>
    <row r="11" spans="1:9" ht="15" x14ac:dyDescent="0.25">
      <c r="B11" s="17">
        <f>1173+1158</f>
        <v>2331</v>
      </c>
      <c r="C11" s="2"/>
      <c r="D11" s="2"/>
      <c r="G11" s="18">
        <v>0</v>
      </c>
    </row>
    <row r="12" spans="1:9" ht="15" x14ac:dyDescent="0.25">
      <c r="A12" s="5" t="s">
        <v>62</v>
      </c>
      <c r="B12" s="17">
        <v>0</v>
      </c>
      <c r="C12" s="74"/>
      <c r="D12" s="2"/>
      <c r="E12" s="2"/>
      <c r="F12" s="53" t="s">
        <v>55</v>
      </c>
      <c r="G12" s="53" t="s">
        <v>56</v>
      </c>
    </row>
    <row r="13" spans="1:9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9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9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9" x14ac:dyDescent="0.25">
      <c r="A16" s="99" t="s">
        <v>634</v>
      </c>
      <c r="B16" s="66" t="s">
        <v>208</v>
      </c>
      <c r="C16" s="66">
        <v>155.29</v>
      </c>
      <c r="D16" s="66">
        <v>6</v>
      </c>
      <c r="E16" s="97">
        <f>C16*D16</f>
        <v>931.74</v>
      </c>
      <c r="F16" s="73">
        <v>3.9774999999999998E-2</v>
      </c>
      <c r="G16" s="68">
        <f t="shared" ref="G16:G23" si="0">(E16*F16)+E16</f>
        <v>968.7999585</v>
      </c>
      <c r="I16" s="49"/>
    </row>
    <row r="17" spans="1:9" x14ac:dyDescent="0.25">
      <c r="A17" s="15" t="s">
        <v>635</v>
      </c>
      <c r="B17" s="66" t="s">
        <v>208</v>
      </c>
      <c r="C17" s="66">
        <v>127.57</v>
      </c>
      <c r="D17" s="66">
        <v>6</v>
      </c>
      <c r="E17" s="66">
        <f t="shared" ref="E17:E23" si="1">C17*D17</f>
        <v>765.42</v>
      </c>
      <c r="F17" s="73">
        <v>3.9774999999999998E-2</v>
      </c>
      <c r="G17" s="68">
        <f t="shared" si="0"/>
        <v>795.86458049999999</v>
      </c>
      <c r="I17" s="49"/>
    </row>
    <row r="18" spans="1:9" x14ac:dyDescent="0.25">
      <c r="A18" s="15" t="s">
        <v>641</v>
      </c>
      <c r="B18" s="66" t="s">
        <v>208</v>
      </c>
      <c r="C18" s="66">
        <f>150+145</f>
        <v>295</v>
      </c>
      <c r="D18" s="66">
        <v>6</v>
      </c>
      <c r="E18" s="66">
        <f t="shared" si="1"/>
        <v>1770</v>
      </c>
      <c r="F18" s="73">
        <v>0</v>
      </c>
      <c r="G18" s="68">
        <f t="shared" si="0"/>
        <v>1770</v>
      </c>
      <c r="I18" s="49"/>
    </row>
    <row r="19" spans="1:9" x14ac:dyDescent="0.25">
      <c r="A19" s="15" t="s">
        <v>636</v>
      </c>
      <c r="B19" s="66" t="s">
        <v>208</v>
      </c>
      <c r="C19" s="66">
        <v>160.79</v>
      </c>
      <c r="D19" s="66">
        <v>5</v>
      </c>
      <c r="E19" s="66">
        <f t="shared" si="1"/>
        <v>803.94999999999993</v>
      </c>
      <c r="F19" s="73">
        <v>3.9774999999999998E-2</v>
      </c>
      <c r="G19" s="68">
        <f t="shared" si="0"/>
        <v>835.92711124999994</v>
      </c>
    </row>
    <row r="20" spans="1:9" ht="15" customHeight="1" x14ac:dyDescent="0.25">
      <c r="A20" s="93" t="s">
        <v>638</v>
      </c>
      <c r="B20" s="66" t="s">
        <v>208</v>
      </c>
      <c r="C20" s="94">
        <v>160.72</v>
      </c>
      <c r="D20" s="94">
        <v>5</v>
      </c>
      <c r="E20" s="94">
        <f t="shared" si="1"/>
        <v>803.6</v>
      </c>
      <c r="F20" s="73">
        <v>3.9774999999999998E-2</v>
      </c>
      <c r="G20" s="68">
        <f t="shared" si="0"/>
        <v>835.56319000000008</v>
      </c>
    </row>
    <row r="21" spans="1:9" ht="15" customHeight="1" x14ac:dyDescent="0.25">
      <c r="A21" s="90" t="s">
        <v>637</v>
      </c>
      <c r="B21" s="66" t="s">
        <v>208</v>
      </c>
      <c r="C21" s="80">
        <v>87.14</v>
      </c>
      <c r="D21" s="66">
        <v>5</v>
      </c>
      <c r="E21" s="94">
        <f t="shared" si="1"/>
        <v>435.7</v>
      </c>
      <c r="F21" s="73">
        <v>3.9774999999999998E-2</v>
      </c>
      <c r="G21" s="68">
        <f t="shared" si="0"/>
        <v>453.0299675</v>
      </c>
    </row>
    <row r="22" spans="1:9" ht="15" customHeight="1" x14ac:dyDescent="0.25">
      <c r="A22" s="90" t="s">
        <v>639</v>
      </c>
      <c r="B22" s="66" t="s">
        <v>208</v>
      </c>
      <c r="C22" s="80">
        <v>175.08</v>
      </c>
      <c r="D22" s="80">
        <v>5</v>
      </c>
      <c r="E22" s="94">
        <f t="shared" si="1"/>
        <v>875.40000000000009</v>
      </c>
      <c r="F22" s="73">
        <v>4.2709999999999998E-2</v>
      </c>
      <c r="G22" s="68">
        <f t="shared" si="0"/>
        <v>912.78833400000008</v>
      </c>
    </row>
    <row r="23" spans="1:9" x14ac:dyDescent="0.25">
      <c r="A23" s="124" t="s">
        <v>768</v>
      </c>
      <c r="B23" s="66"/>
      <c r="C23" s="80"/>
      <c r="D23" s="80"/>
      <c r="E23" s="94">
        <f t="shared" si="1"/>
        <v>0</v>
      </c>
      <c r="F23" s="73"/>
      <c r="G23" s="68">
        <f t="shared" si="0"/>
        <v>0</v>
      </c>
    </row>
    <row r="24" spans="1:9" ht="30" customHeight="1" x14ac:dyDescent="0.25">
      <c r="A24" s="106" t="s">
        <v>519</v>
      </c>
      <c r="B24" s="132" t="s">
        <v>11</v>
      </c>
      <c r="C24" s="132"/>
      <c r="D24" s="132"/>
      <c r="E24" s="132"/>
      <c r="F24" s="113">
        <f>SUM(G16:G23)</f>
        <v>6571.9731417499988</v>
      </c>
      <c r="G24" s="113"/>
    </row>
    <row r="25" spans="1:9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9" ht="15" x14ac:dyDescent="0.25">
      <c r="A26" s="2"/>
      <c r="B26" s="2"/>
      <c r="C26" s="2"/>
      <c r="D26" s="2"/>
      <c r="E26" s="2"/>
      <c r="F26" s="2"/>
      <c r="G26" s="2"/>
    </row>
    <row r="27" spans="1:9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9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9" ht="15" x14ac:dyDescent="0.25">
      <c r="A29" s="43" t="s">
        <v>134</v>
      </c>
      <c r="B29" s="41" t="s">
        <v>193</v>
      </c>
      <c r="C29" s="40">
        <f>IFERROR(VLOOKUP(B29,Liste!C1:D5,2,FALSE),"")</f>
        <v>2500</v>
      </c>
      <c r="D29" s="54">
        <f>IFERROR(C29/4.33,0)</f>
        <v>577.36720554272517</v>
      </c>
      <c r="H29" s="7"/>
    </row>
    <row r="30" spans="1:9" ht="15" x14ac:dyDescent="0.3">
      <c r="A30" s="43" t="s">
        <v>66</v>
      </c>
      <c r="B30" s="46" t="s">
        <v>39</v>
      </c>
      <c r="C30" s="40">
        <f>IFERROR(VLOOKUP(B30,Liste!$C$7:$D$15,2,FALSE),"")</f>
        <v>1000</v>
      </c>
      <c r="D30" s="54">
        <f>IFERROR(C30/4.33,0)</f>
        <v>230.94688221709006</v>
      </c>
      <c r="H30" s="7"/>
    </row>
    <row r="31" spans="1:9" ht="15" x14ac:dyDescent="0.3">
      <c r="A31" s="43" t="s">
        <v>67</v>
      </c>
      <c r="B31" s="46" t="s">
        <v>39</v>
      </c>
      <c r="C31" s="40">
        <f>IFERROR(VLOOKUP(B31,Liste!$C$7:$D$15,2,FALSE),"")</f>
        <v>1000</v>
      </c>
      <c r="D31" s="54">
        <f t="shared" ref="D31:D33" si="2">IFERROR(C31/4.33,0)</f>
        <v>230.94688221709006</v>
      </c>
      <c r="H31" s="7"/>
    </row>
    <row r="32" spans="1:9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2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2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0</v>
      </c>
      <c r="D34" s="54">
        <f>(B11*D5/100)*C34</f>
        <v>0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1.365</v>
      </c>
      <c r="D35" s="54">
        <f>(D5*B11/100)*C35</f>
        <v>952.31722950000005</v>
      </c>
      <c r="H35" s="7"/>
    </row>
    <row r="36" spans="1:8" ht="15" x14ac:dyDescent="0.3">
      <c r="A36" s="43" t="s">
        <v>3</v>
      </c>
      <c r="B36" s="42"/>
      <c r="C36" s="65">
        <v>0</v>
      </c>
      <c r="D36" s="54">
        <f>(D6*B11)*C36</f>
        <v>0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93.24</v>
      </c>
      <c r="E38" s="49"/>
      <c r="H38" s="7"/>
    </row>
    <row r="39" spans="1:8" ht="15" x14ac:dyDescent="0.25">
      <c r="A39" s="43" t="s">
        <v>13</v>
      </c>
      <c r="B39" s="41">
        <f>B12</f>
        <v>0</v>
      </c>
      <c r="C39" s="56">
        <v>5</v>
      </c>
      <c r="D39" s="54">
        <f>(C39*B39)</f>
        <v>0</v>
      </c>
      <c r="E39" s="85"/>
      <c r="H39" s="7"/>
    </row>
    <row r="40" spans="1:8" ht="15" x14ac:dyDescent="0.25">
      <c r="A40" s="43" t="s">
        <v>14</v>
      </c>
      <c r="B40" s="48" t="s">
        <v>55</v>
      </c>
      <c r="C40" s="40">
        <v>2</v>
      </c>
      <c r="D40" s="40">
        <f>960.55+1182.6</f>
        <v>2143.1499999999996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4227.9681994769053</v>
      </c>
    </row>
    <row r="46" spans="1:8" x14ac:dyDescent="0.25">
      <c r="C46" s="6" t="s">
        <v>49</v>
      </c>
      <c r="D46" s="47">
        <f>F24-D45</f>
        <v>2344.0049422730935</v>
      </c>
    </row>
    <row r="48" spans="1:8" ht="39" customHeight="1" x14ac:dyDescent="0.25">
      <c r="C48" s="58" t="s">
        <v>48</v>
      </c>
      <c r="D48" s="59">
        <f>D46/F24</f>
        <v>0.35666684749246053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D14641E1-9F2B-42A3-A836-53230B172107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A561ADF-B0B6-40DC-85CC-BF9FA22834A9}">
          <x14:formula1>
            <xm:f>Liste!$C$2:$C$5</xm:f>
          </x14:formula1>
          <xm:sqref>B29</xm:sqref>
        </x14:dataValidation>
        <x14:dataValidation type="list" allowBlank="1" showInputMessage="1" showErrorMessage="1" xr:uid="{92C4932D-BB2C-4DE2-AA65-69F610301DEB}">
          <x14:formula1>
            <xm:f>Liste!$A$21:$A$22</xm:f>
          </x14:formula1>
          <xm:sqref>B40</xm:sqref>
        </x14:dataValidation>
        <x14:dataValidation type="list" allowBlank="1" showInputMessage="1" showErrorMessage="1" xr:uid="{2AD3C2F3-7DD4-4FAE-AEE4-77ABC0C78007}">
          <x14:formula1>
            <xm:f>Liste!$A$24:$A$25</xm:f>
          </x14:formula1>
          <xm:sqref>B42</xm:sqref>
        </x14:dataValidation>
        <x14:dataValidation type="list" allowBlank="1" showInputMessage="1" showErrorMessage="1" xr:uid="{F2473F27-A418-460D-8E98-CD824A7BAF9D}">
          <x14:formula1>
            <xm:f>Liste!$C$7:$C$16</xm:f>
          </x14:formula1>
          <xm:sqref>B30:B33</xm:sqref>
        </x14:dataValidation>
      </x14:dataValidations>
    </ext>
  </extLst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F2B80-48E7-4CDE-A18A-740F74B113A3}">
  <sheetPr>
    <tabColor theme="7" tint="0.39997558519241921"/>
  </sheetPr>
  <dimension ref="A1:I48"/>
  <sheetViews>
    <sheetView workbookViewId="0">
      <selection activeCell="J13" sqref="J13"/>
    </sheetView>
  </sheetViews>
  <sheetFormatPr baseColWidth="10" defaultColWidth="11.44140625" defaultRowHeight="13.2" x14ac:dyDescent="0.25"/>
  <cols>
    <col min="1" max="1" width="36.6640625" style="1" bestFit="1" customWidth="1"/>
    <col min="2" max="2" width="20.6640625" style="1" customWidth="1"/>
    <col min="3" max="3" width="22.44140625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9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9" x14ac:dyDescent="0.25">
      <c r="A3" s="126" t="s">
        <v>5</v>
      </c>
      <c r="B3" s="126"/>
      <c r="C3" s="126"/>
      <c r="D3" s="126"/>
      <c r="E3" s="126"/>
      <c r="F3" s="126"/>
      <c r="G3" s="126"/>
    </row>
    <row r="4" spans="1:9" ht="15" x14ac:dyDescent="0.25">
      <c r="A4" s="2"/>
      <c r="B4" s="5" t="s">
        <v>10</v>
      </c>
      <c r="D4" s="11" t="s">
        <v>12</v>
      </c>
      <c r="F4" s="129" t="s">
        <v>15</v>
      </c>
      <c r="G4" s="130" t="s">
        <v>688</v>
      </c>
    </row>
    <row r="5" spans="1:9" ht="15" x14ac:dyDescent="0.25">
      <c r="A5" s="5" t="s">
        <v>8</v>
      </c>
      <c r="B5" s="10" t="s">
        <v>644</v>
      </c>
      <c r="C5" s="10"/>
      <c r="D5" s="17">
        <v>29.42</v>
      </c>
      <c r="E5" s="6"/>
      <c r="F5" s="129"/>
      <c r="G5" s="131"/>
    </row>
    <row r="6" spans="1:9" ht="15" x14ac:dyDescent="0.25">
      <c r="A6" s="5" t="s">
        <v>9</v>
      </c>
      <c r="B6" s="10" t="s">
        <v>299</v>
      </c>
      <c r="C6" s="10"/>
      <c r="D6" s="6">
        <v>1.9E-2</v>
      </c>
      <c r="F6" s="2"/>
      <c r="G6" s="2"/>
    </row>
    <row r="7" spans="1:9" ht="15" x14ac:dyDescent="0.25">
      <c r="A7" s="5" t="s">
        <v>16</v>
      </c>
      <c r="B7" s="12" t="s">
        <v>647</v>
      </c>
      <c r="C7" s="12" t="s">
        <v>648</v>
      </c>
      <c r="D7" s="63"/>
    </row>
    <row r="8" spans="1:9" ht="15" x14ac:dyDescent="0.25">
      <c r="A8" s="11" t="s">
        <v>71</v>
      </c>
      <c r="B8" s="18">
        <v>64.72</v>
      </c>
      <c r="C8" s="18">
        <v>49.11</v>
      </c>
    </row>
    <row r="9" spans="1:9" x14ac:dyDescent="0.25">
      <c r="A9" s="11" t="s">
        <v>72</v>
      </c>
      <c r="B9" s="77">
        <v>53.81</v>
      </c>
      <c r="C9" s="77">
        <v>34.200000000000003</v>
      </c>
    </row>
    <row r="10" spans="1:9" ht="15" x14ac:dyDescent="0.25">
      <c r="A10" s="5"/>
      <c r="B10" s="11" t="s">
        <v>70</v>
      </c>
      <c r="C10" s="2"/>
      <c r="D10" s="2"/>
      <c r="G10" s="11" t="s">
        <v>61</v>
      </c>
    </row>
    <row r="11" spans="1:9" ht="15" x14ac:dyDescent="0.25">
      <c r="B11" s="17">
        <f>1634+1703</f>
        <v>3337</v>
      </c>
      <c r="C11" s="2"/>
      <c r="D11" s="2"/>
      <c r="G11" s="18">
        <v>0</v>
      </c>
    </row>
    <row r="12" spans="1:9" ht="15" x14ac:dyDescent="0.25">
      <c r="A12" s="5" t="s">
        <v>62</v>
      </c>
      <c r="B12" s="17">
        <v>0</v>
      </c>
      <c r="C12" s="74"/>
      <c r="D12" s="2"/>
      <c r="E12" s="2"/>
      <c r="F12" s="53" t="s">
        <v>55</v>
      </c>
      <c r="G12" s="53" t="s">
        <v>56</v>
      </c>
    </row>
    <row r="13" spans="1:9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9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9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9" x14ac:dyDescent="0.25">
      <c r="A16" s="99" t="s">
        <v>645</v>
      </c>
      <c r="B16" s="66" t="s">
        <v>208</v>
      </c>
      <c r="C16" s="66">
        <v>190.09</v>
      </c>
      <c r="D16" s="66">
        <v>6</v>
      </c>
      <c r="E16" s="97">
        <f>C16*D16</f>
        <v>1140.54</v>
      </c>
      <c r="F16" s="73">
        <v>4.2709999999999998E-2</v>
      </c>
      <c r="G16" s="68">
        <f t="shared" ref="G16:G23" si="0">(E16*F16)+E16</f>
        <v>1189.2524633999999</v>
      </c>
      <c r="I16" s="49"/>
    </row>
    <row r="17" spans="1:9" x14ac:dyDescent="0.25">
      <c r="A17" s="99" t="s">
        <v>769</v>
      </c>
      <c r="B17" s="66" t="s">
        <v>208</v>
      </c>
      <c r="C17" s="66">
        <v>197.17</v>
      </c>
      <c r="D17" s="66">
        <v>5</v>
      </c>
      <c r="E17" s="97">
        <f>C17*D17</f>
        <v>985.84999999999991</v>
      </c>
      <c r="F17" s="73">
        <v>4.2709999999999998E-2</v>
      </c>
      <c r="G17" s="68">
        <f t="shared" ref="G17" si="1">(E17*F17)+E17</f>
        <v>1027.9556534999999</v>
      </c>
      <c r="I17" s="49"/>
    </row>
    <row r="18" spans="1:9" x14ac:dyDescent="0.25">
      <c r="A18" s="15" t="s">
        <v>646</v>
      </c>
      <c r="B18" s="66" t="s">
        <v>208</v>
      </c>
      <c r="C18" s="66">
        <v>235.74</v>
      </c>
      <c r="D18" s="66">
        <v>6</v>
      </c>
      <c r="E18" s="66">
        <f t="shared" ref="E18:E23" si="2">C18*D18</f>
        <v>1414.44</v>
      </c>
      <c r="F18" s="73">
        <v>4.2709999999999998E-2</v>
      </c>
      <c r="G18" s="68">
        <f t="shared" si="0"/>
        <v>1474.8507324</v>
      </c>
      <c r="I18" s="49"/>
    </row>
    <row r="19" spans="1:9" x14ac:dyDescent="0.25">
      <c r="A19" s="15" t="s">
        <v>770</v>
      </c>
      <c r="B19" s="66" t="s">
        <v>208</v>
      </c>
      <c r="C19" s="66">
        <v>117.85</v>
      </c>
      <c r="D19" s="66">
        <v>6</v>
      </c>
      <c r="E19" s="66">
        <f t="shared" si="2"/>
        <v>707.09999999999991</v>
      </c>
      <c r="F19" s="73">
        <v>3.9774999999999998E-2</v>
      </c>
      <c r="G19" s="68">
        <f t="shared" si="0"/>
        <v>735.22490249999987</v>
      </c>
      <c r="I19" s="49"/>
    </row>
    <row r="20" spans="1:9" ht="15" customHeight="1" x14ac:dyDescent="0.25">
      <c r="A20" s="15"/>
      <c r="B20" s="66"/>
      <c r="C20" s="66"/>
      <c r="D20" s="66"/>
      <c r="E20" s="66">
        <f t="shared" ref="E20" si="3">C20*D20</f>
        <v>0</v>
      </c>
      <c r="F20" s="73"/>
      <c r="G20" s="68">
        <f t="shared" ref="G20" si="4">(E20*F20)+E20</f>
        <v>0</v>
      </c>
      <c r="I20" s="49"/>
    </row>
    <row r="21" spans="1:9" ht="15" customHeight="1" x14ac:dyDescent="0.25">
      <c r="A21" s="90" t="s">
        <v>771</v>
      </c>
      <c r="B21" s="66" t="s">
        <v>258</v>
      </c>
      <c r="C21" s="80">
        <v>200</v>
      </c>
      <c r="D21" s="66">
        <v>1</v>
      </c>
      <c r="E21" s="94">
        <f t="shared" si="2"/>
        <v>200</v>
      </c>
      <c r="F21" s="66">
        <v>3.5</v>
      </c>
      <c r="G21" s="68">
        <f>F21+E21</f>
        <v>203.5</v>
      </c>
      <c r="I21" s="49"/>
    </row>
    <row r="22" spans="1:9" ht="15" customHeight="1" x14ac:dyDescent="0.25">
      <c r="A22" s="90"/>
      <c r="B22" s="66"/>
      <c r="C22" s="80"/>
      <c r="D22" s="80"/>
      <c r="E22" s="94">
        <f t="shared" si="2"/>
        <v>0</v>
      </c>
      <c r="F22" s="73"/>
      <c r="G22" s="68">
        <f t="shared" si="0"/>
        <v>0</v>
      </c>
      <c r="I22" s="49"/>
    </row>
    <row r="23" spans="1:9" x14ac:dyDescent="0.25">
      <c r="A23" s="90"/>
      <c r="B23" s="66"/>
      <c r="C23" s="80"/>
      <c r="D23" s="80"/>
      <c r="E23" s="94">
        <f t="shared" si="2"/>
        <v>0</v>
      </c>
      <c r="F23" s="73"/>
      <c r="G23" s="68">
        <f t="shared" si="0"/>
        <v>0</v>
      </c>
    </row>
    <row r="24" spans="1:9" ht="30" customHeight="1" x14ac:dyDescent="0.25">
      <c r="A24" s="106" t="s">
        <v>518</v>
      </c>
      <c r="B24" s="132" t="s">
        <v>11</v>
      </c>
      <c r="C24" s="132"/>
      <c r="D24" s="132"/>
      <c r="E24" s="132"/>
      <c r="F24" s="113">
        <f>SUM(G16:G23)</f>
        <v>4630.7837517999997</v>
      </c>
      <c r="G24" s="113"/>
    </row>
    <row r="25" spans="1:9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9" ht="15" x14ac:dyDescent="0.25">
      <c r="A26" s="2"/>
      <c r="B26" s="2"/>
      <c r="C26" s="2"/>
      <c r="D26" s="2"/>
      <c r="E26" s="2"/>
      <c r="F26" s="2"/>
      <c r="G26" s="2"/>
    </row>
    <row r="27" spans="1:9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9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9" ht="15" x14ac:dyDescent="0.25">
      <c r="A29" s="43" t="s">
        <v>134</v>
      </c>
      <c r="B29" s="41" t="s">
        <v>193</v>
      </c>
      <c r="C29" s="40">
        <f>IFERROR(VLOOKUP(B29,Liste!C1:D5,2,FALSE),"")</f>
        <v>2500</v>
      </c>
      <c r="D29" s="54">
        <f>IFERROR(C29/4.33,0)</f>
        <v>577.36720554272517</v>
      </c>
      <c r="H29" s="7"/>
    </row>
    <row r="30" spans="1:9" ht="15" x14ac:dyDescent="0.3">
      <c r="A30" s="43" t="s">
        <v>66</v>
      </c>
      <c r="B30" s="46" t="s">
        <v>39</v>
      </c>
      <c r="C30" s="40">
        <f>IFERROR(VLOOKUP(B30,Liste!$C$7:$D$15,2,FALSE),"")</f>
        <v>1000</v>
      </c>
      <c r="D30" s="54">
        <f>IFERROR(C30/4.33,0)</f>
        <v>230.94688221709006</v>
      </c>
      <c r="H30" s="7"/>
    </row>
    <row r="31" spans="1:9" ht="15" x14ac:dyDescent="0.3">
      <c r="A31" s="43" t="s">
        <v>67</v>
      </c>
      <c r="B31" s="46" t="s">
        <v>69</v>
      </c>
      <c r="C31" s="40" t="str">
        <f>IFERROR(VLOOKUP(B31,Liste!$C$7:$D$15,2,FALSE),"")</f>
        <v/>
      </c>
      <c r="D31" s="54">
        <f t="shared" ref="D31:D33" si="5">IFERROR(C31/4.33,0)</f>
        <v>0</v>
      </c>
      <c r="H31" s="7"/>
    </row>
    <row r="32" spans="1:9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5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5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0</v>
      </c>
      <c r="D34" s="54">
        <f>(B11*D5/100)*C34</f>
        <v>0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1.365</v>
      </c>
      <c r="D35" s="54">
        <f>(D5*B11/100)*C35</f>
        <v>1340.0824710000002</v>
      </c>
      <c r="H35" s="7"/>
    </row>
    <row r="36" spans="1:8" ht="15" x14ac:dyDescent="0.3">
      <c r="A36" s="43" t="s">
        <v>3</v>
      </c>
      <c r="B36" s="42"/>
      <c r="C36" s="65">
        <v>0</v>
      </c>
      <c r="D36" s="54">
        <f>(D6*B11)*C36</f>
        <v>0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133.47999999999999</v>
      </c>
      <c r="E38" s="49"/>
      <c r="H38" s="7"/>
    </row>
    <row r="39" spans="1:8" ht="15" x14ac:dyDescent="0.25">
      <c r="A39" s="43" t="s">
        <v>13</v>
      </c>
      <c r="B39" s="41">
        <f>B12</f>
        <v>0</v>
      </c>
      <c r="C39" s="56">
        <v>5</v>
      </c>
      <c r="D39" s="54">
        <f>(C39*B39)</f>
        <v>0</v>
      </c>
      <c r="E39" s="85"/>
      <c r="H39" s="7"/>
    </row>
    <row r="40" spans="1:8" ht="15" x14ac:dyDescent="0.25">
      <c r="A40" s="43" t="s">
        <v>14</v>
      </c>
      <c r="B40" s="48" t="s">
        <v>55</v>
      </c>
      <c r="C40" s="40">
        <v>2</v>
      </c>
      <c r="D40" s="40">
        <f>894.45+736.25</f>
        <v>1630.7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3912.5765587598153</v>
      </c>
    </row>
    <row r="46" spans="1:8" x14ac:dyDescent="0.25">
      <c r="C46" s="6" t="s">
        <v>49</v>
      </c>
      <c r="D46" s="47">
        <f>F24-D45</f>
        <v>718.20719304018439</v>
      </c>
    </row>
    <row r="48" spans="1:8" ht="39" customHeight="1" x14ac:dyDescent="0.25">
      <c r="C48" s="58" t="s">
        <v>48</v>
      </c>
      <c r="D48" s="59">
        <f>D46/F24</f>
        <v>0.15509409023062568</v>
      </c>
    </row>
  </sheetData>
  <mergeCells count="6">
    <mergeCell ref="A27:G27"/>
    <mergeCell ref="A1:G1"/>
    <mergeCell ref="A3:G3"/>
    <mergeCell ref="F4:F5"/>
    <mergeCell ref="G4:G5"/>
    <mergeCell ref="B24:E24"/>
  </mergeCells>
  <phoneticPr fontId="41" type="noConversion"/>
  <hyperlinks>
    <hyperlink ref="A25" location="Sommaire!A1" display="SOMMAIRE" xr:uid="{27823F9E-390C-454B-A9D5-995187A7A5C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D7D74C8-B7F3-4948-B3FB-ACD124A0F473}">
          <x14:formula1>
            <xm:f>Liste!$C$7:$C$16</xm:f>
          </x14:formula1>
          <xm:sqref>B30:B33</xm:sqref>
        </x14:dataValidation>
        <x14:dataValidation type="list" allowBlank="1" showInputMessage="1" showErrorMessage="1" xr:uid="{B2458E57-D05D-411E-829B-ECFB9C883A72}">
          <x14:formula1>
            <xm:f>Liste!$A$24:$A$25</xm:f>
          </x14:formula1>
          <xm:sqref>B42</xm:sqref>
        </x14:dataValidation>
        <x14:dataValidation type="list" allowBlank="1" showInputMessage="1" showErrorMessage="1" xr:uid="{E8E2FED1-041E-437A-9732-F7DAA66A9CDA}">
          <x14:formula1>
            <xm:f>Liste!$A$21:$A$22</xm:f>
          </x14:formula1>
          <xm:sqref>B40</xm:sqref>
        </x14:dataValidation>
        <x14:dataValidation type="list" allowBlank="1" showInputMessage="1" showErrorMessage="1" xr:uid="{6273E0F8-7459-4E5B-843F-5F22483EF544}">
          <x14:formula1>
            <xm:f>Liste!$C$2:$C$5</xm:f>
          </x14:formula1>
          <xm:sqref>B29</xm:sqref>
        </x14:dataValidation>
      </x14:dataValidations>
    </ext>
  </extLst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87C26-CE71-427E-AD41-9E5235B586B0}">
  <sheetPr>
    <tabColor theme="7" tint="0.39997558519241921"/>
  </sheetPr>
  <dimension ref="A1:I48"/>
  <sheetViews>
    <sheetView workbookViewId="0">
      <selection activeCell="J25" sqref="J25"/>
    </sheetView>
  </sheetViews>
  <sheetFormatPr baseColWidth="10" defaultColWidth="11.44140625" defaultRowHeight="13.2" x14ac:dyDescent="0.25"/>
  <cols>
    <col min="1" max="1" width="36.6640625" style="1" bestFit="1" customWidth="1"/>
    <col min="2" max="2" width="20.6640625" style="1" customWidth="1"/>
    <col min="3" max="3" width="22.44140625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9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9" x14ac:dyDescent="0.25">
      <c r="A3" s="126" t="s">
        <v>5</v>
      </c>
      <c r="B3" s="126"/>
      <c r="C3" s="126"/>
      <c r="D3" s="126"/>
      <c r="E3" s="126"/>
      <c r="F3" s="126"/>
      <c r="G3" s="126"/>
    </row>
    <row r="4" spans="1:9" ht="15" x14ac:dyDescent="0.25">
      <c r="A4" s="2"/>
      <c r="B4" s="5" t="s">
        <v>10</v>
      </c>
      <c r="D4" s="11" t="s">
        <v>12</v>
      </c>
      <c r="F4" s="129" t="s">
        <v>15</v>
      </c>
      <c r="G4" s="130" t="s">
        <v>773</v>
      </c>
    </row>
    <row r="5" spans="1:9" ht="15" x14ac:dyDescent="0.25">
      <c r="A5" s="5" t="s">
        <v>8</v>
      </c>
      <c r="B5" s="10" t="s">
        <v>651</v>
      </c>
      <c r="C5" s="10"/>
      <c r="D5" s="17">
        <v>29.74</v>
      </c>
      <c r="E5" s="6"/>
      <c r="F5" s="129"/>
      <c r="G5" s="131"/>
    </row>
    <row r="6" spans="1:9" ht="15" x14ac:dyDescent="0.25">
      <c r="A6" s="5" t="s">
        <v>9</v>
      </c>
      <c r="B6" s="10" t="s">
        <v>491</v>
      </c>
      <c r="C6" s="10"/>
      <c r="D6" s="6">
        <v>1.9E-2</v>
      </c>
      <c r="F6" s="2"/>
      <c r="G6" s="2"/>
    </row>
    <row r="7" spans="1:9" ht="15" x14ac:dyDescent="0.25">
      <c r="A7" s="5" t="s">
        <v>16</v>
      </c>
      <c r="B7" s="12" t="s">
        <v>652</v>
      </c>
      <c r="C7" s="12"/>
      <c r="D7" s="63"/>
    </row>
    <row r="8" spans="1:9" ht="15" x14ac:dyDescent="0.25">
      <c r="A8" s="11" t="s">
        <v>71</v>
      </c>
      <c r="B8" s="18">
        <v>68.06</v>
      </c>
      <c r="C8" s="18"/>
    </row>
    <row r="9" spans="1:9" x14ac:dyDescent="0.25">
      <c r="A9" s="11" t="s">
        <v>72</v>
      </c>
      <c r="B9" s="77">
        <v>38.07</v>
      </c>
      <c r="C9" s="77"/>
    </row>
    <row r="10" spans="1:9" ht="15" x14ac:dyDescent="0.25">
      <c r="A10" s="5"/>
      <c r="B10" s="11" t="s">
        <v>70</v>
      </c>
      <c r="C10" s="2"/>
      <c r="D10" s="2"/>
      <c r="G10" s="11" t="s">
        <v>61</v>
      </c>
    </row>
    <row r="11" spans="1:9" ht="15" x14ac:dyDescent="0.25">
      <c r="B11" s="17">
        <v>1818</v>
      </c>
      <c r="C11" s="2"/>
      <c r="D11" s="2"/>
      <c r="G11" s="18">
        <v>0</v>
      </c>
    </row>
    <row r="12" spans="1:9" ht="15" x14ac:dyDescent="0.25">
      <c r="A12" s="5" t="s">
        <v>62</v>
      </c>
      <c r="B12" s="17">
        <f>30.17*2</f>
        <v>60.34</v>
      </c>
      <c r="C12" s="74"/>
      <c r="D12" s="2"/>
      <c r="E12" s="2"/>
      <c r="F12" s="53" t="s">
        <v>55</v>
      </c>
      <c r="G12" s="53" t="s">
        <v>56</v>
      </c>
    </row>
    <row r="13" spans="1:9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9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9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9" x14ac:dyDescent="0.25">
      <c r="A16" s="99" t="s">
        <v>653</v>
      </c>
      <c r="B16" s="94" t="s">
        <v>208</v>
      </c>
      <c r="C16" s="94">
        <v>260</v>
      </c>
      <c r="D16" s="94">
        <v>5</v>
      </c>
      <c r="E16" s="100">
        <f>C16*D16</f>
        <v>1300</v>
      </c>
      <c r="F16" s="95">
        <v>-3.0099999999999998E-2</v>
      </c>
      <c r="G16" s="96">
        <f t="shared" ref="G16:G23" si="0">(E16*F16)+E16</f>
        <v>1260.8699999999999</v>
      </c>
      <c r="I16" s="49"/>
    </row>
    <row r="17" spans="1:9" x14ac:dyDescent="0.25">
      <c r="A17" s="93" t="s">
        <v>654</v>
      </c>
      <c r="B17" s="94" t="s">
        <v>208</v>
      </c>
      <c r="C17" s="94">
        <v>260</v>
      </c>
      <c r="D17" s="94">
        <v>5</v>
      </c>
      <c r="E17" s="94">
        <f t="shared" ref="E17:E23" si="1">C17*D17</f>
        <v>1300</v>
      </c>
      <c r="F17" s="95">
        <v>-3.0099999999999998E-2</v>
      </c>
      <c r="G17" s="96">
        <f t="shared" si="0"/>
        <v>1260.8699999999999</v>
      </c>
    </row>
    <row r="18" spans="1:9" x14ac:dyDescent="0.25">
      <c r="A18" s="93" t="s">
        <v>656</v>
      </c>
      <c r="B18" s="94" t="s">
        <v>655</v>
      </c>
      <c r="C18" s="94">
        <v>205</v>
      </c>
      <c r="D18" s="94">
        <v>4</v>
      </c>
      <c r="E18" s="94">
        <f t="shared" si="1"/>
        <v>820</v>
      </c>
      <c r="F18" s="95">
        <v>-9.1000000000000004E-3</v>
      </c>
      <c r="G18" s="96">
        <f t="shared" si="0"/>
        <v>812.53800000000001</v>
      </c>
      <c r="I18" s="49"/>
    </row>
    <row r="19" spans="1:9" x14ac:dyDescent="0.25">
      <c r="A19" s="93" t="s">
        <v>772</v>
      </c>
      <c r="B19" s="94" t="s">
        <v>381</v>
      </c>
      <c r="C19" s="94">
        <v>205</v>
      </c>
      <c r="D19" s="94">
        <v>5</v>
      </c>
      <c r="E19" s="94">
        <f t="shared" si="1"/>
        <v>1025</v>
      </c>
      <c r="F19" s="95">
        <v>-9.1000000000000004E-3</v>
      </c>
      <c r="G19" s="96">
        <f t="shared" si="0"/>
        <v>1015.6725</v>
      </c>
    </row>
    <row r="20" spans="1:9" ht="15" customHeight="1" x14ac:dyDescent="0.25">
      <c r="A20" s="93"/>
      <c r="B20" s="94"/>
      <c r="C20" s="94"/>
      <c r="D20" s="94"/>
      <c r="E20" s="96">
        <f t="shared" si="1"/>
        <v>0</v>
      </c>
      <c r="F20" s="95">
        <v>0</v>
      </c>
      <c r="G20" s="96">
        <f t="shared" si="0"/>
        <v>0</v>
      </c>
      <c r="I20" s="49"/>
    </row>
    <row r="21" spans="1:9" ht="15" customHeight="1" x14ac:dyDescent="0.25">
      <c r="A21" s="93" t="s">
        <v>657</v>
      </c>
      <c r="B21" s="94" t="s">
        <v>258</v>
      </c>
      <c r="C21" s="94">
        <v>206.76</v>
      </c>
      <c r="D21" s="94">
        <v>1</v>
      </c>
      <c r="E21" s="94">
        <f t="shared" ref="E21:E22" si="2">C21*D21</f>
        <v>206.76</v>
      </c>
      <c r="F21" s="95"/>
      <c r="G21" s="96">
        <f t="shared" ref="G21:G22" si="3">(E21*F21)+E21</f>
        <v>206.76</v>
      </c>
    </row>
    <row r="22" spans="1:9" ht="15" customHeight="1" x14ac:dyDescent="0.25">
      <c r="A22" s="93" t="s">
        <v>659</v>
      </c>
      <c r="B22" s="94" t="s">
        <v>258</v>
      </c>
      <c r="C22" s="94">
        <v>2.0457000000000001</v>
      </c>
      <c r="D22" s="94">
        <v>146</v>
      </c>
      <c r="E22" s="96">
        <f t="shared" si="2"/>
        <v>298.67220000000003</v>
      </c>
      <c r="F22" s="95">
        <v>0</v>
      </c>
      <c r="G22" s="96">
        <f t="shared" si="3"/>
        <v>298.67220000000003</v>
      </c>
      <c r="I22" s="49"/>
    </row>
    <row r="23" spans="1:9" x14ac:dyDescent="0.25">
      <c r="A23" s="99"/>
      <c r="B23" s="94"/>
      <c r="C23" s="102"/>
      <c r="D23" s="102"/>
      <c r="E23" s="94">
        <f t="shared" si="1"/>
        <v>0</v>
      </c>
      <c r="F23" s="95"/>
      <c r="G23" s="96">
        <f t="shared" si="0"/>
        <v>0</v>
      </c>
    </row>
    <row r="24" spans="1:9" ht="30" customHeight="1" x14ac:dyDescent="0.25">
      <c r="A24" s="106" t="s">
        <v>517</v>
      </c>
      <c r="B24" s="132" t="s">
        <v>11</v>
      </c>
      <c r="C24" s="132"/>
      <c r="D24" s="132"/>
      <c r="E24" s="132"/>
      <c r="F24" s="113">
        <f>SUM(G16:G23)</f>
        <v>4855.3827000000001</v>
      </c>
      <c r="G24" s="113"/>
      <c r="I24" s="49"/>
    </row>
    <row r="25" spans="1:9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9" ht="15" x14ac:dyDescent="0.25">
      <c r="A26" s="2"/>
      <c r="B26" s="2"/>
      <c r="C26" s="2"/>
      <c r="D26" s="2"/>
      <c r="E26" s="2"/>
      <c r="F26" s="2"/>
      <c r="G26" s="2"/>
    </row>
    <row r="27" spans="1:9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9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9" ht="15" x14ac:dyDescent="0.25">
      <c r="A29" s="43" t="s">
        <v>134</v>
      </c>
      <c r="B29" s="41" t="s">
        <v>54</v>
      </c>
      <c r="C29" s="40">
        <f>IFERROR(VLOOKUP(B29,Liste!C1:D5,2,FALSE),"")</f>
        <v>2300</v>
      </c>
      <c r="D29" s="54">
        <f>IFERROR(C29/4.33,0)</f>
        <v>531.17782909930713</v>
      </c>
      <c r="H29" s="7"/>
    </row>
    <row r="30" spans="1:9" ht="15" x14ac:dyDescent="0.3">
      <c r="A30" s="43" t="s">
        <v>66</v>
      </c>
      <c r="B30" s="46" t="s">
        <v>36</v>
      </c>
      <c r="C30" s="40">
        <f>IFERROR(VLOOKUP(B30,Liste!$C$7:$D$15,2,FALSE),"")</f>
        <v>1200</v>
      </c>
      <c r="D30" s="54">
        <f>IFERROR(C30/4.33,0)</f>
        <v>277.13625866050808</v>
      </c>
      <c r="H30" s="7"/>
    </row>
    <row r="31" spans="1:9" ht="15" x14ac:dyDescent="0.3">
      <c r="A31" s="43" t="s">
        <v>67</v>
      </c>
      <c r="B31" s="46" t="s">
        <v>69</v>
      </c>
      <c r="C31" s="40" t="str">
        <f>IFERROR(VLOOKUP(B31,Liste!$C$7:$D$15,2,FALSE),"")</f>
        <v/>
      </c>
      <c r="D31" s="54">
        <f t="shared" ref="D31:D33" si="4">IFERROR(C31/4.33,0)</f>
        <v>0</v>
      </c>
      <c r="H31" s="7"/>
    </row>
    <row r="32" spans="1:9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4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4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1.3553999999999999</v>
      </c>
      <c r="D34" s="54">
        <f>(B11*D5/100)*C34</f>
        <v>732.82845527999996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0</v>
      </c>
      <c r="D35" s="54">
        <f>(D5*B11/100)*C35</f>
        <v>0</v>
      </c>
      <c r="H35" s="7"/>
    </row>
    <row r="36" spans="1:8" ht="15" x14ac:dyDescent="0.3">
      <c r="A36" s="43" t="s">
        <v>3</v>
      </c>
      <c r="B36" s="42"/>
      <c r="C36" s="65">
        <v>0.43090000000000001</v>
      </c>
      <c r="D36" s="54">
        <f>(D6*B11)*C36</f>
        <v>14.884147800000001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72.72</v>
      </c>
      <c r="E38" s="49"/>
      <c r="H38" s="7"/>
    </row>
    <row r="39" spans="1:8" ht="15" x14ac:dyDescent="0.25">
      <c r="A39" s="43" t="s">
        <v>13</v>
      </c>
      <c r="B39" s="41">
        <f>B12</f>
        <v>60.34</v>
      </c>
      <c r="C39" s="56">
        <v>5</v>
      </c>
      <c r="D39" s="54">
        <f>(C39*B39)+42</f>
        <v>343.70000000000005</v>
      </c>
      <c r="E39" s="85" t="s">
        <v>658</v>
      </c>
      <c r="H39" s="7"/>
    </row>
    <row r="40" spans="1:8" ht="15" x14ac:dyDescent="0.25">
      <c r="A40" s="43" t="s">
        <v>14</v>
      </c>
      <c r="B40" s="48" t="s">
        <v>55</v>
      </c>
      <c r="C40" s="40">
        <v>1</v>
      </c>
      <c r="D40" s="40">
        <v>1189.31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3161.7566908398153</v>
      </c>
    </row>
    <row r="46" spans="1:8" x14ac:dyDescent="0.25">
      <c r="C46" s="6" t="s">
        <v>49</v>
      </c>
      <c r="D46" s="47">
        <f>F24-D45</f>
        <v>1693.6260091601848</v>
      </c>
    </row>
    <row r="48" spans="1:8" ht="39" customHeight="1" x14ac:dyDescent="0.25">
      <c r="C48" s="58" t="s">
        <v>48</v>
      </c>
      <c r="D48" s="59">
        <f>D46/F24</f>
        <v>0.34881411287315928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0BF20800-2CD8-4490-9B11-AC385C08434C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BA9C968-9A0E-4DBF-8877-2B6BA758142A}">
          <x14:formula1>
            <xm:f>Liste!$C$2:$C$5</xm:f>
          </x14:formula1>
          <xm:sqref>B29</xm:sqref>
        </x14:dataValidation>
        <x14:dataValidation type="list" allowBlank="1" showInputMessage="1" showErrorMessage="1" xr:uid="{AB7F2E7C-C4CA-499E-AC4B-0C0883B46F54}">
          <x14:formula1>
            <xm:f>Liste!$A$21:$A$22</xm:f>
          </x14:formula1>
          <xm:sqref>B40</xm:sqref>
        </x14:dataValidation>
        <x14:dataValidation type="list" allowBlank="1" showInputMessage="1" showErrorMessage="1" xr:uid="{737C1576-9741-4077-B45C-F656FACB0E50}">
          <x14:formula1>
            <xm:f>Liste!$A$24:$A$25</xm:f>
          </x14:formula1>
          <xm:sqref>B42</xm:sqref>
        </x14:dataValidation>
        <x14:dataValidation type="list" allowBlank="1" showInputMessage="1" showErrorMessage="1" xr:uid="{03297865-EF76-49B9-875C-BF7A51167ED8}">
          <x14:formula1>
            <xm:f>Liste!$C$7:$C$16</xm:f>
          </x14:formula1>
          <xm:sqref>B30:B33</xm:sqref>
        </x14:dataValidation>
      </x14:dataValidations>
    </ext>
  </extLst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7AD87-1B58-4A38-8D3F-DF8497A22755}">
  <sheetPr>
    <tabColor theme="7" tint="0.39997558519241921"/>
  </sheetPr>
  <dimension ref="A1:I48"/>
  <sheetViews>
    <sheetView workbookViewId="0">
      <selection activeCell="I28" sqref="I28"/>
    </sheetView>
  </sheetViews>
  <sheetFormatPr baseColWidth="10" defaultColWidth="11.44140625" defaultRowHeight="13.2" x14ac:dyDescent="0.25"/>
  <cols>
    <col min="1" max="1" width="36.6640625" style="1" bestFit="1" customWidth="1"/>
    <col min="2" max="2" width="20.6640625" style="1" customWidth="1"/>
    <col min="3" max="3" width="22.44140625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9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9" x14ac:dyDescent="0.25">
      <c r="A3" s="126" t="s">
        <v>5</v>
      </c>
      <c r="B3" s="126"/>
      <c r="C3" s="126"/>
      <c r="D3" s="126"/>
      <c r="E3" s="126"/>
      <c r="F3" s="126"/>
      <c r="G3" s="126"/>
    </row>
    <row r="4" spans="1:9" ht="15" x14ac:dyDescent="0.25">
      <c r="A4" s="2"/>
      <c r="B4" s="5" t="s">
        <v>10</v>
      </c>
      <c r="D4" s="11" t="s">
        <v>12</v>
      </c>
      <c r="F4" s="129" t="s">
        <v>15</v>
      </c>
      <c r="G4" s="130" t="s">
        <v>688</v>
      </c>
    </row>
    <row r="5" spans="1:9" ht="15" x14ac:dyDescent="0.25">
      <c r="A5" s="5" t="s">
        <v>8</v>
      </c>
      <c r="B5" s="10" t="s">
        <v>664</v>
      </c>
      <c r="C5" s="10"/>
      <c r="D5" s="17">
        <v>25.26</v>
      </c>
      <c r="E5" s="6"/>
      <c r="F5" s="129"/>
      <c r="G5" s="131"/>
    </row>
    <row r="6" spans="1:9" ht="15" x14ac:dyDescent="0.25">
      <c r="A6" s="5" t="s">
        <v>9</v>
      </c>
      <c r="B6" s="10" t="s">
        <v>299</v>
      </c>
      <c r="C6" s="10"/>
      <c r="D6" s="6">
        <v>1.9E-2</v>
      </c>
      <c r="F6" s="2"/>
      <c r="G6" s="2"/>
    </row>
    <row r="7" spans="1:9" ht="15" x14ac:dyDescent="0.25">
      <c r="A7" s="5" t="s">
        <v>16</v>
      </c>
      <c r="B7" s="12" t="s">
        <v>665</v>
      </c>
      <c r="C7" s="12"/>
      <c r="D7" s="63"/>
    </row>
    <row r="8" spans="1:9" ht="15" x14ac:dyDescent="0.25">
      <c r="A8" s="11" t="s">
        <v>71</v>
      </c>
      <c r="B8" s="18">
        <v>64.680000000000007</v>
      </c>
      <c r="C8" s="18"/>
    </row>
    <row r="9" spans="1:9" x14ac:dyDescent="0.25">
      <c r="A9" s="11" t="s">
        <v>72</v>
      </c>
      <c r="B9" s="77">
        <v>47</v>
      </c>
      <c r="C9" s="77"/>
    </row>
    <row r="10" spans="1:9" ht="15" x14ac:dyDescent="0.25">
      <c r="A10" s="5"/>
      <c r="B10" s="11" t="s">
        <v>70</v>
      </c>
      <c r="C10" s="2"/>
      <c r="D10" s="2"/>
      <c r="G10" s="11" t="s">
        <v>61</v>
      </c>
    </row>
    <row r="11" spans="1:9" ht="15" x14ac:dyDescent="0.25">
      <c r="B11" s="17">
        <v>2771</v>
      </c>
      <c r="C11" s="2"/>
      <c r="D11" s="2"/>
      <c r="G11" s="18">
        <v>0</v>
      </c>
    </row>
    <row r="12" spans="1:9" ht="15" x14ac:dyDescent="0.25">
      <c r="A12" s="5" t="s">
        <v>62</v>
      </c>
      <c r="B12" s="17">
        <v>131.72</v>
      </c>
      <c r="C12" s="74"/>
      <c r="D12" s="2"/>
      <c r="E12" s="2"/>
      <c r="F12" s="53" t="s">
        <v>55</v>
      </c>
      <c r="G12" s="53" t="s">
        <v>56</v>
      </c>
    </row>
    <row r="13" spans="1:9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9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9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9" x14ac:dyDescent="0.25">
      <c r="A16" s="99" t="s">
        <v>663</v>
      </c>
      <c r="B16" s="94" t="s">
        <v>208</v>
      </c>
      <c r="C16" s="94">
        <v>490</v>
      </c>
      <c r="D16" s="94">
        <v>5</v>
      </c>
      <c r="E16" s="100">
        <f>C16*D16</f>
        <v>2450</v>
      </c>
      <c r="F16" s="95">
        <v>-3.0099999999999998E-2</v>
      </c>
      <c r="G16" s="96">
        <f t="shared" ref="G16:G23" si="0">(E16*F16)+E16</f>
        <v>2376.2550000000001</v>
      </c>
      <c r="I16" s="49"/>
    </row>
    <row r="17" spans="1:9" x14ac:dyDescent="0.25">
      <c r="A17" s="93" t="s">
        <v>666</v>
      </c>
      <c r="B17" s="94" t="s">
        <v>119</v>
      </c>
      <c r="C17" s="94">
        <v>180</v>
      </c>
      <c r="D17" s="94">
        <v>1</v>
      </c>
      <c r="E17" s="94">
        <f t="shared" ref="E17:E23" si="1">C17*D17</f>
        <v>180</v>
      </c>
      <c r="F17" s="95">
        <v>0</v>
      </c>
      <c r="G17" s="96">
        <f t="shared" si="0"/>
        <v>180</v>
      </c>
    </row>
    <row r="18" spans="1:9" x14ac:dyDescent="0.25">
      <c r="A18" s="93" t="s">
        <v>774</v>
      </c>
      <c r="B18" s="94" t="s">
        <v>457</v>
      </c>
      <c r="C18" s="94">
        <v>172.5</v>
      </c>
      <c r="D18" s="94">
        <v>4</v>
      </c>
      <c r="E18" s="94">
        <f t="shared" si="1"/>
        <v>690</v>
      </c>
      <c r="F18" s="95">
        <v>-9.1000000000000004E-3</v>
      </c>
      <c r="G18" s="96">
        <f t="shared" si="0"/>
        <v>683.721</v>
      </c>
      <c r="I18" s="49"/>
    </row>
    <row r="19" spans="1:9" x14ac:dyDescent="0.25">
      <c r="A19" s="93"/>
      <c r="B19" s="94"/>
      <c r="C19" s="94"/>
      <c r="D19" s="94"/>
      <c r="E19" s="94">
        <f t="shared" si="1"/>
        <v>0</v>
      </c>
      <c r="F19" s="95"/>
      <c r="G19" s="96">
        <f t="shared" si="0"/>
        <v>0</v>
      </c>
    </row>
    <row r="20" spans="1:9" ht="15" customHeight="1" x14ac:dyDescent="0.25">
      <c r="A20" s="93"/>
      <c r="B20" s="94"/>
      <c r="C20" s="94"/>
      <c r="D20" s="94"/>
      <c r="E20" s="96">
        <f t="shared" si="1"/>
        <v>0</v>
      </c>
      <c r="F20" s="95"/>
      <c r="G20" s="96">
        <f t="shared" si="0"/>
        <v>0</v>
      </c>
      <c r="I20" s="49"/>
    </row>
    <row r="21" spans="1:9" ht="15" customHeight="1" x14ac:dyDescent="0.25">
      <c r="A21" s="103" t="s">
        <v>667</v>
      </c>
      <c r="B21" s="94"/>
      <c r="C21" s="102"/>
      <c r="D21" s="94"/>
      <c r="E21" s="94">
        <f t="shared" si="1"/>
        <v>0</v>
      </c>
      <c r="F21" s="95"/>
      <c r="G21" s="96">
        <f t="shared" si="0"/>
        <v>0</v>
      </c>
    </row>
    <row r="22" spans="1:9" ht="15" customHeight="1" x14ac:dyDescent="0.25">
      <c r="A22" s="99"/>
      <c r="B22" s="94"/>
      <c r="C22" s="102"/>
      <c r="D22" s="102"/>
      <c r="E22" s="94">
        <f t="shared" si="1"/>
        <v>0</v>
      </c>
      <c r="F22" s="95"/>
      <c r="G22" s="96">
        <f t="shared" si="0"/>
        <v>0</v>
      </c>
      <c r="I22" s="49"/>
    </row>
    <row r="23" spans="1:9" x14ac:dyDescent="0.25">
      <c r="A23" s="99"/>
      <c r="B23" s="94"/>
      <c r="C23" s="102"/>
      <c r="D23" s="102"/>
      <c r="E23" s="94">
        <f t="shared" si="1"/>
        <v>0</v>
      </c>
      <c r="F23" s="95"/>
      <c r="G23" s="96">
        <f t="shared" si="0"/>
        <v>0</v>
      </c>
    </row>
    <row r="24" spans="1:9" ht="30" customHeight="1" x14ac:dyDescent="0.25">
      <c r="A24" s="106" t="s">
        <v>516</v>
      </c>
      <c r="B24" s="132" t="s">
        <v>11</v>
      </c>
      <c r="C24" s="132"/>
      <c r="D24" s="132"/>
      <c r="E24" s="132"/>
      <c r="F24" s="113">
        <f>SUM(G16:G23)</f>
        <v>3239.9760000000001</v>
      </c>
      <c r="G24" s="113"/>
      <c r="I24" s="49"/>
    </row>
    <row r="25" spans="1:9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9" ht="15" x14ac:dyDescent="0.25">
      <c r="A26" s="2"/>
      <c r="B26" s="2"/>
      <c r="C26" s="2"/>
      <c r="D26" s="2"/>
      <c r="E26" s="2"/>
      <c r="F26" s="2"/>
      <c r="G26" s="2"/>
    </row>
    <row r="27" spans="1:9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9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9" ht="15" x14ac:dyDescent="0.25">
      <c r="A29" s="43" t="s">
        <v>134</v>
      </c>
      <c r="B29" s="41" t="s">
        <v>54</v>
      </c>
      <c r="C29" s="40">
        <f>IFERROR(VLOOKUP(B29,Liste!C1:D5,2,FALSE),"")</f>
        <v>2300</v>
      </c>
      <c r="D29" s="54">
        <f>IFERROR(C29/4.33,0)</f>
        <v>531.17782909930713</v>
      </c>
      <c r="H29" s="7"/>
    </row>
    <row r="30" spans="1:9" ht="15" x14ac:dyDescent="0.3">
      <c r="A30" s="43" t="s">
        <v>66</v>
      </c>
      <c r="B30" s="46" t="s">
        <v>39</v>
      </c>
      <c r="C30" s="40">
        <f>IFERROR(VLOOKUP(B30,Liste!$C$7:$D$15,2,FALSE),"")</f>
        <v>1000</v>
      </c>
      <c r="D30" s="54">
        <f>IFERROR(C30/4.33,0)</f>
        <v>230.94688221709006</v>
      </c>
      <c r="H30" s="7"/>
    </row>
    <row r="31" spans="1:9" ht="15" x14ac:dyDescent="0.3">
      <c r="A31" s="43" t="s">
        <v>67</v>
      </c>
      <c r="B31" s="46" t="s">
        <v>69</v>
      </c>
      <c r="C31" s="40" t="str">
        <f>IFERROR(VLOOKUP(B31,Liste!$C$7:$D$15,2,FALSE),"")</f>
        <v/>
      </c>
      <c r="D31" s="54">
        <f t="shared" ref="D31:D33" si="2">IFERROR(C31/4.33,0)</f>
        <v>0</v>
      </c>
      <c r="H31" s="7"/>
    </row>
    <row r="32" spans="1:9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2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2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1.3553999999999999</v>
      </c>
      <c r="D34" s="54">
        <f>(B11*D5/100)*C34</f>
        <v>948.71846484000002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0</v>
      </c>
      <c r="D35" s="54">
        <f>(D5*B11/100)*C35</f>
        <v>0</v>
      </c>
      <c r="H35" s="7"/>
    </row>
    <row r="36" spans="1:8" ht="15" x14ac:dyDescent="0.3">
      <c r="A36" s="43" t="s">
        <v>3</v>
      </c>
      <c r="B36" s="42"/>
      <c r="C36" s="65">
        <v>0.43090000000000001</v>
      </c>
      <c r="D36" s="54">
        <f>(D6*B11)*C36</f>
        <v>22.686454100000002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110.84</v>
      </c>
      <c r="E38" s="49"/>
      <c r="H38" s="7"/>
    </row>
    <row r="39" spans="1:8" ht="15" x14ac:dyDescent="0.25">
      <c r="A39" s="43" t="s">
        <v>13</v>
      </c>
      <c r="B39" s="41">
        <f>B12</f>
        <v>131.72</v>
      </c>
      <c r="C39" s="56">
        <v>5</v>
      </c>
      <c r="D39" s="54">
        <f>(C39*B39)</f>
        <v>658.6</v>
      </c>
      <c r="E39" s="85"/>
      <c r="H39" s="7"/>
    </row>
    <row r="40" spans="1:8" ht="15" x14ac:dyDescent="0.25">
      <c r="A40" s="43" t="s">
        <v>14</v>
      </c>
      <c r="B40" s="48" t="s">
        <v>55</v>
      </c>
      <c r="C40" s="40">
        <v>1</v>
      </c>
      <c r="D40" s="40">
        <v>989.56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3492.529630256397</v>
      </c>
    </row>
    <row r="46" spans="1:8" x14ac:dyDescent="0.25">
      <c r="C46" s="6" t="s">
        <v>49</v>
      </c>
      <c r="D46" s="47">
        <f>F24-D45</f>
        <v>-252.5536302563969</v>
      </c>
    </row>
    <row r="48" spans="1:8" ht="39" customHeight="1" x14ac:dyDescent="0.25">
      <c r="C48" s="58" t="s">
        <v>48</v>
      </c>
      <c r="D48" s="59">
        <f>D46/F24</f>
        <v>-7.7949228715396932E-2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E62324BD-D2A1-43C3-9D60-5B07E9F56D6D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6057141-0132-4227-8474-800EB88E1E5E}">
          <x14:formula1>
            <xm:f>Liste!$C$7:$C$16</xm:f>
          </x14:formula1>
          <xm:sqref>B30:B33</xm:sqref>
        </x14:dataValidation>
        <x14:dataValidation type="list" allowBlank="1" showInputMessage="1" showErrorMessage="1" xr:uid="{AFE169B0-BA44-455C-92BC-7E71C0963560}">
          <x14:formula1>
            <xm:f>Liste!$A$24:$A$25</xm:f>
          </x14:formula1>
          <xm:sqref>B42</xm:sqref>
        </x14:dataValidation>
        <x14:dataValidation type="list" allowBlank="1" showInputMessage="1" showErrorMessage="1" xr:uid="{6E332F79-CA4F-4311-8497-4B1895A5861D}">
          <x14:formula1>
            <xm:f>Liste!$A$21:$A$22</xm:f>
          </x14:formula1>
          <xm:sqref>B40</xm:sqref>
        </x14:dataValidation>
        <x14:dataValidation type="list" allowBlank="1" showInputMessage="1" showErrorMessage="1" xr:uid="{C7CF889C-0DDF-4426-9495-67CE1D3B82CC}">
          <x14:formula1>
            <xm:f>Liste!$C$2:$C$5</xm:f>
          </x14:formula1>
          <xm:sqref>B29</xm:sqref>
        </x14:dataValidation>
      </x14:dataValidations>
    </ext>
  </extLst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B7616-4B80-408D-AEC5-3A31439CF26F}">
  <sheetPr>
    <tabColor theme="7" tint="0.39997558519241921"/>
  </sheetPr>
  <dimension ref="A1:I48"/>
  <sheetViews>
    <sheetView workbookViewId="0">
      <selection activeCell="A25" sqref="A25"/>
    </sheetView>
  </sheetViews>
  <sheetFormatPr baseColWidth="10" defaultColWidth="11.44140625" defaultRowHeight="13.2" x14ac:dyDescent="0.25"/>
  <cols>
    <col min="1" max="1" width="36.6640625" style="1" bestFit="1" customWidth="1"/>
    <col min="2" max="2" width="20.6640625" style="1" customWidth="1"/>
    <col min="3" max="3" width="22.44140625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9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9" x14ac:dyDescent="0.25">
      <c r="A3" s="126" t="s">
        <v>5</v>
      </c>
      <c r="B3" s="126"/>
      <c r="C3" s="126"/>
      <c r="D3" s="126"/>
      <c r="E3" s="126"/>
      <c r="F3" s="126"/>
      <c r="G3" s="126"/>
    </row>
    <row r="4" spans="1:9" ht="15" x14ac:dyDescent="0.25">
      <c r="A4" s="2"/>
      <c r="B4" s="5" t="s">
        <v>10</v>
      </c>
      <c r="D4" s="11" t="s">
        <v>12</v>
      </c>
      <c r="F4" s="129" t="s">
        <v>15</v>
      </c>
      <c r="G4" s="130" t="s">
        <v>688</v>
      </c>
    </row>
    <row r="5" spans="1:9" ht="15" x14ac:dyDescent="0.25">
      <c r="A5" s="5" t="s">
        <v>8</v>
      </c>
      <c r="B5" s="10" t="s">
        <v>671</v>
      </c>
      <c r="C5" s="10"/>
      <c r="D5" s="17">
        <v>23.7</v>
      </c>
      <c r="E5" s="6"/>
      <c r="F5" s="129"/>
      <c r="G5" s="131"/>
    </row>
    <row r="6" spans="1:9" ht="15" x14ac:dyDescent="0.25">
      <c r="A6" s="5" t="s">
        <v>9</v>
      </c>
      <c r="B6" s="10" t="s">
        <v>300</v>
      </c>
      <c r="C6" s="10"/>
      <c r="D6" s="6">
        <v>1.9E-2</v>
      </c>
      <c r="F6" s="2"/>
      <c r="G6" s="2"/>
    </row>
    <row r="7" spans="1:9" ht="15" x14ac:dyDescent="0.25">
      <c r="A7" s="5" t="s">
        <v>16</v>
      </c>
      <c r="B7" s="12" t="s">
        <v>676</v>
      </c>
      <c r="C7" s="12"/>
      <c r="D7" s="63"/>
    </row>
    <row r="8" spans="1:9" ht="15" x14ac:dyDescent="0.25">
      <c r="A8" s="11" t="s">
        <v>71</v>
      </c>
      <c r="B8" s="18">
        <v>73.77</v>
      </c>
      <c r="C8" s="18"/>
    </row>
    <row r="9" spans="1:9" x14ac:dyDescent="0.25">
      <c r="A9" s="11" t="s">
        <v>72</v>
      </c>
      <c r="B9" s="77">
        <v>37.69</v>
      </c>
      <c r="C9" s="77"/>
    </row>
    <row r="10" spans="1:9" ht="15" x14ac:dyDescent="0.25">
      <c r="A10" s="5"/>
      <c r="B10" s="11" t="s">
        <v>70</v>
      </c>
      <c r="C10" s="2"/>
      <c r="D10" s="2"/>
      <c r="G10" s="11" t="s">
        <v>61</v>
      </c>
    </row>
    <row r="11" spans="1:9" ht="15" x14ac:dyDescent="0.25">
      <c r="B11" s="17">
        <v>2775</v>
      </c>
      <c r="C11" s="2"/>
      <c r="D11" s="2"/>
      <c r="G11" s="18">
        <v>0</v>
      </c>
    </row>
    <row r="12" spans="1:9" ht="15" x14ac:dyDescent="0.25">
      <c r="A12" s="5" t="s">
        <v>62</v>
      </c>
      <c r="B12" s="17">
        <f>69*2</f>
        <v>138</v>
      </c>
      <c r="C12" s="74"/>
      <c r="D12" s="2"/>
      <c r="E12" s="2"/>
      <c r="F12" s="53" t="s">
        <v>55</v>
      </c>
      <c r="G12" s="53" t="s">
        <v>56</v>
      </c>
    </row>
    <row r="13" spans="1:9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9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9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9" x14ac:dyDescent="0.25">
      <c r="A16" s="99" t="s">
        <v>672</v>
      </c>
      <c r="B16" s="94" t="s">
        <v>208</v>
      </c>
      <c r="C16" s="94">
        <v>410</v>
      </c>
      <c r="D16" s="94">
        <v>5</v>
      </c>
      <c r="E16" s="100">
        <f>C16*D16</f>
        <v>2050</v>
      </c>
      <c r="F16" s="95">
        <v>-3.0099999999999998E-2</v>
      </c>
      <c r="G16" s="96">
        <f t="shared" ref="G16:G23" si="0">(E16*F16)+E16</f>
        <v>1988.2950000000001</v>
      </c>
      <c r="I16" s="49"/>
    </row>
    <row r="17" spans="1:9" x14ac:dyDescent="0.25">
      <c r="A17" s="93" t="s">
        <v>673</v>
      </c>
      <c r="B17" s="94" t="s">
        <v>208</v>
      </c>
      <c r="C17" s="94">
        <v>410</v>
      </c>
      <c r="D17" s="94">
        <v>5</v>
      </c>
      <c r="E17" s="94">
        <f t="shared" ref="E17:E23" si="1">C17*D17</f>
        <v>2050</v>
      </c>
      <c r="F17" s="95">
        <v>-3.0099999999999998E-2</v>
      </c>
      <c r="G17" s="96">
        <f t="shared" si="0"/>
        <v>1988.2950000000001</v>
      </c>
    </row>
    <row r="18" spans="1:9" x14ac:dyDescent="0.25">
      <c r="A18" s="93"/>
      <c r="B18" s="94"/>
      <c r="C18" s="94"/>
      <c r="D18" s="94"/>
      <c r="E18" s="94">
        <f t="shared" si="1"/>
        <v>0</v>
      </c>
      <c r="F18" s="96"/>
      <c r="G18" s="96">
        <f>F18+E18</f>
        <v>0</v>
      </c>
      <c r="I18" s="49"/>
    </row>
    <row r="19" spans="1:9" x14ac:dyDescent="0.25">
      <c r="A19" s="104" t="s">
        <v>674</v>
      </c>
      <c r="B19" s="94"/>
      <c r="C19" s="94"/>
      <c r="D19" s="94"/>
      <c r="E19" s="94">
        <f t="shared" si="1"/>
        <v>0</v>
      </c>
      <c r="F19" s="95"/>
      <c r="G19" s="96">
        <f t="shared" si="0"/>
        <v>0</v>
      </c>
    </row>
    <row r="20" spans="1:9" ht="15" customHeight="1" x14ac:dyDescent="0.25">
      <c r="A20" s="93"/>
      <c r="B20" s="94"/>
      <c r="C20" s="94"/>
      <c r="D20" s="94"/>
      <c r="E20" s="96">
        <f t="shared" si="1"/>
        <v>0</v>
      </c>
      <c r="F20" s="95"/>
      <c r="G20" s="96">
        <f t="shared" si="0"/>
        <v>0</v>
      </c>
      <c r="I20" s="49"/>
    </row>
    <row r="21" spans="1:9" ht="15" customHeight="1" x14ac:dyDescent="0.25">
      <c r="A21" s="103"/>
      <c r="B21" s="94"/>
      <c r="C21" s="102"/>
      <c r="D21" s="94"/>
      <c r="E21" s="94">
        <f t="shared" si="1"/>
        <v>0</v>
      </c>
      <c r="F21" s="95"/>
      <c r="G21" s="96">
        <f t="shared" si="0"/>
        <v>0</v>
      </c>
    </row>
    <row r="22" spans="1:9" ht="15" customHeight="1" x14ac:dyDescent="0.25">
      <c r="A22" s="99"/>
      <c r="B22" s="94"/>
      <c r="C22" s="102"/>
      <c r="D22" s="102"/>
      <c r="E22" s="94">
        <f t="shared" si="1"/>
        <v>0</v>
      </c>
      <c r="F22" s="95"/>
      <c r="G22" s="96">
        <f t="shared" si="0"/>
        <v>0</v>
      </c>
      <c r="I22" s="49"/>
    </row>
    <row r="23" spans="1:9" x14ac:dyDescent="0.25">
      <c r="A23" s="99"/>
      <c r="B23" s="94"/>
      <c r="C23" s="102"/>
      <c r="D23" s="102"/>
      <c r="E23" s="94">
        <f t="shared" si="1"/>
        <v>0</v>
      </c>
      <c r="F23" s="95"/>
      <c r="G23" s="96">
        <f t="shared" si="0"/>
        <v>0</v>
      </c>
    </row>
    <row r="24" spans="1:9" ht="30" customHeight="1" x14ac:dyDescent="0.25">
      <c r="A24" s="106" t="s">
        <v>515</v>
      </c>
      <c r="B24" s="132" t="s">
        <v>11</v>
      </c>
      <c r="C24" s="132"/>
      <c r="D24" s="132"/>
      <c r="E24" s="132"/>
      <c r="F24" s="113">
        <f>SUM(G16:G23)</f>
        <v>3976.59</v>
      </c>
      <c r="G24" s="113"/>
      <c r="I24" s="49"/>
    </row>
    <row r="25" spans="1:9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9" ht="15" x14ac:dyDescent="0.25">
      <c r="A26" s="2"/>
      <c r="B26" s="2"/>
      <c r="C26" s="2"/>
      <c r="D26" s="2"/>
      <c r="E26" s="2"/>
      <c r="F26" s="2"/>
      <c r="G26" s="2"/>
    </row>
    <row r="27" spans="1:9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9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9" ht="15" x14ac:dyDescent="0.25">
      <c r="A29" s="43" t="s">
        <v>134</v>
      </c>
      <c r="B29" s="41" t="s">
        <v>54</v>
      </c>
      <c r="C29" s="40">
        <f>IFERROR(VLOOKUP(B29,Liste!C1:D5,2,FALSE),"")</f>
        <v>2300</v>
      </c>
      <c r="D29" s="54">
        <f>IFERROR(C29/4.33,0)</f>
        <v>531.17782909930713</v>
      </c>
      <c r="H29" s="7"/>
    </row>
    <row r="30" spans="1:9" ht="15" x14ac:dyDescent="0.3">
      <c r="A30" s="43" t="s">
        <v>66</v>
      </c>
      <c r="B30" s="46" t="s">
        <v>36</v>
      </c>
      <c r="C30" s="40">
        <f>IFERROR(VLOOKUP(B30,Liste!$C$7:$D$15,2,FALSE),"")</f>
        <v>1200</v>
      </c>
      <c r="D30" s="54">
        <f>IFERROR(C30/4.33,0)</f>
        <v>277.13625866050808</v>
      </c>
      <c r="H30" s="7"/>
    </row>
    <row r="31" spans="1:9" ht="15" x14ac:dyDescent="0.3">
      <c r="A31" s="43" t="s">
        <v>67</v>
      </c>
      <c r="B31" s="46" t="s">
        <v>69</v>
      </c>
      <c r="C31" s="40" t="str">
        <f>IFERROR(VLOOKUP(B31,Liste!$C$7:$D$15,2,FALSE),"")</f>
        <v/>
      </c>
      <c r="D31" s="54">
        <f t="shared" ref="D31:D33" si="2">IFERROR(C31/4.33,0)</f>
        <v>0</v>
      </c>
      <c r="H31" s="7"/>
    </row>
    <row r="32" spans="1:9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 t="shared" si="2"/>
        <v>0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 t="shared" si="2"/>
        <v>0</v>
      </c>
      <c r="H33" s="7"/>
    </row>
    <row r="34" spans="1:8" ht="15" x14ac:dyDescent="0.25">
      <c r="A34" s="43" t="s">
        <v>2</v>
      </c>
      <c r="B34" s="41" t="s">
        <v>32</v>
      </c>
      <c r="C34" s="65">
        <v>1.3553999999999999</v>
      </c>
      <c r="D34" s="54">
        <f>(B11*D5/100)*C34</f>
        <v>891.41269499999987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0</v>
      </c>
      <c r="D35" s="54">
        <f>(D5*B11/100)*C35</f>
        <v>0</v>
      </c>
      <c r="H35" s="7"/>
    </row>
    <row r="36" spans="1:8" ht="15" x14ac:dyDescent="0.3">
      <c r="A36" s="43" t="s">
        <v>3</v>
      </c>
      <c r="B36" s="42"/>
      <c r="C36" s="65">
        <v>0.43090000000000001</v>
      </c>
      <c r="D36" s="54">
        <f>(D6*B11)*C36</f>
        <v>22.719202500000002</v>
      </c>
      <c r="H36" s="7"/>
    </row>
    <row r="37" spans="1:8" ht="15" x14ac:dyDescent="0.3">
      <c r="A37" s="43" t="s">
        <v>4</v>
      </c>
      <c r="B37" s="42"/>
      <c r="C37" s="48">
        <v>1.1225000000000001</v>
      </c>
      <c r="D37" s="55"/>
      <c r="H37" s="7"/>
    </row>
    <row r="38" spans="1:8" ht="30" x14ac:dyDescent="0.3">
      <c r="A38" s="43" t="s">
        <v>52</v>
      </c>
      <c r="B38" s="42"/>
      <c r="C38" s="44">
        <v>0.04</v>
      </c>
      <c r="D38" s="54">
        <f>C38*B11</f>
        <v>111</v>
      </c>
      <c r="E38" s="49"/>
      <c r="H38" s="7"/>
    </row>
    <row r="39" spans="1:8" ht="15" x14ac:dyDescent="0.25">
      <c r="A39" s="43" t="s">
        <v>13</v>
      </c>
      <c r="B39" s="41">
        <f>B12</f>
        <v>138</v>
      </c>
      <c r="C39" s="56">
        <v>5</v>
      </c>
      <c r="D39" s="54">
        <f>(C39*B39)</f>
        <v>690</v>
      </c>
      <c r="E39" s="85"/>
      <c r="H39" s="7"/>
    </row>
    <row r="40" spans="1:8" ht="15" x14ac:dyDescent="0.25">
      <c r="A40" s="43" t="s">
        <v>14</v>
      </c>
      <c r="B40" s="48" t="s">
        <v>55</v>
      </c>
      <c r="C40" s="40">
        <v>1</v>
      </c>
      <c r="D40" s="40">
        <v>1158.74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G11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C42/4.33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3682.1859852598154</v>
      </c>
    </row>
    <row r="46" spans="1:8" x14ac:dyDescent="0.25">
      <c r="C46" s="6" t="s">
        <v>49</v>
      </c>
      <c r="D46" s="47">
        <f>F24-D45</f>
        <v>294.40401474018472</v>
      </c>
    </row>
    <row r="48" spans="1:8" ht="39" customHeight="1" x14ac:dyDescent="0.25">
      <c r="C48" s="58" t="s">
        <v>48</v>
      </c>
      <c r="D48" s="59">
        <f>D46/F24</f>
        <v>7.4034289363546335E-2</v>
      </c>
    </row>
  </sheetData>
  <mergeCells count="6">
    <mergeCell ref="A27:G27"/>
    <mergeCell ref="A1:G1"/>
    <mergeCell ref="A3:G3"/>
    <mergeCell ref="F4:F5"/>
    <mergeCell ref="G4:G5"/>
    <mergeCell ref="B24:E24"/>
  </mergeCells>
  <hyperlinks>
    <hyperlink ref="A25" location="Sommaire!A1" display="SOMMAIRE" xr:uid="{61D184D4-A3AA-449B-95E3-EA8A2EAD89A3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213DCBD-8CB4-4F64-B071-ECDA6942934D}">
          <x14:formula1>
            <xm:f>Liste!$C$2:$C$5</xm:f>
          </x14:formula1>
          <xm:sqref>B29</xm:sqref>
        </x14:dataValidation>
        <x14:dataValidation type="list" allowBlank="1" showInputMessage="1" showErrorMessage="1" xr:uid="{D50D1533-709C-4976-A43F-4E76D233B95F}">
          <x14:formula1>
            <xm:f>Liste!$A$21:$A$22</xm:f>
          </x14:formula1>
          <xm:sqref>B40</xm:sqref>
        </x14:dataValidation>
        <x14:dataValidation type="list" allowBlank="1" showInputMessage="1" showErrorMessage="1" xr:uid="{B484BE47-F5F4-4609-9DBB-8BBDD4F0A896}">
          <x14:formula1>
            <xm:f>Liste!$A$24:$A$25</xm:f>
          </x14:formula1>
          <xm:sqref>B42</xm:sqref>
        </x14:dataValidation>
        <x14:dataValidation type="list" allowBlank="1" showInputMessage="1" showErrorMessage="1" xr:uid="{1A87C566-392A-4A11-9CF4-BA2731896652}">
          <x14:formula1>
            <xm:f>Liste!$C$7:$C$16</xm:f>
          </x14:formula1>
          <xm:sqref>B30:B33</xm:sqref>
        </x14:dataValidation>
      </x14:dataValidations>
    </ext>
  </extLst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EDD77-E3A5-4F0E-B3B6-8F15F89CDBCB}">
  <sheetPr>
    <tabColor theme="7" tint="0.39997558519241921"/>
  </sheetPr>
  <dimension ref="A1:I48"/>
  <sheetViews>
    <sheetView topLeftCell="A37" workbookViewId="0">
      <selection activeCell="A25" sqref="A25"/>
    </sheetView>
  </sheetViews>
  <sheetFormatPr baseColWidth="10" defaultColWidth="11.44140625" defaultRowHeight="13.2" x14ac:dyDescent="0.25"/>
  <cols>
    <col min="1" max="1" width="36.6640625" style="1" bestFit="1" customWidth="1"/>
    <col min="2" max="2" width="20.6640625" style="1" customWidth="1"/>
    <col min="3" max="3" width="22.44140625" style="1" bestFit="1" customWidth="1"/>
    <col min="4" max="4" width="18.33203125" style="1" bestFit="1" customWidth="1"/>
    <col min="5" max="5" width="17.33203125" style="1" bestFit="1" customWidth="1"/>
    <col min="6" max="6" width="12.6640625" style="1" bestFit="1" customWidth="1"/>
    <col min="7" max="7" width="16.109375" style="1" bestFit="1" customWidth="1"/>
    <col min="8" max="8" width="4.44140625" style="1" customWidth="1"/>
    <col min="9" max="9" width="14" style="1" bestFit="1" customWidth="1"/>
    <col min="10" max="10" width="18.6640625" style="1" bestFit="1" customWidth="1"/>
    <col min="11" max="16384" width="11.44140625" style="1"/>
  </cols>
  <sheetData>
    <row r="1" spans="1:9" ht="27" customHeight="1" x14ac:dyDescent="0.25">
      <c r="A1" s="127" t="s">
        <v>51</v>
      </c>
      <c r="B1" s="128"/>
      <c r="C1" s="128"/>
      <c r="D1" s="128"/>
      <c r="E1" s="128"/>
      <c r="F1" s="128"/>
      <c r="G1" s="128"/>
    </row>
    <row r="3" spans="1:9" x14ac:dyDescent="0.25">
      <c r="A3" s="126" t="s">
        <v>5</v>
      </c>
      <c r="B3" s="126"/>
      <c r="C3" s="126"/>
      <c r="D3" s="126"/>
      <c r="E3" s="126"/>
      <c r="F3" s="126"/>
      <c r="G3" s="126"/>
    </row>
    <row r="4" spans="1:9" ht="15" x14ac:dyDescent="0.25">
      <c r="A4" s="2"/>
      <c r="B4" s="5" t="s">
        <v>10</v>
      </c>
      <c r="D4" s="11" t="s">
        <v>12</v>
      </c>
      <c r="F4" s="129" t="s">
        <v>15</v>
      </c>
      <c r="G4" s="130" t="s">
        <v>85</v>
      </c>
    </row>
    <row r="5" spans="1:9" ht="15" x14ac:dyDescent="0.25">
      <c r="A5" s="5" t="s">
        <v>8</v>
      </c>
      <c r="B5" s="10"/>
      <c r="C5" s="10"/>
      <c r="D5" s="17"/>
      <c r="E5" s="6"/>
      <c r="F5" s="129"/>
      <c r="G5" s="131"/>
    </row>
    <row r="6" spans="1:9" ht="15" x14ac:dyDescent="0.25">
      <c r="A6" s="5" t="s">
        <v>9</v>
      </c>
      <c r="B6" s="10"/>
      <c r="C6" s="10"/>
      <c r="D6" s="6">
        <v>1.9E-2</v>
      </c>
      <c r="F6" s="2"/>
      <c r="G6" s="2"/>
    </row>
    <row r="7" spans="1:9" ht="15" x14ac:dyDescent="0.25">
      <c r="A7" s="5" t="s">
        <v>16</v>
      </c>
      <c r="B7" s="12"/>
      <c r="C7" s="12"/>
      <c r="D7" s="63"/>
    </row>
    <row r="8" spans="1:9" ht="15" x14ac:dyDescent="0.25">
      <c r="A8" s="11" t="s">
        <v>71</v>
      </c>
      <c r="B8" s="18"/>
      <c r="C8" s="18"/>
    </row>
    <row r="9" spans="1:9" x14ac:dyDescent="0.25">
      <c r="A9" s="11" t="s">
        <v>72</v>
      </c>
      <c r="B9" s="77"/>
      <c r="C9" s="77"/>
    </row>
    <row r="10" spans="1:9" ht="15" x14ac:dyDescent="0.25">
      <c r="A10" s="5"/>
      <c r="B10" s="11" t="s">
        <v>70</v>
      </c>
      <c r="C10" s="2"/>
      <c r="D10" s="2"/>
      <c r="G10" s="11" t="s">
        <v>61</v>
      </c>
    </row>
    <row r="11" spans="1:9" ht="15" x14ac:dyDescent="0.25">
      <c r="B11" s="17"/>
      <c r="C11" s="2"/>
      <c r="D11" s="2"/>
      <c r="G11" s="18">
        <v>0</v>
      </c>
    </row>
    <row r="12" spans="1:9" ht="15" x14ac:dyDescent="0.25">
      <c r="A12" s="5" t="s">
        <v>62</v>
      </c>
      <c r="B12" s="17"/>
      <c r="C12" s="74"/>
      <c r="D12" s="2"/>
      <c r="E12" s="2"/>
      <c r="F12" s="53" t="s">
        <v>55</v>
      </c>
      <c r="G12" s="53" t="s">
        <v>56</v>
      </c>
    </row>
    <row r="13" spans="1:9" ht="15" x14ac:dyDescent="0.25">
      <c r="B13" s="2"/>
      <c r="C13" s="2"/>
      <c r="D13" s="2"/>
      <c r="E13" s="57" t="s">
        <v>250</v>
      </c>
      <c r="F13" s="53">
        <v>1000</v>
      </c>
      <c r="G13" s="53">
        <v>1100</v>
      </c>
    </row>
    <row r="14" spans="1:9" ht="15.6" x14ac:dyDescent="0.3">
      <c r="A14" s="13" t="s">
        <v>17</v>
      </c>
      <c r="B14" s="2"/>
      <c r="C14" s="2"/>
      <c r="D14" s="2"/>
      <c r="E14" s="2"/>
      <c r="F14" s="2"/>
      <c r="G14" s="2"/>
    </row>
    <row r="15" spans="1:9" ht="15.6" x14ac:dyDescent="0.25">
      <c r="A15" s="14" t="s">
        <v>53</v>
      </c>
      <c r="B15" s="14" t="s">
        <v>18</v>
      </c>
      <c r="C15" s="14" t="s">
        <v>6</v>
      </c>
      <c r="D15" s="14" t="s">
        <v>20</v>
      </c>
      <c r="E15" s="14" t="s">
        <v>22</v>
      </c>
      <c r="F15" s="14" t="s">
        <v>19</v>
      </c>
      <c r="G15" s="14" t="s">
        <v>21</v>
      </c>
    </row>
    <row r="16" spans="1:9" x14ac:dyDescent="0.25">
      <c r="A16" s="143" t="s">
        <v>679</v>
      </c>
      <c r="B16" s="144"/>
      <c r="C16" s="144"/>
      <c r="D16" s="144"/>
      <c r="E16" s="144"/>
      <c r="F16" s="144"/>
      <c r="G16" s="145"/>
      <c r="I16" s="49"/>
    </row>
    <row r="17" spans="1:9" x14ac:dyDescent="0.25">
      <c r="A17" s="146"/>
      <c r="B17" s="147"/>
      <c r="C17" s="147"/>
      <c r="D17" s="147"/>
      <c r="E17" s="147"/>
      <c r="F17" s="147"/>
      <c r="G17" s="148"/>
    </row>
    <row r="18" spans="1:9" x14ac:dyDescent="0.25">
      <c r="A18" s="146"/>
      <c r="B18" s="147"/>
      <c r="C18" s="147"/>
      <c r="D18" s="147"/>
      <c r="E18" s="147"/>
      <c r="F18" s="147"/>
      <c r="G18" s="148"/>
      <c r="I18" s="49"/>
    </row>
    <row r="19" spans="1:9" x14ac:dyDescent="0.25">
      <c r="A19" s="146"/>
      <c r="B19" s="147"/>
      <c r="C19" s="147"/>
      <c r="D19" s="147"/>
      <c r="E19" s="147"/>
      <c r="F19" s="147"/>
      <c r="G19" s="148"/>
    </row>
    <row r="20" spans="1:9" ht="15" customHeight="1" x14ac:dyDescent="0.25">
      <c r="A20" s="146"/>
      <c r="B20" s="147"/>
      <c r="C20" s="147"/>
      <c r="D20" s="147"/>
      <c r="E20" s="147"/>
      <c r="F20" s="147"/>
      <c r="G20" s="148"/>
      <c r="I20" s="49"/>
    </row>
    <row r="21" spans="1:9" ht="15" customHeight="1" x14ac:dyDescent="0.25">
      <c r="A21" s="146"/>
      <c r="B21" s="147"/>
      <c r="C21" s="147"/>
      <c r="D21" s="147"/>
      <c r="E21" s="147"/>
      <c r="F21" s="147"/>
      <c r="G21" s="148"/>
    </row>
    <row r="22" spans="1:9" ht="15" customHeight="1" x14ac:dyDescent="0.25">
      <c r="A22" s="146"/>
      <c r="B22" s="147"/>
      <c r="C22" s="147"/>
      <c r="D22" s="147"/>
      <c r="E22" s="147"/>
      <c r="F22" s="147"/>
      <c r="G22" s="148"/>
      <c r="I22" s="49"/>
    </row>
    <row r="23" spans="1:9" x14ac:dyDescent="0.25">
      <c r="A23" s="149"/>
      <c r="B23" s="150"/>
      <c r="C23" s="150"/>
      <c r="D23" s="150"/>
      <c r="E23" s="150"/>
      <c r="F23" s="150"/>
      <c r="G23" s="151"/>
    </row>
    <row r="24" spans="1:9" ht="30" customHeight="1" x14ac:dyDescent="0.25">
      <c r="A24" s="106" t="s">
        <v>679</v>
      </c>
      <c r="B24" s="132" t="s">
        <v>11</v>
      </c>
      <c r="C24" s="132"/>
      <c r="D24" s="132"/>
      <c r="E24" s="132"/>
      <c r="F24" s="114">
        <f>'SPL45'!F24+'SPL44'!F24+'SPL37'!F24+'SPL36'!F24+'SPL34'!F24+'SPL30'!F24+'SPL27'!F24+'SPL26'!F24+'SPL25'!F24+'SPL23'!F24+'SPL20'!F24+'SPL18'!F25+'SPL17'!F24+'SPL16'!F25+'SPL14'!F25+'SPL13'!F24+'SPL47'!F24+'SPL51'!F24+'SPL53'!F24+'SPL54'!F24+'SPL56'!F25+'SPL59'!F24+'SPL62'!F24+'SPL67'!F24+'SPL68'!F25+'SPL69'!F24+'SPL70'!F24+'SPL74'!F24+'SPL77'!F24+'SPL76'!F24+'SPL75'!F24+'SPL9'!F24+'SPL8'!F24+'SPL73'!F24+'SPL33'!F24+'SPL22'!F24+'SPL7'!F24+'SPL72'!F24</f>
        <v>164218.25139290004</v>
      </c>
      <c r="G24" s="113"/>
      <c r="I24" s="49"/>
    </row>
    <row r="25" spans="1:9" ht="18" x14ac:dyDescent="0.35">
      <c r="A25" s="86" t="s">
        <v>371</v>
      </c>
      <c r="B25" s="2"/>
      <c r="C25" s="2"/>
      <c r="D25" s="2"/>
      <c r="E25" s="9"/>
      <c r="F25" s="2"/>
      <c r="G25" s="2"/>
    </row>
    <row r="26" spans="1:9" ht="15" x14ac:dyDescent="0.25">
      <c r="A26" s="2"/>
      <c r="B26" s="2"/>
      <c r="C26" s="2"/>
      <c r="D26" s="2"/>
      <c r="E26" s="2"/>
      <c r="F26" s="2"/>
      <c r="G26" s="2"/>
    </row>
    <row r="27" spans="1:9" x14ac:dyDescent="0.25">
      <c r="A27" s="126" t="s">
        <v>0</v>
      </c>
      <c r="B27" s="126"/>
      <c r="C27" s="126"/>
      <c r="D27" s="126"/>
      <c r="E27" s="126"/>
      <c r="F27" s="126"/>
      <c r="G27" s="126"/>
    </row>
    <row r="28" spans="1:9" ht="26.25" customHeight="1" x14ac:dyDescent="0.25">
      <c r="A28" s="3"/>
      <c r="B28" s="6" t="s">
        <v>45</v>
      </c>
      <c r="C28" s="39" t="s">
        <v>63</v>
      </c>
      <c r="D28" s="39" t="s">
        <v>46</v>
      </c>
      <c r="E28" s="4"/>
      <c r="F28" s="4"/>
      <c r="G28" s="4"/>
      <c r="H28" s="8"/>
    </row>
    <row r="29" spans="1:9" ht="15" x14ac:dyDescent="0.25">
      <c r="A29" s="43" t="s">
        <v>134</v>
      </c>
      <c r="B29" s="41" t="s">
        <v>54</v>
      </c>
      <c r="C29" s="40">
        <f>IFERROR(VLOOKUP(B29,Liste!C1:D5,2,FALSE),"")</f>
        <v>2300</v>
      </c>
      <c r="D29" s="54">
        <f>'SPL45'!D29+'SPL44'!D29+'SPL37'!D29+'SPL36'!D29+'SPL34'!D29+'SPL30'!D29+'SPL27'!D29+'SPL26'!D29+'SPL25'!D29+'SPL23'!D29+'SPL20'!D29+'SPL18'!D30+'SPL17'!D29+'SPL16'!D30+'SPL14'!D30+'SPL13'!D29+'SPL47'!D29+'SPL51'!D29+'SPL53'!D29+'SPL54'!D29+'SPL56'!D30+'SPL59'!D29+'SPL62'!D29+'SPL67'!D29+'SPL68'!D30+'SPL69'!D29+'SPL70'!D29+'SPL74'!D29+'SPL77'!D29+'SPL76'!D29+'SPL75'!D29+'SPL9'!D29+'SPL8'!D29+'SPL73'!D29+'SPL33'!D29+'SPL22'!D29+'SPL7'!D29+'SPL72'!D29</f>
        <v>20877.598152424944</v>
      </c>
      <c r="H29" s="7"/>
    </row>
    <row r="30" spans="1:9" ht="15" x14ac:dyDescent="0.3">
      <c r="A30" s="43" t="s">
        <v>66</v>
      </c>
      <c r="B30" s="46" t="s">
        <v>36</v>
      </c>
      <c r="C30" s="40">
        <f>IFERROR(VLOOKUP(B30,Liste!$C$7:$D$15,2,FALSE),"")</f>
        <v>1200</v>
      </c>
      <c r="D30" s="54">
        <f>'SPL45'!D30+'SPL44'!D30+'SPL37'!D30+'SPL36'!D30+'SPL34'!D30+'SPL30'!D30+'SPL27'!D30+'SPL26'!D30+'SPL25'!D30+'SPL23'!D30+'SPL20'!D30+'SPL18'!D31+'SPL17'!D30+'SPL16'!D31+'SPL14'!D31+'SPL13'!D30+'SPL47'!D30+'SPL51'!D30+'SPL53'!D30+'SPL54'!D30+'SPL56'!D31+'SPL59'!D30+'SPL62'!D30+'SPL67'!D30+'SPL68'!D31+'SPL69'!D30+'SPL70'!D30+'SPL74'!D30+'SPL77'!D30+'SPL76'!D30+'SPL75'!D30+'SPL9'!D30+'SPL8'!D30+'SPL73'!D30+'SPL33'!D30+'SPL22'!D30+'SPL7'!D30+'SPL72'!D30</f>
        <v>8937.6443418013878</v>
      </c>
      <c r="H30" s="7"/>
    </row>
    <row r="31" spans="1:9" ht="15" x14ac:dyDescent="0.3">
      <c r="A31" s="43" t="s">
        <v>67</v>
      </c>
      <c r="B31" s="46" t="s">
        <v>69</v>
      </c>
      <c r="C31" s="40" t="str">
        <f>IFERROR(VLOOKUP(B31,Liste!$C$7:$D$15,2,FALSE),"")</f>
        <v/>
      </c>
      <c r="D31" s="54">
        <f>'SPL45'!D31+'SPL44'!D31+'SPL37'!D31+'SPL36'!D31+'SPL34'!D31+'SPL30'!D31+'SPL27'!D31+'SPL26'!D31+'SPL25'!D31+'SPL23'!D31+'SPL20'!D31+'SPL18'!D32+'SPL17'!D31+'SPL16'!D32+'SPL14'!D32+'SPL13'!D31+'SPL47'!D31+'SPL51'!D31+'SPL53'!D31+'SPL54'!D31+'SPL56'!D32+'SPL59'!D31+'SPL62'!D31+'SPL67'!D31+'SPL68'!D32+'SPL69'!D31+'SPL70'!D31+'SPL74'!D31+'SPL77'!D31+'SPL76'!D31+'SPL75'!D31+'SPL9'!D31+'SPL8'!D31+'SPL73'!D31+'SPL33'!D31+'SPL22'!D31+'SPL7'!D31+'SPL72'!D31</f>
        <v>3926.0969976905321</v>
      </c>
      <c r="H31" s="7"/>
    </row>
    <row r="32" spans="1:9" ht="15" x14ac:dyDescent="0.3">
      <c r="A32" s="43" t="s">
        <v>68</v>
      </c>
      <c r="B32" s="46" t="s">
        <v>69</v>
      </c>
      <c r="C32" s="40" t="str">
        <f>IFERROR(VLOOKUP(B32,Liste!$C$7:$D$15,2,FALSE),"")</f>
        <v/>
      </c>
      <c r="D32" s="54">
        <f>'SPL45'!D32+'SPL44'!D32+'SPL37'!D32+'SPL36'!D32+'SPL34'!D32+'SPL30'!D32+'SPL27'!D32+'SPL26'!D32+'SPL25'!D32+'SPL23'!D32+'SPL20'!D32+'SPL18'!D33+'SPL17'!D32+'SPL16'!D33+'SPL14'!D33+'SPL13'!D32+'SPL47'!D32+'SPL51'!D32+'SPL53'!D32+'SPL54'!D32+'SPL56'!D33+'SPL59'!D32+'SPL62'!D32+'SPL67'!D32+'SPL68'!D33+'SPL69'!D32+'SPL70'!D32+'SPL74'!D32+'SPL77'!D32+'SPL76'!D32+'SPL75'!D32+'SPL9'!D32+'SPL8'!D32+'SPL73'!D32+'SPL33'!D32+'SPL22'!D32+'SPL7'!D32+'SPL72'!D32</f>
        <v>692.84064665127016</v>
      </c>
      <c r="H32" s="7"/>
    </row>
    <row r="33" spans="1:8" ht="15" x14ac:dyDescent="0.3">
      <c r="A33" s="43" t="s">
        <v>73</v>
      </c>
      <c r="B33" s="46" t="s">
        <v>69</v>
      </c>
      <c r="C33" s="40" t="str">
        <f>IFERROR(VLOOKUP(B33,Liste!$C$7:$D$15,2,FALSE),"")</f>
        <v/>
      </c>
      <c r="D33" s="54">
        <f>'SPL45'!D33+'SPL44'!D33+'SPL37'!D33+'SPL36'!D33+'SPL34'!D33+'SPL30'!D33+'SPL27'!D33+'SPL26'!D33+'SPL25'!D33+'SPL23'!D33+'SPL20'!D33+'SPL18'!D34+'SPL17'!D33+'SPL16'!D34+'SPL14'!D34+'SPL13'!D33+'SPL47'!D33+'SPL51'!D33+'SPL53'!D33+'SPL54'!D33+'SPL56'!D34+'SPL59'!D33+'SPL62'!D33+'SPL67'!D33+'SPL68'!D34+'SPL69'!D33+'SPL70'!D33+'SPL74'!D33+'SPL77'!D33+'SPL76'!D33+'SPL75'!D33+'SPL9'!D33+'SPL8'!D33+'SPL73'!D33+'SPL33'!D33+'SPL22'!D33+'SPL7'!D33+'SPL72'!D33</f>
        <v>230.94688221709006</v>
      </c>
      <c r="H33" s="7"/>
    </row>
    <row r="34" spans="1:8" ht="15" x14ac:dyDescent="0.25">
      <c r="A34" s="43" t="s">
        <v>2</v>
      </c>
      <c r="B34" s="41" t="s">
        <v>32</v>
      </c>
      <c r="C34" s="65">
        <v>1.4103000000000001</v>
      </c>
      <c r="D34" s="54">
        <f>'SPL45'!D34+'SPL44'!D34+'SPL37'!D34+'SPL36'!D34+'SPL34'!D34+'SPL30'!D34+'SPL27'!D34+'SPL26'!D34+'SPL25'!D34+'SPL23'!D34+'SPL20'!D34+'SPL18'!D35+'SPL17'!D34+'SPL16'!D35+'SPL14'!D35+'SPL13'!D34+'SPL47'!D34+'SPL51'!D34+'SPL53'!D34+'SPL54'!D34+'SPL56'!D35+'SPL59'!D34+'SPL62'!D34+'SPL67'!D34+'SPL68'!D35+'SPL69'!D34+'SPL70'!D34+'SPL74'!D34+'SPL77'!D34+'SPL76'!D34+'SPL75'!D34+'SPL9'!D34+'SPL8'!D34+'SPL73'!D34+'SPL33'!D34+'SPL22'!D34+'SPL7'!D34+'SPL72'!D34</f>
        <v>18589.075295939998</v>
      </c>
      <c r="E34" s="49"/>
      <c r="H34" s="7"/>
    </row>
    <row r="35" spans="1:8" ht="15" x14ac:dyDescent="0.25">
      <c r="A35" s="43" t="s">
        <v>2</v>
      </c>
      <c r="B35" s="41" t="s">
        <v>34</v>
      </c>
      <c r="C35" s="48">
        <v>0</v>
      </c>
      <c r="D35" s="54">
        <f>'SPL45'!D35+'SPL44'!D35+'SPL37'!D35+'SPL36'!D35+'SPL34'!D35+'SPL30'!D35+'SPL27'!D35+'SPL26'!D35+'SPL25'!D35+'SPL23'!D35+'SPL20'!D35+'SPL18'!D36+'SPL17'!D35+'SPL16'!D36+'SPL14'!D36+'SPL13'!D35+'SPL47'!D35+'SPL51'!D35+'SPL53'!D35+'SPL54'!D35+'SPL56'!D36+'SPL59'!D35+'SPL62'!D35+'SPL67'!D35+'SPL68'!D36+'SPL69'!D35+'SPL70'!D35+'SPL74'!D35+'SPL77'!D35+'SPL76'!D35+'SPL75'!D35+'SPL9'!D35+'SPL8'!D35+'SPL73'!D35+'SPL33'!D35+'SPL22'!D35+'SPL7'!D35+'SPL72'!D35</f>
        <v>14137.6162551</v>
      </c>
      <c r="H35" s="7"/>
    </row>
    <row r="36" spans="1:8" ht="15" x14ac:dyDescent="0.3">
      <c r="A36" s="43" t="s">
        <v>3</v>
      </c>
      <c r="B36" s="42"/>
      <c r="C36" s="65">
        <v>0.4289</v>
      </c>
      <c r="D36" s="54">
        <f>'SPL45'!D36+'SPL44'!D36+'SPL37'!D36+'SPL36'!D36+'SPL34'!D36+'SPL30'!D36+'SPL27'!D36+'SPL26'!D36+'SPL25'!D36+'SPL23'!D36+'SPL20'!D36+'SPL18'!D37+'SPL17'!D36+'SPL16'!D37+'SPL14'!D37+'SPL13'!D36+'SPL47'!D36+'SPL51'!D36+'SPL53'!D36+'SPL54'!D36+'SPL56'!D37+'SPL59'!D36+'SPL62'!D36+'SPL67'!D36+'SPL68'!D37+'SPL69'!D36+'SPL70'!D36+'SPL74'!D36+'SPL77'!D36+'SPL76'!D36+'SPL75'!D36+'SPL9'!D36+'SPL8'!D36+'SPL73'!D36+'SPL33'!D36+'SPL22'!D36+'SPL7'!D36+'SPL72'!D36</f>
        <v>404.98308860000003</v>
      </c>
      <c r="H36" s="7"/>
    </row>
    <row r="37" spans="1:8" ht="15" x14ac:dyDescent="0.3">
      <c r="A37" s="43" t="s">
        <v>4</v>
      </c>
      <c r="B37" s="42"/>
      <c r="C37" s="48">
        <v>1.2481</v>
      </c>
      <c r="D37" s="54">
        <f>'SPL45'!D37+'SPL44'!D37+'SPL37'!D37+'SPL36'!D37+'SPL34'!D37+'SPL30'!D37+'SPL27'!D37+'SPL26'!D37+'SPL25'!D37+'SPL23'!D37+'SPL20'!D37+'SPL18'!D38+'SPL17'!D37+'SPL16'!D38+'SPL14'!D38+'SPL13'!D37+'SPL47'!D37+'SPL51'!D37+'SPL53'!D37+'SPL54'!D37+'SPL56'!D38+'SPL59'!D37+'SPL62'!D37+'SPL67'!D37+'SPL68'!D38+'SPL69'!D37+'SPL70'!D37+'SPL74'!D37+'SPL77'!D37+'SPL76'!D37+'SPL75'!D37+'SPL9'!D37+'SPL8'!D37+'SPL73'!D37+'SPL33'!D37+'SPL22'!D37+'SPL7'!D37+'SPL72'!D37</f>
        <v>79.606153846153859</v>
      </c>
      <c r="H37" s="7"/>
    </row>
    <row r="38" spans="1:8" ht="30" x14ac:dyDescent="0.3">
      <c r="A38" s="43" t="s">
        <v>52</v>
      </c>
      <c r="B38" s="42"/>
      <c r="C38" s="44">
        <v>0.04</v>
      </c>
      <c r="D38" s="54">
        <f>'SPL45'!D38+'SPL44'!D38+'SPL37'!D38+'SPL36'!D38+'SPL34'!D38+'SPL30'!D38+'SPL27'!D38+'SPL26'!D38+'SPL25'!D38+'SPL23'!D38+'SPL20'!D38+'SPL18'!D39+'SPL17'!D38+'SPL16'!D39+'SPL14'!D39+'SPL13'!D38+'SPL47'!D38+'SPL51'!D38+'SPL53'!D38+'SPL54'!D38+'SPL56'!D39+'SPL59'!D38+'SPL62'!D38+'SPL67'!D38+'SPL68'!D39+'SPL69'!D38+'SPL70'!D38+'SPL74'!D38+'SPL77'!D38+'SPL76'!D38+'SPL75'!D38+'SPL9'!D38+'SPL8'!D38+'SPL73'!D38+'SPL33'!D38+'SPL22'!D38+'SPL7'!D38+'SPL72'!D38</f>
        <v>3381.8000000000006</v>
      </c>
      <c r="E38" s="49"/>
      <c r="H38" s="7"/>
    </row>
    <row r="39" spans="1:8" ht="15" x14ac:dyDescent="0.25">
      <c r="A39" s="43" t="s">
        <v>13</v>
      </c>
      <c r="B39" s="41">
        <f>B12</f>
        <v>0</v>
      </c>
      <c r="C39" s="56">
        <v>5</v>
      </c>
      <c r="D39" s="54">
        <f>'SPL45'!D39+'SPL44'!D39+'SPL37'!D39+'SPL36'!D39+'SPL34'!D39+'SPL30'!D39+'SPL27'!D39+'SPL26'!D39+'SPL25'!D39+'SPL23'!D39+'SPL20'!D39+'SPL18'!D40+'SPL17'!D39+'SPL16'!D40+'SPL14'!D40+'SPL13'!D39+'SPL47'!D39+'SPL51'!D39+'SPL53'!D39+'SPL54'!D39+'SPL56'!D40+'SPL59'!D39+'SPL62'!D39+'SPL67'!D39+'SPL68'!D40+'SPL69'!D39+'SPL70'!D39+'SPL74'!D39+'SPL77'!D39+'SPL76'!D39+'SPL75'!D39+'SPL9'!D39+'SPL8'!D39+'SPL73'!D39+'SPL33'!D39+'SPL22'!D39+'SPL7'!D39+'SPL72'!D39</f>
        <v>6299.85</v>
      </c>
      <c r="E39" s="85"/>
      <c r="H39" s="7"/>
    </row>
    <row r="40" spans="1:8" ht="15" x14ac:dyDescent="0.25">
      <c r="A40" s="43" t="s">
        <v>14</v>
      </c>
      <c r="B40" s="48" t="s">
        <v>55</v>
      </c>
      <c r="C40" s="40">
        <v>1</v>
      </c>
      <c r="D40" s="54">
        <f>'SPL45'!D40+'SPL44'!D40+'SPL37'!D40+'SPL36'!D40+'SPL34'!D40+'SPL30'!D40+'SPL27'!D40+'SPL26'!D40+'SPL25'!D40+'SPL23'!D40+'SPL20'!D40+'SPL18'!D41+'SPL17'!D40+'SPL16'!D41+'SPL14'!D41+'SPL13'!D40+'SPL47'!D40+'SPL51'!D40+'SPL53'!D40+'SPL54'!D40+'SPL56'!D41+'SPL59'!D40+'SPL62'!D40+'SPL67'!D40+'SPL68'!D41+'SPL69'!D40+'SPL70'!D40+'SPL74'!D40+'SPL77'!D40+'SPL76'!D40+'SPL75'!D40+'SPL9'!D40+'SPL8'!D40+'SPL73'!D40+'SPL33'!D40+'SPL22'!D40+'SPL7'!D40+'SPL72'!D40</f>
        <v>51186.43</v>
      </c>
      <c r="E40" s="49"/>
      <c r="H40" s="7"/>
    </row>
    <row r="41" spans="1:8" ht="15" x14ac:dyDescent="0.3">
      <c r="A41" s="43" t="s">
        <v>60</v>
      </c>
      <c r="B41" s="42"/>
      <c r="C41" s="42"/>
      <c r="D41" s="54">
        <f>'SPL45'!D41+'SPL44'!D41+'SPL37'!D41+'SPL36'!D41+'SPL34'!D41+'SPL30'!D41+'SPL27'!D41+'SPL26'!D41+'SPL25'!D41+'SPL23'!D41+'SPL20'!D41+'SPL18'!D42+'SPL17'!D41+'SPL16'!D42+'SPL14'!D42+'SPL13'!D41+'SPL47'!D41+'SPL51'!D41+'SPL53'!D41+'SPL54'!D41+'SPL56'!D42+'SPL59'!D41+'SPL62'!D41+'SPL67'!D41+'SPL68'!D42+'SPL69'!D41+'SPL70'!D41+'SPL74'!D41+'SPL77'!D41+'SPL76'!D41+'SPL75'!D41+'SPL9'!D41+'SPL8'!D41+'SPL73'!D41+'SPL33'!D41+'SPL22'!D41+'SPL7'!D41+'SPL72'!D41</f>
        <v>0</v>
      </c>
      <c r="E41" s="49"/>
      <c r="H41" s="7"/>
    </row>
    <row r="42" spans="1:8" ht="15" x14ac:dyDescent="0.25">
      <c r="A42" s="43" t="s">
        <v>1</v>
      </c>
      <c r="B42" s="48" t="s">
        <v>65</v>
      </c>
      <c r="C42" s="40">
        <f>IF(B42=Liste!A24,Liste!B18,0)</f>
        <v>0</v>
      </c>
      <c r="D42" s="54">
        <f>'SPL45'!D42+'SPL44'!D42+'SPL37'!D42+'SPL36'!D42+'SPL34'!D42+'SPL30'!D42+'SPL27'!D42+'SPL26'!D42+'SPL25'!D42+'SPL23'!D42+'SPL20'!D42+'SPL18'!D43+'SPL17'!D42+'SPL16'!D43+'SPL14'!D43+'SPL13'!D42+'SPL47'!D42+'SPL51'!D42+'SPL53'!D42+'SPL54'!D42+'SPL56'!D43+'SPL59'!D42+'SPL62'!D42+'SPL67'!D42+'SPL68'!D43+'SPL69'!D42+'SPL70'!D42+'SPL74'!D42+'SPL77'!D42+'SPL76'!D42+'SPL75'!D42+'SPL9'!D42+'SPL8'!D42+'SPL73'!D42+'SPL33'!D42+'SPL22'!D42+'SPL7'!D42+'SPL72'!D42</f>
        <v>0</v>
      </c>
      <c r="H42" s="7"/>
    </row>
    <row r="43" spans="1:8" ht="15" x14ac:dyDescent="0.3">
      <c r="A43" s="45" t="s">
        <v>50</v>
      </c>
      <c r="B43" s="42"/>
      <c r="C43" s="40">
        <v>0</v>
      </c>
      <c r="D43" s="54">
        <f>'SPL45'!D43+'SPL44'!D43+'SPL37'!D43+'SPL36'!D43+'SPL34'!D43+'SPL30'!D43+'SPL27'!D43+'SPL26'!D43+'SPL25'!D43+'SPL23'!D43+'SPL20'!D43+'SPL18'!D44+'SPL17'!D43+'SPL16'!D44+'SPL14'!D44+'SPL13'!D43+'SPL47'!D43+'SPL51'!D43+'SPL53'!D43+'SPL54'!D43+'SPL56'!D44+'SPL59'!D43+'SPL62'!D43+'SPL67'!D43+'SPL68'!D44+'SPL69'!D43+'SPL70'!D43+'SPL74'!D43+'SPL77'!D43+'SPL76'!D43+'SPL75'!D43+'SPL9'!D43+'SPL8'!D43+'SPL73'!D43+'SPL33'!D43+'SPL22'!D43+'SPL7'!D43+'SPL72'!D43</f>
        <v>0</v>
      </c>
      <c r="H43" s="7"/>
    </row>
    <row r="44" spans="1:8" ht="15" customHeight="1" x14ac:dyDescent="0.25">
      <c r="A44" s="50"/>
      <c r="B44" s="51"/>
      <c r="C44" s="52"/>
    </row>
    <row r="45" spans="1:8" x14ac:dyDescent="0.25">
      <c r="C45" s="6" t="s">
        <v>47</v>
      </c>
      <c r="D45" s="47">
        <f>SUM(D29:D43)</f>
        <v>128744.48781427139</v>
      </c>
    </row>
    <row r="46" spans="1:8" x14ac:dyDescent="0.25">
      <c r="C46" s="6" t="s">
        <v>49</v>
      </c>
      <c r="D46" s="47">
        <f>F24-D45</f>
        <v>35473.763578628656</v>
      </c>
    </row>
    <row r="48" spans="1:8" ht="39" customHeight="1" x14ac:dyDescent="0.25">
      <c r="C48" s="58" t="s">
        <v>48</v>
      </c>
      <c r="D48" s="59">
        <f>D46/F24</f>
        <v>0.21601596215852997</v>
      </c>
    </row>
  </sheetData>
  <mergeCells count="7">
    <mergeCell ref="A27:G27"/>
    <mergeCell ref="A16:G23"/>
    <mergeCell ref="A1:G1"/>
    <mergeCell ref="A3:G3"/>
    <mergeCell ref="F4:F5"/>
    <mergeCell ref="G4:G5"/>
    <mergeCell ref="B24:E24"/>
  </mergeCells>
  <hyperlinks>
    <hyperlink ref="A25" location="Sommaire!A1" display="SOMMAIRE" xr:uid="{AD858DF8-B7BB-4B75-B3C0-06196918C7FA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25C2147-C1F6-47A9-8479-188CD7385A9B}">
          <x14:formula1>
            <xm:f>Liste!$C$7:$C$16</xm:f>
          </x14:formula1>
          <xm:sqref>B30:B33</xm:sqref>
        </x14:dataValidation>
        <x14:dataValidation type="list" allowBlank="1" showInputMessage="1" showErrorMessage="1" xr:uid="{91E40672-3C10-486D-BAC2-6421040E5C14}">
          <x14:formula1>
            <xm:f>Liste!$A$24:$A$25</xm:f>
          </x14:formula1>
          <xm:sqref>B42</xm:sqref>
        </x14:dataValidation>
        <x14:dataValidation type="list" allowBlank="1" showInputMessage="1" showErrorMessage="1" xr:uid="{5F7161AA-28A7-41A0-9C56-4B4C2E723869}">
          <x14:formula1>
            <xm:f>Liste!$A$21:$A$22</xm:f>
          </x14:formula1>
          <xm:sqref>B40</xm:sqref>
        </x14:dataValidation>
        <x14:dataValidation type="list" allowBlank="1" showInputMessage="1" showErrorMessage="1" xr:uid="{EC58E640-CD52-4A58-8C8B-77B2F083BDCF}">
          <x14:formula1>
            <xm:f>Liste!$C$2:$C$5</xm:f>
          </x14:formula1>
          <xm:sqref>B29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5168B998D8DC4BB8569C7989CFC48A" ma:contentTypeVersion="19" ma:contentTypeDescription="Crée un document." ma:contentTypeScope="" ma:versionID="5f8c802aaa5d458ab790aaa7b8aa7b3a">
  <xsd:schema xmlns:xsd="http://www.w3.org/2001/XMLSchema" xmlns:xs="http://www.w3.org/2001/XMLSchema" xmlns:p="http://schemas.microsoft.com/office/2006/metadata/properties" xmlns:ns2="7e1279f2-f548-4bd3-b1c3-dd63eb32eba7" xmlns:ns3="e5076fa8-34d5-458e-9810-0fa82f14e6dd" targetNamespace="http://schemas.microsoft.com/office/2006/metadata/properties" ma:root="true" ma:fieldsID="0fe6eac722999b88b8bdaab1ba028d21" ns2:_="" ns3:_="">
    <xsd:import namespace="7e1279f2-f548-4bd3-b1c3-dd63eb32eba7"/>
    <xsd:import namespace="e5076fa8-34d5-458e-9810-0fa82f14e6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1279f2-f548-4bd3-b1c3-dd63eb32eba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4676710-ed98-4ebb-9bc9-bac3fed1c517}" ma:internalName="TaxCatchAll" ma:showField="CatchAllData" ma:web="7e1279f2-f548-4bd3-b1c3-dd63eb32eb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076fa8-34d5-458e-9810-0fa82f14e6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c91b482d-9a43-4f29-b8b0-61d0563f98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5076fa8-34d5-458e-9810-0fa82f14e6dd">
      <Terms xmlns="http://schemas.microsoft.com/office/infopath/2007/PartnerControls"/>
    </lcf76f155ced4ddcb4097134ff3c332f>
    <TaxCatchAll xmlns="7e1279f2-f548-4bd3-b1c3-dd63eb32eba7" xsi:nil="true"/>
  </documentManagement>
</p:properties>
</file>

<file path=customXml/itemProps1.xml><?xml version="1.0" encoding="utf-8"?>
<ds:datastoreItem xmlns:ds="http://schemas.openxmlformats.org/officeDocument/2006/customXml" ds:itemID="{B2DC9A91-7E55-4B81-B3E3-EC5E6C93B945}"/>
</file>

<file path=customXml/itemProps2.xml><?xml version="1.0" encoding="utf-8"?>
<ds:datastoreItem xmlns:ds="http://schemas.openxmlformats.org/officeDocument/2006/customXml" ds:itemID="{4846AE1D-6594-43FE-9D40-1C2D6E8051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DF120B-D0CB-49EC-8793-DB347455FDE4}">
  <ds:schemaRefs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elements/1.1/"/>
    <ds:schemaRef ds:uri="e5076fa8-34d5-458e-9810-0fa82f14e6dd"/>
    <ds:schemaRef ds:uri="7e1279f2-f548-4bd3-b1c3-dd63eb32eba7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70</vt:i4>
      </vt:variant>
      <vt:variant>
        <vt:lpstr>Plages nommées</vt:lpstr>
      </vt:variant>
      <vt:variant>
        <vt:i4>1</vt:i4>
      </vt:variant>
    </vt:vector>
  </HeadingPairs>
  <TitlesOfParts>
    <vt:vector size="71" baseType="lpstr">
      <vt:lpstr>Liste</vt:lpstr>
      <vt:lpstr>Sommaire</vt:lpstr>
      <vt:lpstr>CM4</vt:lpstr>
      <vt:lpstr>CM6</vt:lpstr>
      <vt:lpstr>CM8</vt:lpstr>
      <vt:lpstr>CM9</vt:lpstr>
      <vt:lpstr>CM10</vt:lpstr>
      <vt:lpstr>CM5</vt:lpstr>
      <vt:lpstr>CM44</vt:lpstr>
      <vt:lpstr>CM53</vt:lpstr>
      <vt:lpstr>CM7</vt:lpstr>
      <vt:lpstr>CM14</vt:lpstr>
      <vt:lpstr>CM15</vt:lpstr>
      <vt:lpstr>CM19</vt:lpstr>
      <vt:lpstr>CM23</vt:lpstr>
      <vt:lpstr>CM25</vt:lpstr>
      <vt:lpstr>CM26</vt:lpstr>
      <vt:lpstr>CM59</vt:lpstr>
      <vt:lpstr>CM60</vt:lpstr>
      <vt:lpstr>CM48</vt:lpstr>
      <vt:lpstr>CM42</vt:lpstr>
      <vt:lpstr>CM41</vt:lpstr>
      <vt:lpstr>CM39</vt:lpstr>
      <vt:lpstr>CM37</vt:lpstr>
      <vt:lpstr>CM34</vt:lpstr>
      <vt:lpstr>CM29</vt:lpstr>
      <vt:lpstr>CM27</vt:lpstr>
      <vt:lpstr>CM24</vt:lpstr>
      <vt:lpstr>CM21</vt:lpstr>
      <vt:lpstr>CM61</vt:lpstr>
      <vt:lpstr>Cumul CM</vt:lpstr>
      <vt:lpstr>SPL72</vt:lpstr>
      <vt:lpstr>SPL7</vt:lpstr>
      <vt:lpstr>SPL22</vt:lpstr>
      <vt:lpstr>SPL33</vt:lpstr>
      <vt:lpstr>SPL73</vt:lpstr>
      <vt:lpstr>SPL8</vt:lpstr>
      <vt:lpstr>SPL9</vt:lpstr>
      <vt:lpstr>SPL75</vt:lpstr>
      <vt:lpstr>SPL76</vt:lpstr>
      <vt:lpstr>SPL77</vt:lpstr>
      <vt:lpstr>SPL74</vt:lpstr>
      <vt:lpstr>SPL70</vt:lpstr>
      <vt:lpstr>SPL69</vt:lpstr>
      <vt:lpstr>SPL68</vt:lpstr>
      <vt:lpstr>SPL67</vt:lpstr>
      <vt:lpstr>SPL62</vt:lpstr>
      <vt:lpstr>SPL59</vt:lpstr>
      <vt:lpstr>SPL56</vt:lpstr>
      <vt:lpstr>SPL54</vt:lpstr>
      <vt:lpstr>SPL53</vt:lpstr>
      <vt:lpstr>SPL51</vt:lpstr>
      <vt:lpstr>SPL47</vt:lpstr>
      <vt:lpstr>SPL13</vt:lpstr>
      <vt:lpstr>SPL14</vt:lpstr>
      <vt:lpstr>SPL16</vt:lpstr>
      <vt:lpstr>SPL17</vt:lpstr>
      <vt:lpstr>SPL18</vt:lpstr>
      <vt:lpstr>SPL20</vt:lpstr>
      <vt:lpstr>SPL23</vt:lpstr>
      <vt:lpstr>SPL25</vt:lpstr>
      <vt:lpstr>SPL26</vt:lpstr>
      <vt:lpstr>SPL27</vt:lpstr>
      <vt:lpstr>SPL30</vt:lpstr>
      <vt:lpstr>SPL34</vt:lpstr>
      <vt:lpstr>SPL36</vt:lpstr>
      <vt:lpstr>SPL37</vt:lpstr>
      <vt:lpstr>SPL44</vt:lpstr>
      <vt:lpstr>SPL45</vt:lpstr>
      <vt:lpstr>CUMUL SPL</vt:lpstr>
      <vt:lpstr>'CM4'!Zone_d_impression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llefrancois</dc:creator>
  <cp:lastModifiedBy>Laurent LEFRANCOIS</cp:lastModifiedBy>
  <cp:lastPrinted>2025-04-24T14:31:12Z</cp:lastPrinted>
  <dcterms:created xsi:type="dcterms:W3CDTF">2017-03-14T12:06:08Z</dcterms:created>
  <dcterms:modified xsi:type="dcterms:W3CDTF">2026-04-13T12:54:24Z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0x010100665168B998D8DC4BB8569C7989CFC48A</vt:lpwstr>
  </property>
  <property fmtid="{D5CDD505-2E9C-101B-9397-08002B2CF9AE}" pid="3" name="MediaServiceImageTags">
    <vt:lpwstr/>
  </property>
</Properties>
</file>
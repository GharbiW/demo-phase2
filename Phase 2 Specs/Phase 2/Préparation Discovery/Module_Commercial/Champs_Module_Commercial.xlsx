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Champs" sheetId="2" state="visible" r:id="rId4"/>
    <sheet name="Synthèse blocs" sheetId="3" state="visible" r:id="rId5"/>
    <sheet name="Référentiels" sheetId="4" state="visible" r:id="rId6"/>
  </sheets>
  <definedNames>
    <definedName function="false" hidden="true" localSheetId="1" name="_xlnm._FilterDatabase" vbProcedure="false">Champs!$A$1:$K$72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<sst xmlns="http://schemas.openxmlformats.org/spreadsheetml/2006/main" count="827" uniqueCount="449">
  <si>
    <t xml:space="preserve">Champs Module Commercial — Parnass Phase 2</t>
  </si>
  <si>
    <t xml:space="preserve">Source : Discovery Renta d'Exploitation + Indexation Carburant 2026 + Renta Avril 2025</t>
  </si>
  <si>
    <t xml:space="preserve">Lecture du document</t>
  </si>
  <si>
    <t xml:space="preserve">Onglet « Champs »</t>
  </si>
  <si>
    <t xml:space="preserve">Vue détaillée des 71 champs identifiés, regroupés par bloc fonctionnel.</t>
  </si>
  <si>
    <t xml:space="preserve">Onglet « Synthèse blocs »</t>
  </si>
  <si>
    <t xml:space="preserve">Comptage par bloc et par localisation (commercial / référentiel / auto).</t>
  </si>
  <si>
    <t xml:space="preserve">Onglet « Référentiels »</t>
  </si>
  <si>
    <t xml:space="preserve">Liste des tables externes à créer pour soutenir le module.</t>
  </si>
  <si>
    <t xml:space="preserve">Code couleur « Existe déjà »</t>
  </si>
  <si>
    <t xml:space="preserve">Vert = oui · Orange = partiel · Rouge = non.</t>
  </si>
  <si>
    <t xml:space="preserve">Code couleur « Priorité MVP »</t>
  </si>
  <si>
    <t xml:space="preserve">Rouge = critique · Orange = élevée · Jaune = moyenne · Gris = faible.</t>
  </si>
  <si>
    <t xml:space="preserve">Compteurs globaux</t>
  </si>
  <si>
    <t xml:space="preserve">Total champs identifiés</t>
  </si>
  <si>
    <t xml:space="preserve">Existe déjà</t>
  </si>
  <si>
    <t xml:space="preserve">Partiellement présent</t>
  </si>
  <si>
    <t xml:space="preserve">À créer</t>
  </si>
  <si>
    <t xml:space="preserve">Champs Module Commercial (saisie)</t>
  </si>
  <si>
    <t xml:space="preserve">Champs en table externe (référentiel)</t>
  </si>
  <si>
    <t xml:space="preserve">Champs auto-calculés</t>
  </si>
  <si>
    <t xml:space="preserve">N°</t>
  </si>
  <si>
    <t xml:space="preserve">Bloc</t>
  </si>
  <si>
    <t xml:space="preserve">Champ</t>
  </si>
  <si>
    <t xml:space="preserve">Type de donnée</t>
  </si>
  <si>
    <t xml:space="preserve">Valeurs / exemples</t>
  </si>
  <si>
    <t xml:space="preserve">Poste(s) alimenté(s)</t>
  </si>
  <si>
    <t xml:space="preserve">Existe déjà ?</t>
  </si>
  <si>
    <t xml:space="preserve">Localisation recommandée</t>
  </si>
  <si>
    <t xml:space="preserve">Justification du choix</t>
  </si>
  <si>
    <t xml:space="preserve">Priorité MVP</t>
  </si>
  <si>
    <t xml:space="preserve">Source / commentaire</t>
  </si>
  <si>
    <t xml:space="preserve">A · Identification &amp; contrat</t>
  </si>
  <si>
    <t xml:space="preserve">Référence prestation</t>
  </si>
  <si>
    <t xml:space="preserve">Texte</t>
  </si>
  <si>
    <t xml:space="preserve">Ex. « GLS Trappes-Coudray »</t>
  </si>
  <si>
    <t xml:space="preserve">Identifiant</t>
  </si>
  <si>
    <t xml:space="preserve">Non</t>
  </si>
  <si>
    <t xml:space="preserve">Module commercial</t>
  </si>
  <si>
    <t xml:space="preserve">Identifie chaque presta dans listes, rapports, recettes.</t>
  </si>
  <si>
    <t xml:space="preserve">Critique</t>
  </si>
  <si>
    <t xml:space="preserve">Renta Avril 2025 ligne 15</t>
  </si>
  <si>
    <t xml:space="preserve">Client</t>
  </si>
  <si>
    <t xml:space="preserve">Référence</t>
  </si>
  <si>
    <t xml:space="preserve">Ex. CHRONOPOST CHILLY, CAT, GLS</t>
  </si>
  <si>
    <t xml:space="preserve">Indexation, casse, droits</t>
  </si>
  <si>
    <t xml:space="preserve">Référentiel Clients + lien commercial</t>
  </si>
  <si>
    <t xml:space="preserve">Donnée maîtresse — héritage de règles tarifaires.</t>
  </si>
  <si>
    <t xml:space="preserve">Indexation Client 2026 col. A</t>
  </si>
  <si>
    <t xml:space="preserve">Contrat parent</t>
  </si>
  <si>
    <t xml:space="preserve">Ex. « IVELI_FRIDF SR1 »</t>
  </si>
  <si>
    <t xml:space="preserve">Héritage tarif + indexation</t>
  </si>
  <si>
    <t xml:space="preserve">Référentiel Contrats + lien commercial</t>
  </si>
  <si>
    <t xml:space="preserve">Permet héritage auto des règles indexation / tarif.</t>
  </si>
  <si>
    <t xml:space="preserve">Indexation Client 2026 col. B</t>
  </si>
  <si>
    <t xml:space="preserve">Code Facturation</t>
  </si>
  <si>
    <t xml:space="preserve">CAT, CEVAGEN, CHCMZ</t>
  </si>
  <si>
    <t xml:space="preserve">Indexation, facturation</t>
  </si>
  <si>
    <t xml:space="preserve">Référentiel Contrats (hérité)</t>
  </si>
  <si>
    <t xml:space="preserve">Code court par contrat utilisé en indexation.</t>
  </si>
  <si>
    <t xml:space="preserve">Élevée</t>
  </si>
  <si>
    <t xml:space="preserve">Indexation Client 2026 col. C</t>
  </si>
  <si>
    <t xml:space="preserve">Date début presta</t>
  </si>
  <si>
    <t xml:space="preserve">Date</t>
  </si>
  <si>
    <t xml:space="preserve">01/03/2026</t>
  </si>
  <si>
    <t xml:space="preserve">CA, ventilation</t>
  </si>
  <si>
    <t xml:space="preserve">« Date de chargement fait foi pour facturation » (Discovery Rev-CA).</t>
  </si>
  <si>
    <t xml:space="preserve">Excel Rev-CA B25</t>
  </si>
  <si>
    <t xml:space="preserve">Date fin presta</t>
  </si>
  <si>
    <t xml:space="preserve">31/03/2026</t>
  </si>
  <si>
    <t xml:space="preserve">Bornes du contrat / de la presta.</t>
  </si>
  <si>
    <t xml:space="preserve">Fréquence</t>
  </si>
  <si>
    <t xml:space="preserve">Énum</t>
  </si>
  <si>
    <t xml:space="preserve">Lundi-Vendredi / Hebdo / Quotidien / Mensuel / One-shot</t>
  </si>
  <si>
    <t xml:space="preserve">CA</t>
  </si>
  <si>
    <t xml:space="preserve">Détermine la quantité × montant unitaire.</t>
  </si>
  <si>
    <t xml:space="preserve">Renta Avril 2025 B15</t>
  </si>
  <si>
    <t xml:space="preserve">Quantité (cycles)</t>
  </si>
  <si>
    <t xml:space="preserve">Nombre</t>
  </si>
  <si>
    <t xml:space="preserve">5 (jours/sem.) · 20 (jours/mois)</t>
  </si>
  <si>
    <t xml:space="preserve">CA = montant unitaire × quantité.</t>
  </si>
  <si>
    <t xml:space="preserve">Renta Avril 2025 D15</t>
  </si>
  <si>
    <t xml:space="preserve">Code déchargement / Badge</t>
  </si>
  <si>
    <t xml:space="preserve">BADGE-042</t>
  </si>
  <si>
    <t xml:space="preserve">Identification</t>
  </si>
  <si>
    <t xml:space="preserve">Oui</t>
  </si>
  <si>
    <t xml:space="preserve">Conservé tel quel — déjà présent.</t>
  </si>
  <si>
    <t xml:space="preserve">Faible</t>
  </si>
  <si>
    <t xml:space="preserve">Notes / commentaires</t>
  </si>
  <si>
    <t xml:space="preserve">Texte libre</t>
  </si>
  <si>
    <t xml:space="preserve">Instructions particulières</t>
  </si>
  <si>
    <t xml:space="preserve">—</t>
  </si>
  <si>
    <t xml:space="preserve">B · Tarification (CA)</t>
  </si>
  <si>
    <t xml:space="preserve">Type de tarif</t>
  </si>
  <si>
    <t xml:space="preserve">Forfaitaire / TK / Taux horaire / Trinome</t>
  </si>
  <si>
    <t xml:space="preserve">Partiel</t>
  </si>
  <si>
    <t xml:space="preserve">Existant à étendre : ajouter « Trinome » (Discovery).</t>
  </si>
  <si>
    <t xml:space="preserve">Excel Rev-CA B10-B14</t>
  </si>
  <si>
    <t xml:space="preserve">Montant unitaire</t>
  </si>
  <si>
    <t xml:space="preserve">€</t>
  </si>
  <si>
    <t xml:space="preserve">477,50 €</t>
  </si>
  <si>
    <t xml:space="preserve">Champ existant — OK.</t>
  </si>
  <si>
    <t xml:space="preserve">Unité</t>
  </si>
  <si>
    <t xml:space="preserve">Jour / Km / Heure / Forfait</t>
  </si>
  <si>
    <t xml:space="preserve">Existant — étendre selon type de tarif.</t>
  </si>
  <si>
    <t xml:space="preserve">Km contractuel (TK)</t>
  </si>
  <si>
    <t xml:space="preserve">62 km, 129 km</t>
  </si>
  <si>
    <t xml:space="preserve">CA + indexation</t>
  </si>
  <si>
    <t xml:space="preserve">Module commercial (conditionnel)</t>
  </si>
  <si>
    <t xml:space="preserve">Conditionnel si type = TK ou Trinome.</t>
  </si>
  <si>
    <t xml:space="preserve">Indexation Client 2026 col. H « Valeur de Réf. »</t>
  </si>
  <si>
    <t xml:space="preserve">Heures contractuelles</t>
  </si>
  <si>
    <t xml:space="preserve">35 h</t>
  </si>
  <si>
    <t xml:space="preserve">Conditionnel si type = Taux horaire ou Trinome.</t>
  </si>
  <si>
    <t xml:space="preserve">Excel Rev-CA B13</t>
  </si>
  <si>
    <t xml:space="preserve">Forfait matériel (Trinome)</t>
  </si>
  <si>
    <t xml:space="preserve">500 €</t>
  </si>
  <si>
    <t xml:space="preserve">Conditionnel si type = Trinome.</t>
  </si>
  <si>
    <t xml:space="preserve">Excel Rev-CA B14</t>
  </si>
  <si>
    <t xml:space="preserve">Règle de dépassement</t>
  </si>
  <si>
    <t xml:space="preserve">Km supp / Tx horaire add. / Aucun</t>
  </si>
  <si>
    <t xml:space="preserve">Convention atelier Discovery.</t>
  </si>
  <si>
    <t xml:space="preserve">Moyenne</t>
  </si>
  <si>
    <t xml:space="preserve">Excel Rev-CA B11</t>
  </si>
  <si>
    <t xml:space="preserve">Règle répartition multi-ressources</t>
  </si>
  <si>
    <t xml:space="preserve">Prorata h / Prorata km / Égalitaire / Conducteur principal seul</t>
  </si>
  <si>
    <t xml:space="preserve">CA + 06</t>
  </si>
  <si>
    <t xml:space="preserve">Question soulevée par Raphaela (commentaire Excel A24/A41).</t>
  </si>
  <si>
    <t xml:space="preserve">Excel Rev-CA commentaire A24</t>
  </si>
  <si>
    <t xml:space="preserve">C · Indexation carburant</t>
  </si>
  <si>
    <t xml:space="preserve">Type de carburant</t>
  </si>
  <si>
    <t xml:space="preserve">Gasoil B7 / GNV / GNL / HVO100 / Électrique</t>
  </si>
  <si>
    <t xml:space="preserve">Indexation, 03, 05</t>
  </si>
  <si>
    <t xml:space="preserve">Référentiel Contrats (hérité) — override presta possible</t>
  </si>
  <si>
    <t xml:space="preserve">Stable au niveau contrat ; override exceptionnel.</t>
  </si>
  <si>
    <t xml:space="preserve">Excel Rev-index B14</t>
  </si>
  <si>
    <t xml:space="preserve">Indice de référence</t>
  </si>
  <si>
    <t xml:space="preserve">Sélecteur</t>
  </si>
  <si>
    <t xml:space="preserve">CNR GO PRO M-1 / CNR Gasoil HTVA / PMM DIREM M-1 / CNR GNV / CNR fioul</t>
  </si>
  <si>
    <t xml:space="preserve">Indexation</t>
  </si>
  <si>
    <t xml:space="preserve">5 indices CNR distincts + bascule DIREM (jan. 2026).</t>
  </si>
  <si>
    <t xml:space="preserve">Indexation Client 2026 col. E</t>
  </si>
  <si>
    <t xml:space="preserve">Valeur de l'indice de référence</t>
  </si>
  <si>
    <t xml:space="preserve">Décimal</t>
  </si>
  <si>
    <t xml:space="preserve">174,88 (CAT) · 1,1654 (Chronopost)</t>
  </si>
  <si>
    <t xml:space="preserve">Valeur figée au moment de la signature contrat.</t>
  </si>
  <si>
    <t xml:space="preserve">Indexation Client 2026 col. D</t>
  </si>
  <si>
    <t xml:space="preserve">Date de l'indice de référence</t>
  </si>
  <si>
    <t xml:space="preserve">01/01/2024</t>
  </si>
  <si>
    <t xml:space="preserve">Date de l'indice base contractuelle.</t>
  </si>
  <si>
    <t xml:space="preserve">Mode temporel</t>
  </si>
  <si>
    <t xml:space="preserve">M / M-1 (majoritaire) / M-2 / Semaine</t>
  </si>
  <si>
    <t xml:space="preserve">Décalage temporel d'application de l'indice.</t>
  </si>
  <si>
    <t xml:space="preserve">Restitution HTML §06</t>
  </si>
  <si>
    <t xml:space="preserve">Mode de facturation IGO</t>
  </si>
  <si>
    <t xml:space="preserve">% Pied de facture / Sur Km</t>
  </si>
  <si>
    <t xml:space="preserve">Comment l'indexation est appliquée sur la facture.</t>
  </si>
  <si>
    <t xml:space="preserve">Indexation Client 2026 col. G</t>
  </si>
  <si>
    <t xml:space="preserve">Pondération</t>
  </si>
  <si>
    <t xml:space="preserve">% ou L/100km</t>
  </si>
  <si>
    <t xml:space="preserve">0,25 (25%) · 0,28 · ou conso × km</t>
  </si>
  <si>
    <t xml:space="preserve">% du forfait OU L/100km × km contractuels.</t>
  </si>
  <si>
    <t xml:space="preserve">Indexation Client 2026 col. F</t>
  </si>
  <si>
    <t xml:space="preserve">Cas particulier client</t>
  </si>
  <si>
    <t xml:space="preserve">Standard / Auchan TIPCE / FedEx par presta / Aucun</t>
  </si>
  <si>
    <t xml:space="preserve">Référentiel Contrats + override Module Commercial (FedEx)</t>
  </si>
  <si>
    <t xml:space="preserve">Auchan = remise TIPCE · FedEx = saisie par presta.</t>
  </si>
  <si>
    <t xml:space="preserve">Indices CNR/DIREM mensuels</t>
  </si>
  <si>
    <t xml:space="preserve">Numérique (table)</t>
  </si>
  <si>
    <t xml:space="preserve">192,03 (CNR GO pro nov-25) · 1,3882 (DIREM PMM)</t>
  </si>
  <si>
    <t xml:space="preserve">Référentiel Indices (alimentation API CNR + DIREM)</t>
  </si>
  <si>
    <t xml:space="preserve">Données externes mensuelles, hors présence commercial.</t>
  </si>
  <si>
    <t xml:space="preserve">Indexation Carburant 2026 onglet « indice »</t>
  </si>
  <si>
    <t xml:space="preserve">D · Véhicule prévu</t>
  </si>
  <si>
    <t xml:space="preserve">Type tracteur requis</t>
  </si>
  <si>
    <t xml:space="preserve">Tracteur GO / Tracteur GNC / Porteur SWAP GO / Porteur SWAP GNC / VL</t>
  </si>
  <si>
    <t xml:space="preserve">01, 03, 05, 09, 10, 11</t>
  </si>
  <si>
    <t xml:space="preserve">Choix du commercial par presta.</t>
  </si>
  <si>
    <t xml:space="preserve">Renta Avril 2025 « Liste » A1-A5</t>
  </si>
  <si>
    <t xml:space="preserve">Conso prévue 100 km</t>
  </si>
  <si>
    <t xml:space="preserve">TRAGO 28 L · TRAGZ 30,5 kg · PORGO 30 L · PORGZ 33 kg</t>
  </si>
  <si>
    <t xml:space="preserve">03</t>
  </si>
  <si>
    <t xml:space="preserve">Référentiel Véhicules (préremplie auto)</t>
  </si>
  <si>
    <t xml:space="preserve">Stable, modifiable en exception.</t>
  </si>
  <si>
    <t xml:space="preserve">Renta Avril 2025 « Liste » col. H + Excel Coût-Carburants B10-C11</t>
  </si>
  <si>
    <t xml:space="preserve">Type(s) de tracté (jusqu'à 4)</t>
  </si>
  <si>
    <t xml:space="preserve">Multi-énum</t>
  </si>
  <si>
    <t xml:space="preserve">Aérienne (Bachée/Classique/Frigo/Méga) / SR (Classique/Frigo/Méga/PC) / Remorque SWAP / Aucune</t>
  </si>
  <si>
    <t xml:space="preserve">02, 09, 10, 11</t>
  </si>
  <si>
    <t xml:space="preserve">Module commercial + Référentiel Véhicules</t>
  </si>
  <si>
    <t xml:space="preserve">Choix par presta — jusqu'à 4 tractés possibles.</t>
  </si>
  <si>
    <t xml:space="preserve">Renta Avril 2025 « Liste » A7-A15</t>
  </si>
  <si>
    <t xml:space="preserve">Allocation tracté</t>
  </si>
  <si>
    <t xml:space="preserve">Plein temps client / Débord 100% client / Partagé</t>
  </si>
  <si>
    <t xml:space="preserve">02</t>
  </si>
  <si>
    <t xml:space="preserve">Convention Discovery — détermine le coût alloué.</t>
  </si>
  <si>
    <t xml:space="preserve">Excel Coût-Tractés B20-C20</t>
  </si>
  <si>
    <t xml:space="preserve">Frigo requis</t>
  </si>
  <si>
    <t xml:space="preserve">Booléen</t>
  </si>
  <si>
    <t xml:space="preserve">Oui / Non</t>
  </si>
  <si>
    <t xml:space="preserve">04</t>
  </si>
  <si>
    <t xml:space="preserve">Module commercial (ou inféré du type semi)</t>
  </si>
  <si>
    <t xml:space="preserve">Active poste 04 ; déjà partiellement via Contrainte Conducteur.</t>
  </si>
  <si>
    <t xml:space="preserve">Heures fonctionnement frigo</t>
  </si>
  <si>
    <t xml:space="preserve">Nombre (h)</t>
  </si>
  <si>
    <t xml:space="preserve">50 h/mois</t>
  </si>
  <si>
    <t xml:space="preserve">Conditionnel si frigo = oui.</t>
  </si>
  <si>
    <t xml:space="preserve">Excel Coût-Fioul B13</t>
  </si>
  <si>
    <t xml:space="preserve">Km à vide planifiés</t>
  </si>
  <si>
    <t xml:space="preserve">80 km / cycle</t>
  </si>
  <si>
    <t xml:space="preserve">Distinguer du km productif.</t>
  </si>
  <si>
    <t xml:space="preserve">Excel Coût-Carburants D14</t>
  </si>
  <si>
    <t xml:space="preserve">Loyer mensuel véhicule</t>
  </si>
  <si>
    <t xml:space="preserve">2 300 € (Tracteur GO) · 1 200 € (Aérienne)</t>
  </si>
  <si>
    <t xml:space="preserve">01, 02</t>
  </si>
  <si>
    <t xml:space="preserve">Référentiel Véhicules (table tarifaire)</t>
  </si>
  <si>
    <t xml:space="preserve">Tarif par type — stable.</t>
  </si>
  <si>
    <t xml:space="preserve">Renta Avril 2025 « Liste » col. D</t>
  </si>
  <si>
    <t xml:space="preserve">Tx Entretien €/km</t>
  </si>
  <si>
    <t xml:space="preserve">€/km</t>
  </si>
  <si>
    <t xml:space="preserve">0,025 (Tracteur GO) · 0,035 (Tracteur GNC)</t>
  </si>
  <si>
    <t xml:space="preserve">09</t>
  </si>
  <si>
    <t xml:space="preserve">Référentiel Véhicules</t>
  </si>
  <si>
    <t xml:space="preserve">Renta Avril 2025 « Liste » col. G</t>
  </si>
  <si>
    <t xml:space="preserve">Tx Pneumatiques €/km</t>
  </si>
  <si>
    <t xml:space="preserve">0,025 (Tracteur GO)</t>
  </si>
  <si>
    <t xml:space="preserve">10</t>
  </si>
  <si>
    <t xml:space="preserve">Renta Avril 2025 « Liste » col. F</t>
  </si>
  <si>
    <t xml:space="preserve">Forfait assurance mensuel</t>
  </si>
  <si>
    <t xml:space="preserve">Inclus dans loyer</t>
  </si>
  <si>
    <t xml:space="preserve">11</t>
  </si>
  <si>
    <t xml:space="preserve">Loyer = loyer + assurance + géoloc (note Renta).</t>
  </si>
  <si>
    <t xml:space="preserve">Renta Avril 2025 « Liste » A17</t>
  </si>
  <si>
    <t xml:space="preserve">Coût géoloc mensuel</t>
  </si>
  <si>
    <t xml:space="preserve">Géoloc</t>
  </si>
  <si>
    <t xml:space="preserve">Inclus dans le loyer agrégé.</t>
  </si>
  <si>
    <t xml:space="preserve">E · Conducteur prévu</t>
  </si>
  <si>
    <t xml:space="preserve">Typologie conducteur</t>
  </si>
  <si>
    <t xml:space="preserve">VL / CM / SPL / Polyvalent</t>
  </si>
  <si>
    <t xml:space="preserve">06, 07</t>
  </si>
  <si>
    <t xml:space="preserve">Choix per presta — alimente 06 et primes 07.</t>
  </si>
  <si>
    <t xml:space="preserve">Restitution HTML décision 04</t>
  </si>
  <si>
    <t xml:space="preserve">Nb conducteurs prévus</t>
  </si>
  <si>
    <t xml:space="preserve">Nombre (1-3)</t>
  </si>
  <si>
    <t xml:space="preserve">1 / 2 / 3</t>
  </si>
  <si>
    <t xml:space="preserve">06, 07, répartition CA</t>
  </si>
  <si>
    <t xml:space="preserve">Jusqu'à 3 conducteurs (Renta Avril 2025).</t>
  </si>
  <si>
    <t xml:space="preserve">Renta Avril 2025 Sommaire col. C-E</t>
  </si>
  <si>
    <t xml:space="preserve">Amplitude prévue / jour</t>
  </si>
  <si>
    <t xml:space="preserve">12 h (réf. atelier)</t>
  </si>
  <si>
    <t xml:space="preserve">Réf. atelier amplitude 12 h pour le forfait jour.</t>
  </si>
  <si>
    <t xml:space="preserve">Excel Coût-Salaires B10</t>
  </si>
  <si>
    <t xml:space="preserve">Jours travaillés prévus</t>
  </si>
  <si>
    <t xml:space="preserve">21 (mois) · 5 (semaine)</t>
  </si>
  <si>
    <t xml:space="preserve">06</t>
  </si>
  <si>
    <t xml:space="preserve">Alimente formule jours / 21.</t>
  </si>
  <si>
    <t xml:space="preserve">Décision H1 arbitrée</t>
  </si>
  <si>
    <t xml:space="preserve">TDS prévu / jour</t>
  </si>
  <si>
    <t xml:space="preserve">9 h / 10 h</t>
  </si>
  <si>
    <t xml:space="preserve">Comparaison avec tachygraphe Solid (réel).</t>
  </si>
  <si>
    <t xml:space="preserve">Renta Avril 2025 B9</t>
  </si>
  <si>
    <t xml:space="preserve">Découcher prévu</t>
  </si>
  <si>
    <t xml:space="preserve">Booléen + nb</t>
  </si>
  <si>
    <t xml:space="preserve">Oui, 2 nuits / sem.</t>
  </si>
  <si>
    <t xml:space="preserve">07</t>
  </si>
  <si>
    <t xml:space="preserve">Active prime + frais hôtel.</t>
  </si>
  <si>
    <t xml:space="preserve">Excel Coût-Salaires B11</t>
  </si>
  <si>
    <t xml:space="preserve">Travail de nuit prévu</t>
  </si>
  <si>
    <t xml:space="preserve">Active prime de nuit.</t>
  </si>
  <si>
    <t xml:space="preserve">Dimanche / jour férié prévu</t>
  </si>
  <si>
    <t xml:space="preserve">Active prime dimanche / férié.</t>
  </si>
  <si>
    <t xml:space="preserve">Panier (déjeuner / dîner)</t>
  </si>
  <si>
    <t xml:space="preserve">Aucun / Déjeuner / Dîner / Les deux</t>
  </si>
  <si>
    <t xml:space="preserve">Active frais paniers.</t>
  </si>
  <si>
    <t xml:space="preserve">Taux journalier par profil</t>
  </si>
  <si>
    <t xml:space="preserve">€/jour</t>
  </si>
  <si>
    <t xml:space="preserve">SPL 210 € · CM 235 € · Polyvalent 305 € · VL TBD</t>
  </si>
  <si>
    <t xml:space="preserve">Référentiel Taux</t>
  </si>
  <si>
    <t xml:space="preserve">Stable — table commune (VL à confirmer Mathieu).</t>
  </si>
  <si>
    <t xml:space="preserve">Excel Coût-Salaires B11-D11</t>
  </si>
  <si>
    <t xml:space="preserve">Forfait moyen primes par profil</t>
  </si>
  <si>
    <t xml:space="preserve">Nuit / Dimanche / Découcher / Panier</t>
  </si>
  <si>
    <t xml:space="preserve">Stable — alimentation manuelle.</t>
  </si>
  <si>
    <t xml:space="preserve">Restitution HTML poste 07</t>
  </si>
  <si>
    <t xml:space="preserve">Contraintes conducteur</t>
  </si>
  <si>
    <t xml:space="preserve">Multi-tag</t>
  </si>
  <si>
    <t xml:space="preserve">ADR 1.3 · ADR 8.2 · APSAD P3 · APSAD P5 · Frigo · BPD · Sûreté</t>
  </si>
  <si>
    <t xml:space="preserve">Affectation, Équipements</t>
  </si>
  <si>
    <t xml:space="preserve">Conservé — déjà présent dans le formulaire.</t>
  </si>
  <si>
    <t xml:space="preserve">F · Trajet &amp; péages</t>
  </si>
  <si>
    <t xml:space="preserve">Km planifiés</t>
  </si>
  <si>
    <t xml:space="preserve">1 225 km / sem.</t>
  </si>
  <si>
    <t xml:space="preserve">Champ « Kilométrage réel » existant — à renommer « Km planifié ».</t>
  </si>
  <si>
    <t xml:space="preserve">Renta Avril 2025 B11</t>
  </si>
  <si>
    <t xml:space="preserve">Trajet à péages</t>
  </si>
  <si>
    <t xml:space="preserve">Validés / Hors autoroute / Non</t>
  </si>
  <si>
    <t xml:space="preserve">08</t>
  </si>
  <si>
    <t xml:space="preserve">Option à cocher si péages non validés.</t>
  </si>
  <si>
    <t xml:space="preserve">Excel Coût-Péages C16</t>
  </si>
  <si>
    <t xml:space="preserve">Coût péage de référence</t>
  </si>
  <si>
    <t xml:space="preserve">€ (auto)</t>
  </si>
  <si>
    <t xml:space="preserve">Calculé via API PTV</t>
  </si>
  <si>
    <t xml:space="preserve">Auto-calculé (intégration PTV)</t>
  </si>
  <si>
    <t xml:space="preserve">Pas saisi commercial — alimenté par API PTV.</t>
  </si>
  <si>
    <t xml:space="preserve">Excel Coût-Péages B14</t>
  </si>
  <si>
    <t xml:space="preserve">Type de matériel transporté</t>
  </si>
  <si>
    <t xml:space="preserve">Standard / Sensible / Dangereux / Pharma</t>
  </si>
  <si>
    <t xml:space="preserve">12 (typage casse)</t>
  </si>
  <si>
    <t xml:space="preserve">Casse ≈ 1,4 % CA mais différenciée par typologie.</t>
  </si>
  <si>
    <t xml:space="preserve">Excel Coût-Casse B20</t>
  </si>
  <si>
    <t xml:space="preserve">Taux casse référence</t>
  </si>
  <si>
    <t xml:space="preserve">% CA</t>
  </si>
  <si>
    <t xml:space="preserve">≈ 1,4 % (typé CM / SPL / VL+tractés)</t>
  </si>
  <si>
    <t xml:space="preserve">12</t>
  </si>
  <si>
    <t xml:space="preserve">Référentiel Conventions</t>
  </si>
  <si>
    <t xml:space="preserve">Tarif par typologie matériel — convention atelier.</t>
  </si>
  <si>
    <t xml:space="preserve">Excel Coût-Casse B10</t>
  </si>
  <si>
    <t xml:space="preserve">G · Équipements</t>
  </si>
  <si>
    <t xml:space="preserve">Tirpalette requis</t>
  </si>
  <si>
    <t xml:space="preserve">Équipements</t>
  </si>
  <si>
    <t xml:space="preserve">Active coût mensuel tirpalette.</t>
  </si>
  <si>
    <t xml:space="preserve">Renta Avril 2025 « Liste » A18 (55,28 €/mois)</t>
  </si>
  <si>
    <t xml:space="preserve">Hayon requis</t>
  </si>
  <si>
    <t xml:space="preserve">Active coût mensuel hayon.</t>
  </si>
  <si>
    <t xml:space="preserve">ADR (matières dangereuses)</t>
  </si>
  <si>
    <t xml:space="preserve">Déjà via Contrainte Conducteur — à formaliser comme équipement.</t>
  </si>
  <si>
    <t xml:space="preserve">APSAD P3 / P5</t>
  </si>
  <si>
    <t xml:space="preserve">Déjà via Contrainte Conducteur.</t>
  </si>
  <si>
    <t xml:space="preserve">BPD (Pharma)</t>
  </si>
  <si>
    <t xml:space="preserve">Coût mensuel équipement</t>
  </si>
  <si>
    <t xml:space="preserve">55,28 € (Tirpalette)</t>
  </si>
  <si>
    <t xml:space="preserve">Référentiel Équipements</t>
  </si>
  <si>
    <t xml:space="preserve">Tarif par type d'équipement.</t>
  </si>
  <si>
    <t xml:space="preserve">Renta Avril 2025 B18</t>
  </si>
  <si>
    <t xml:space="preserve">H · Sous-traitance</t>
  </si>
  <si>
    <t xml:space="preserve">Sous-traité ?</t>
  </si>
  <si>
    <t xml:space="preserve">13</t>
  </si>
  <si>
    <t xml:space="preserve">Active tout le bloc sous-traitance.</t>
  </si>
  <si>
    <t xml:space="preserve">Nom du sous-traitant</t>
  </si>
  <si>
    <t xml:space="preserve">Référentiel sous-traitants</t>
  </si>
  <si>
    <t xml:space="preserve">Module commercial + Référentiel Sous-traitants</t>
  </si>
  <si>
    <t xml:space="preserve">Per-presta choix dans liste pré-référencée.</t>
  </si>
  <si>
    <t xml:space="preserve">Excel Coût-Soustraitance B14</t>
  </si>
  <si>
    <t xml:space="preserve">Coût convenu sous-traitance</t>
  </si>
  <si>
    <t xml:space="preserve">1 500 €</t>
  </si>
  <si>
    <t xml:space="preserve">Per-presta — réel = théorique.</t>
  </si>
  <si>
    <t xml:space="preserve">Excel Coût-Soustraitance B9</t>
  </si>
  <si>
    <t xml:space="preserve">Utilisation Semi Parnass</t>
  </si>
  <si>
    <t xml:space="preserve">Active surcoût (loyer + entretien semi Parnass).</t>
  </si>
  <si>
    <t xml:space="preserve">Excel Coût-Soustraitance C13-E13</t>
  </si>
  <si>
    <t xml:space="preserve">Mode ventilation sous-traitance</t>
  </si>
  <si>
    <t xml:space="preserve">Prorata h courses / h tournées</t>
  </si>
  <si>
    <t xml:space="preserve">Convention atelier — fixe.</t>
  </si>
  <si>
    <t xml:space="preserve">Excel Coût-Soustraitance B10</t>
  </si>
  <si>
    <t xml:space="preserve">I · Conventions de calcul</t>
  </si>
  <si>
    <t xml:space="preserve">Conso AdBlue théorique</t>
  </si>
  <si>
    <t xml:space="preserve">L/100km</t>
  </si>
  <si>
    <t xml:space="preserve">1,9 L / 100 km</t>
  </si>
  <si>
    <t xml:space="preserve">05</t>
  </si>
  <si>
    <t xml:space="preserve">Stable — MAJ ad hoc.</t>
  </si>
  <si>
    <t xml:space="preserve">Excel Coût-AdBlue B16</t>
  </si>
  <si>
    <t xml:space="preserve">Prix AdBlue référence</t>
  </si>
  <si>
    <t xml:space="preserve">€/L</t>
  </si>
  <si>
    <t xml:space="preserve">0,42 €/L</t>
  </si>
  <si>
    <t xml:space="preserve">Stable — MAJ mensuelle par Laurent.</t>
  </si>
  <si>
    <t xml:space="preserve">Excel Coût-AdBlue C16</t>
  </si>
  <si>
    <t xml:space="preserve">Conso frigo référence</t>
  </si>
  <si>
    <t xml:space="preserve">L/h</t>
  </si>
  <si>
    <t xml:space="preserve">2 L / heure</t>
  </si>
  <si>
    <t xml:space="preserve">Excel Coût-Fioul B16</t>
  </si>
  <si>
    <t xml:space="preserve">Diviseur jours ouvrés (H1)</t>
  </si>
  <si>
    <t xml:space="preserve">21</t>
  </si>
  <si>
    <t xml:space="preserve">01, 02, 06, 07, 09, 10, 11</t>
  </si>
  <si>
    <t xml:space="preserve">Décision H1 arbitrée Discovery.</t>
  </si>
  <si>
    <t xml:space="preserve">Décision atelier 1 (H1)</t>
  </si>
  <si>
    <t xml:space="preserve">Synthèse par bloc fonctionnel</t>
  </si>
  <si>
    <t xml:space="preserve">Libellé</t>
  </si>
  <si>
    <t xml:space="preserve">Total champs</t>
  </si>
  <si>
    <t xml:space="preserve">Critique MVP</t>
  </si>
  <si>
    <t xml:space="preserve">Élevée MVP</t>
  </si>
  <si>
    <t xml:space="preserve">A</t>
  </si>
  <si>
    <t xml:space="preserve">Identification &amp; contrat</t>
  </si>
  <si>
    <t xml:space="preserve">B</t>
  </si>
  <si>
    <t xml:space="preserve">Tarification (CA)</t>
  </si>
  <si>
    <t xml:space="preserve">C</t>
  </si>
  <si>
    <t xml:space="preserve">Indexation carburant</t>
  </si>
  <si>
    <t xml:space="preserve">D</t>
  </si>
  <si>
    <t xml:space="preserve">Véhicule prévu</t>
  </si>
  <si>
    <t xml:space="preserve">E</t>
  </si>
  <si>
    <t xml:space="preserve">Conducteur prévu</t>
  </si>
  <si>
    <t xml:space="preserve">F</t>
  </si>
  <si>
    <t xml:space="preserve">Trajet &amp; péages</t>
  </si>
  <si>
    <t xml:space="preserve">G</t>
  </si>
  <si>
    <t xml:space="preserve">H</t>
  </si>
  <si>
    <t xml:space="preserve">Sous-traitance</t>
  </si>
  <si>
    <t xml:space="preserve">I</t>
  </si>
  <si>
    <t xml:space="preserve">Conventions de calcul</t>
  </si>
  <si>
    <t xml:space="preserve">TOTAL</t>
  </si>
  <si>
    <t xml:space="preserve">Synthèse par localisation recommandée</t>
  </si>
  <si>
    <t xml:space="preserve">Localisation</t>
  </si>
  <si>
    <t xml:space="preserve">Nombre de champs</t>
  </si>
  <si>
    <t xml:space="preserve">Module commercial + Référentiel Clients</t>
  </si>
  <si>
    <t xml:space="preserve">Tables externes à créer (référentiels)</t>
  </si>
  <si>
    <t xml:space="preserve">Le module commercial s'appuie sur 9 référentiels externes (tables maîtres).</t>
  </si>
  <si>
    <t xml:space="preserve">#</t>
  </si>
  <si>
    <t xml:space="preserve">Référentiel</t>
  </si>
  <si>
    <t xml:space="preserve">Contenu</t>
  </si>
  <si>
    <t xml:space="preserve">Fréquence MAJ</t>
  </si>
  <si>
    <t xml:space="preserve">Source / propriétaire</t>
  </si>
  <si>
    <t xml:space="preserve">1</t>
  </si>
  <si>
    <t xml:space="preserve">Référentiel Clients</t>
  </si>
  <si>
    <t xml:space="preserve">ID client · raison sociale · groupes (CAT, CEVA, CHRONOPOST, GLS, DHL, UPS, FedEx, Auchan…)</t>
  </si>
  <si>
    <t xml:space="preserve">Ad hoc</t>
  </si>
  <si>
    <t xml:space="preserve">Commercial — Laurent</t>
  </si>
  <si>
    <t xml:space="preserve">2</t>
  </si>
  <si>
    <t xml:space="preserve">Référentiel Contrats</t>
  </si>
  <si>
    <t xml:space="preserve">ID contrat · client · libellé · code facturation · règles tarif par défaut · règles indexation par défaut</t>
  </si>
  <si>
    <t xml:space="preserve">Ad hoc (à chaque nouveau contrat / fin de contrat)</t>
  </si>
  <si>
    <t xml:space="preserve">3</t>
  </si>
  <si>
    <t xml:space="preserve">Type tracteur (TRAGO/TRAGZ/PORGO/PORGZ/VL) · type semi · loyer mensuel · conso 100 km · Tx Pneu €/km · Tx Entretien €/km · assurance</t>
  </si>
  <si>
    <t xml:space="preserve">Annuelle (MAJ contrats LLD)</t>
  </si>
  <si>
    <t xml:space="preserve">Parc — Raphael · MyRentCar</t>
  </si>
  <si>
    <t xml:space="preserve">4</t>
  </si>
  <si>
    <t xml:space="preserve">Référentiel Conducteurs / Profils</t>
  </si>
  <si>
    <t xml:space="preserve">Profils VL/CM/SPL/Polyvalent · taux journalier · primes (nuit / dimanche / découcher / panier) · frais hôtel</t>
  </si>
  <si>
    <t xml:space="preserve">Annuelle (NAO) + ad hoc</t>
  </si>
  <si>
    <t xml:space="preserve">RH / Paye — Mathieu</t>
  </si>
  <si>
    <t xml:space="preserve">5</t>
  </si>
  <si>
    <t xml:space="preserve">Référentiel Énergies</t>
  </si>
  <si>
    <t xml:space="preserve">Code énergie (Gasoil B7 / GNV / GNL / HVO100 / Électrique) · unité (L, kg) · table d'indexation associée</t>
  </si>
  <si>
    <t xml:space="preserve">Annuelle</t>
  </si>
  <si>
    <t xml:space="preserve">Indexation — Laurent</t>
  </si>
  <si>
    <t xml:space="preserve">6</t>
  </si>
  <si>
    <t xml:space="preserve">Référentiel Indices CNR + DIREM</t>
  </si>
  <si>
    <t xml:space="preserve">5 indices CNR (GO pro / GO HTVA / Cuve moy. / GNV / fioul) + 2 indices DIREM (PMM / fin de mois) · historique janvier 2000 → courant</t>
  </si>
  <si>
    <t xml:space="preserve">Mensuelle (CNR API · DIREM Excel hebdo)</t>
  </si>
  <si>
    <t xml:space="preserve">Externe — CNR + DIREM</t>
  </si>
  <si>
    <t xml:space="preserve">7</t>
  </si>
  <si>
    <t xml:space="preserve">Tirpalette · chariot élévateur · hayon · ADR · APSAD P3 · APSAD P5 · BPD · Frigo · coût mensuel par équipement</t>
  </si>
  <si>
    <t xml:space="preserve">Annuelle (renégoc. fournisseurs)</t>
  </si>
  <si>
    <t xml:space="preserve">8</t>
  </si>
  <si>
    <t xml:space="preserve">Référentiel Sous-traitants</t>
  </si>
  <si>
    <t xml:space="preserve">ID sous-traitant · raison sociale · zones desservies · taux moyen · qualité</t>
  </si>
  <si>
    <t xml:space="preserve">Exploitation — Housam</t>
  </si>
  <si>
    <t xml:space="preserve">9</t>
  </si>
  <si>
    <t xml:space="preserve">Référentiel Conventions de calcul</t>
  </si>
  <si>
    <t xml:space="preserve">Diviseur 21 j (H1) · conso AdBlue 1,9 L/100 km · prix AdBlue 0,42 €/L · conso frigo 2 L/h · taux casse ≈ 1,4 %</t>
  </si>
  <si>
    <t xml:space="preserve">Trimestrielle / ad hoc</t>
  </si>
  <si>
    <t xml:space="preserve">Discovery — Mathieu / Laurent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</si>
</sst>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2"/>
      <color rgb="FF1E1B4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4F46E5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BE123C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6366F1"/>
        <bgColor rgb="FF4F46E5"/>
      </patternFill>
    </fill>
    <fill>
      <patternFill patternType="solid">
        <fgColor rgb="FF7C3AED"/>
        <bgColor rgb="FF9333EA"/>
      </patternFill>
    </fill>
    <fill>
      <patternFill patternType="solid">
        <fgColor rgb="FFDB2777"/>
        <bgColor rgb="FFBE123C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47857"/>
      </patternFill>
    </fill>
    <fill>
      <patternFill patternType="solid">
        <fgColor rgb="FFEA580C"/>
        <bgColor rgb="FFB45309"/>
      </patternFill>
    </fill>
    <fill>
      <patternFill patternType="solid">
        <fgColor rgb="FFCA8A04"/>
        <bgColor rgb="FFEA580C"/>
      </patternFill>
    </fill>
    <fill>
      <patternFill patternType="solid">
        <fgColor rgb="FF9333EA"/>
        <bgColor rgb="FF7C3AED"/>
      </patternFill>
    </fill>
    <fill>
      <patternFill patternType="solid">
        <fgColor rgb="FF475569"/>
        <bgColor rgb="FF4F46E5"/>
      </patternFill>
    </fill>
    <fill>
      <patternFill patternType="solid">
        <fgColor rgb="FF4F46E5"/>
        <bgColor rgb="FF7C3AED"/>
      </patternFill>
    </fill>
    <fill>
      <patternFill patternType="solid">
        <fgColor rgb="FFF1F5F9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E1B4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fgColor rgb="FF1E1B4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0891B2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6366F1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9333EA"/>
          <bgColor rgb="FF000000"/>
        </patternFill>
      </fill>
    </dxf>
    <dxf>
      <fill>
        <patternFill patternType="solid">
          <fgColor rgb="FFCA8A04"/>
          <bgColor rgb="FF000000"/>
        </patternFill>
      </fill>
    </dxf>
    <dxf>
      <fill>
        <patternFill patternType="solid">
          <fgColor rgb="FFDB2777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FF1F2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047857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E123C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854D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ont>
        <name val="Arial"/>
        <charset val="1"/>
        <family val="0"/>
        <b val="1"/>
        <color rgb="FF047857"/>
        <sz val="10"/>
      </font>
      <fill>
        <patternFill>
          <bgColor rgb="FFECFDF5"/>
        </patternFill>
      </fill>
    </dxf>
    <dxf>
      <font>
        <name val="Arial"/>
        <charset val="1"/>
        <family val="0"/>
        <b val="1"/>
        <color rgb="FFB45309"/>
        <sz val="10"/>
      </font>
      <fill>
        <patternFill>
          <bgColor rgb="FFFFFBEB"/>
        </patternFill>
      </fill>
    </dxf>
    <dxf>
      <font>
        <name val="Arial"/>
        <charset val="1"/>
        <family val="0"/>
        <b val="1"/>
        <color rgb="FFBE123C"/>
        <sz val="10"/>
      </font>
      <fill>
        <patternFill>
          <bgColor rgb="FFFFF1F2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9A3412"/>
        <sz val="10"/>
      </font>
      <fill>
        <patternFill>
          <bgColor rgb="FFFED7AA"/>
        </patternFill>
      </fill>
    </dxf>
    <dxf>
      <font>
        <name val="Arial"/>
        <charset val="1"/>
        <family val="0"/>
        <b val="1"/>
        <color rgb="FF854D0E"/>
        <sz val="10"/>
      </font>
      <fill>
        <patternFill>
          <bgColor rgb="FFFEF3C7"/>
        </patternFill>
      </fill>
    </dxf>
    <dxf>
      <font>
        <name val="Arial"/>
        <charset val="1"/>
        <family val="0"/>
        <color rgb="FF475569"/>
        <sz val="10"/>
      </font>
      <fill>
        <patternFill>
          <bgColor rgb="FFE2E8F0"/>
        </patternFill>
      </fill>
    </dxf>
  </dxfs>
  <colors>
    <indexedColors>
      <rgbColor rgb="FF000000"/>
      <rgbColor rgb="FFFFFFFF"/>
      <rgbColor rgb="FFDB2777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B45309"/>
      <rgbColor rgb="FF9333EA"/>
      <rgbColor rgb="FF047857"/>
      <rgbColor rgb="FFFECACA"/>
      <rgbColor rgb="FF808080"/>
      <rgbColor rgb="FF9999FF"/>
      <rgbColor rgb="FFBE123C"/>
      <rgbColor rgb="FFFEF3C7"/>
      <rgbColor rgb="FFECFDF5"/>
      <rgbColor rgb="FF660066"/>
      <rgbColor rgb="FFFF8080"/>
      <rgbColor rgb="FF0891B2"/>
      <rgbColor rgb="FFCBD5E1"/>
      <rgbColor rgb="FF000080"/>
      <rgbColor rgb="FFFF00FF"/>
      <rgbColor rgb="FFFFFF00"/>
      <rgbColor rgb="FF00FFFF"/>
      <rgbColor rgb="FF7C3AED"/>
      <rgbColor rgb="FF800000"/>
      <rgbColor rgb="FF059669"/>
      <rgbColor rgb="FF0000FF"/>
      <rgbColor rgb="FF00CCFF"/>
      <rgbColor rgb="FFF1F5F9"/>
      <rgbColor rgb="FFE2E8F0"/>
      <rgbColor rgb="FFFFFBEB"/>
      <rgbColor rgb="FFFFF1F2"/>
      <rgbColor rgb="FFF8FAFC"/>
      <rgbColor rgb="FFCC99FF"/>
      <rgbColor rgb="FFFED7AA"/>
      <rgbColor rgb="FF6366F1"/>
      <rgbColor rgb="FF33CCCC"/>
      <rgbColor rgb="FF99CC00"/>
      <rgbColor rgb="FFFFCC00"/>
      <rgbColor rgb="FFCA8A04"/>
      <rgbColor rgb="FFEA580C"/>
      <rgbColor rgb="FF475569"/>
      <rgbColor rgb="FF969696"/>
      <rgbColor rgb="FF003366"/>
      <rgbColor rgb="FF339966"/>
      <rgbColor rgb="FF003300"/>
      <rgbColor rgb="FF333300"/>
      <rgbColor rgb="FF9A3412"/>
      <rgbColor rgb="FF854D0E"/>
      <rgbColor rgb="FF4F46E5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6" min="3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  <c r="F9" s="5"/>
    </row>
    <row r="12" customFormat="false" ht="15" hidden="false" customHeight="false" outlineLevel="0" collapsed="false">
      <c r="A12" s="3" t="s">
        <v>13</v>
      </c>
    </row>
    <row r="14" customFormat="false" ht="15" hidden="false" customHeight="false" outlineLevel="0" collapsed="false">
      <c r="A14" s="6" t="s">
        <v>14</v>
      </c>
      <c r="B14" s="7" t="n">
        <f aca="false">COUNTA(Champs!C2:C72)</f>
        <v>71</v>
      </c>
    </row>
    <row r="15" customFormat="false" ht="15" hidden="false" customHeight="false" outlineLevel="0" collapsed="false">
      <c r="A15" s="8" t="s">
        <v>15</v>
      </c>
      <c r="B15" s="9" t="n">
        <f aca="false">COUNTIF(Champs!G2:G72,"Oui")</f>
        <v>7</v>
      </c>
    </row>
    <row r="16" customFormat="false" ht="15" hidden="false" customHeight="false" outlineLevel="0" collapsed="false">
      <c r="A16" s="8" t="s">
        <v>16</v>
      </c>
      <c r="B16" s="10" t="n">
        <f aca="false">COUNTIF(Champs!G2:G72,"Partiel")</f>
        <v>4</v>
      </c>
    </row>
    <row r="17" customFormat="false" ht="15" hidden="false" customHeight="false" outlineLevel="0" collapsed="false">
      <c r="A17" s="8" t="s">
        <v>17</v>
      </c>
      <c r="B17" s="11" t="n">
        <f aca="false">COUNTIF(Champs!G2:G72,"Non")</f>
        <v>60</v>
      </c>
    </row>
    <row r="19" customFormat="false" ht="15" hidden="false" customHeight="false" outlineLevel="0" collapsed="false">
      <c r="A19" s="8" t="s">
        <v>18</v>
      </c>
      <c r="B19" s="12" t="n">
        <f aca="false">COUNTIF(Champs!H2:H72,"Module commercial") + COUNTIF(Champs!H2:H72,"Module commercial (conditionnel)") + COUNTIF(Champs!H2:H72,"Module commercial (ou inféré du type semi)")</f>
        <v>41</v>
      </c>
    </row>
    <row r="20" customFormat="false" ht="15" hidden="false" customHeight="false" outlineLevel="0" collapsed="false">
      <c r="A20" s="8" t="s">
        <v>19</v>
      </c>
      <c r="B20" s="13" t="n">
        <f aca="false">COUNTA(Champs!C2:C72) - B19 - COUNTIF(Champs!H2:H72,"Auto-calculé (intégration PTV)")</f>
        <v>29</v>
      </c>
    </row>
    <row r="21" customFormat="false" ht="15" hidden="false" customHeight="false" outlineLevel="0" collapsed="false">
      <c r="A21" s="8" t="s">
        <v>20</v>
      </c>
      <c r="B21" s="14" t="n">
        <f aca="false">COUNTIF(Champs!H2:H72,"Auto-calculé (intégration PTV)")</f>
        <v>1</v>
      </c>
    </row>
  </sheetData>
  <mergeCells count="7">
    <mergeCell ref="A1:F1"/>
    <mergeCell ref="A2:F2"/>
    <mergeCell ref="B5:F5"/>
    <mergeCell ref="B6:F6"/>
    <mergeCell ref="B7:F7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32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36"/>
  </cols>
  <sheetData>
    <row r="1" customFormat="false" ht="42" hidden="false" customHeight="true" outlineLevel="0" collapsed="false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</row>
    <row r="2" customFormat="false" ht="23.85" hidden="false" customHeight="false" outlineLevel="0" collapsed="false">
      <c r="A2" s="16" t="n">
        <v>1</v>
      </c>
      <c r="B2" s="17" t="s">
        <v>32</v>
      </c>
      <c r="C2" s="18" t="s">
        <v>33</v>
      </c>
      <c r="D2" s="19" t="s">
        <v>34</v>
      </c>
      <c r="E2" s="20" t="s">
        <v>35</v>
      </c>
      <c r="F2" s="19" t="s">
        <v>36</v>
      </c>
      <c r="G2" s="21" t="s">
        <v>37</v>
      </c>
      <c r="H2" s="20" t="s">
        <v>38</v>
      </c>
      <c r="I2" s="22" t="s">
        <v>39</v>
      </c>
      <c r="J2" s="21" t="s">
        <v>40</v>
      </c>
      <c r="K2" s="23" t="s">
        <v>41</v>
      </c>
    </row>
    <row r="3" customFormat="false" ht="23.85" hidden="false" customHeight="false" outlineLevel="0" collapsed="false">
      <c r="A3" s="24" t="n">
        <v>2</v>
      </c>
      <c r="B3" s="17" t="s">
        <v>32</v>
      </c>
      <c r="C3" s="21" t="s">
        <v>42</v>
      </c>
      <c r="D3" s="25" t="s">
        <v>43</v>
      </c>
      <c r="E3" s="26" t="s">
        <v>44</v>
      </c>
      <c r="F3" s="25" t="s">
        <v>45</v>
      </c>
      <c r="G3" s="21" t="s">
        <v>37</v>
      </c>
      <c r="H3" s="26" t="s">
        <v>46</v>
      </c>
      <c r="I3" s="27" t="s">
        <v>47</v>
      </c>
      <c r="J3" s="21" t="s">
        <v>40</v>
      </c>
      <c r="K3" s="28" t="s">
        <v>48</v>
      </c>
    </row>
    <row r="4" customFormat="false" ht="23.85" hidden="false" customHeight="false" outlineLevel="0" collapsed="false">
      <c r="A4" s="16" t="n">
        <v>3</v>
      </c>
      <c r="B4" s="17" t="s">
        <v>32</v>
      </c>
      <c r="C4" s="18" t="s">
        <v>49</v>
      </c>
      <c r="D4" s="19" t="s">
        <v>43</v>
      </c>
      <c r="E4" s="20" t="s">
        <v>50</v>
      </c>
      <c r="F4" s="19" t="s">
        <v>51</v>
      </c>
      <c r="G4" s="21" t="s">
        <v>37</v>
      </c>
      <c r="H4" s="20" t="s">
        <v>52</v>
      </c>
      <c r="I4" s="22" t="s">
        <v>53</v>
      </c>
      <c r="J4" s="21" t="s">
        <v>40</v>
      </c>
      <c r="K4" s="23" t="s">
        <v>54</v>
      </c>
    </row>
    <row r="5" customFormat="false" ht="23.85" hidden="false" customHeight="false" outlineLevel="0" collapsed="false">
      <c r="A5" s="24" t="n">
        <v>4</v>
      </c>
      <c r="B5" s="17" t="s">
        <v>32</v>
      </c>
      <c r="C5" s="21" t="s">
        <v>55</v>
      </c>
      <c r="D5" s="25" t="s">
        <v>34</v>
      </c>
      <c r="E5" s="26" t="s">
        <v>56</v>
      </c>
      <c r="F5" s="25" t="s">
        <v>57</v>
      </c>
      <c r="G5" s="21" t="s">
        <v>37</v>
      </c>
      <c r="H5" s="26" t="s">
        <v>58</v>
      </c>
      <c r="I5" s="27" t="s">
        <v>59</v>
      </c>
      <c r="J5" s="21" t="s">
        <v>60</v>
      </c>
      <c r="K5" s="28" t="s">
        <v>61</v>
      </c>
    </row>
    <row r="6" customFormat="false" ht="23.85" hidden="false" customHeight="false" outlineLevel="0" collapsed="false">
      <c r="A6" s="16" t="n">
        <v>5</v>
      </c>
      <c r="B6" s="17" t="s">
        <v>32</v>
      </c>
      <c r="C6" s="18" t="s">
        <v>62</v>
      </c>
      <c r="D6" s="19" t="s">
        <v>63</v>
      </c>
      <c r="E6" s="20" t="s">
        <v>64</v>
      </c>
      <c r="F6" s="19" t="s">
        <v>65</v>
      </c>
      <c r="G6" s="21" t="s">
        <v>37</v>
      </c>
      <c r="H6" s="20" t="s">
        <v>38</v>
      </c>
      <c r="I6" s="22" t="s">
        <v>66</v>
      </c>
      <c r="J6" s="21" t="s">
        <v>40</v>
      </c>
      <c r="K6" s="23" t="s">
        <v>67</v>
      </c>
    </row>
    <row r="7" customFormat="false" ht="23.85" hidden="false" customHeight="false" outlineLevel="0" collapsed="false">
      <c r="A7" s="24" t="n">
        <v>6</v>
      </c>
      <c r="B7" s="17" t="s">
        <v>32</v>
      </c>
      <c r="C7" s="21" t="s">
        <v>68</v>
      </c>
      <c r="D7" s="25" t="s">
        <v>63</v>
      </c>
      <c r="E7" s="26" t="s">
        <v>69</v>
      </c>
      <c r="F7" s="25" t="s">
        <v>65</v>
      </c>
      <c r="G7" s="21" t="s">
        <v>37</v>
      </c>
      <c r="H7" s="26" t="s">
        <v>38</v>
      </c>
      <c r="I7" s="27" t="s">
        <v>70</v>
      </c>
      <c r="J7" s="21" t="s">
        <v>40</v>
      </c>
      <c r="K7" s="28"/>
    </row>
    <row r="8" customFormat="false" ht="23.85" hidden="false" customHeight="false" outlineLevel="0" collapsed="false">
      <c r="A8" s="16" t="n">
        <v>7</v>
      </c>
      <c r="B8" s="17" t="s">
        <v>32</v>
      </c>
      <c r="C8" s="18" t="s">
        <v>71</v>
      </c>
      <c r="D8" s="19" t="s">
        <v>72</v>
      </c>
      <c r="E8" s="20" t="s">
        <v>73</v>
      </c>
      <c r="F8" s="19" t="s">
        <v>74</v>
      </c>
      <c r="G8" s="21" t="s">
        <v>37</v>
      </c>
      <c r="H8" s="20" t="s">
        <v>38</v>
      </c>
      <c r="I8" s="22" t="s">
        <v>75</v>
      </c>
      <c r="J8" s="21" t="s">
        <v>60</v>
      </c>
      <c r="K8" s="23" t="s">
        <v>76</v>
      </c>
    </row>
    <row r="9" customFormat="false" ht="23.85" hidden="false" customHeight="false" outlineLevel="0" collapsed="false">
      <c r="A9" s="24" t="n">
        <v>8</v>
      </c>
      <c r="B9" s="17" t="s">
        <v>32</v>
      </c>
      <c r="C9" s="21" t="s">
        <v>77</v>
      </c>
      <c r="D9" s="25" t="s">
        <v>78</v>
      </c>
      <c r="E9" s="26" t="s">
        <v>79</v>
      </c>
      <c r="F9" s="25" t="s">
        <v>74</v>
      </c>
      <c r="G9" s="21" t="s">
        <v>37</v>
      </c>
      <c r="H9" s="26" t="s">
        <v>38</v>
      </c>
      <c r="I9" s="27" t="s">
        <v>80</v>
      </c>
      <c r="J9" s="21" t="s">
        <v>60</v>
      </c>
      <c r="K9" s="28" t="s">
        <v>81</v>
      </c>
    </row>
    <row r="10" customFormat="false" ht="23.85" hidden="false" customHeight="false" outlineLevel="0" collapsed="false">
      <c r="A10" s="16" t="n">
        <v>9</v>
      </c>
      <c r="B10" s="17" t="s">
        <v>32</v>
      </c>
      <c r="C10" s="18" t="s">
        <v>82</v>
      </c>
      <c r="D10" s="19" t="s">
        <v>34</v>
      </c>
      <c r="E10" s="20" t="s">
        <v>83</v>
      </c>
      <c r="F10" s="19" t="s">
        <v>84</v>
      </c>
      <c r="G10" s="21" t="s">
        <v>85</v>
      </c>
      <c r="H10" s="20" t="s">
        <v>38</v>
      </c>
      <c r="I10" s="22" t="s">
        <v>86</v>
      </c>
      <c r="J10" s="21" t="s">
        <v>87</v>
      </c>
      <c r="K10" s="23"/>
    </row>
    <row r="11" customFormat="false" ht="23.85" hidden="false" customHeight="false" outlineLevel="0" collapsed="false">
      <c r="A11" s="24" t="n">
        <v>10</v>
      </c>
      <c r="B11" s="17" t="s">
        <v>32</v>
      </c>
      <c r="C11" s="21" t="s">
        <v>88</v>
      </c>
      <c r="D11" s="25" t="s">
        <v>89</v>
      </c>
      <c r="E11" s="26" t="s">
        <v>90</v>
      </c>
      <c r="F11" s="25" t="s">
        <v>91</v>
      </c>
      <c r="G11" s="21" t="s">
        <v>85</v>
      </c>
      <c r="H11" s="26" t="s">
        <v>38</v>
      </c>
      <c r="I11" s="27" t="s">
        <v>86</v>
      </c>
      <c r="J11" s="21" t="s">
        <v>87</v>
      </c>
      <c r="K11" s="28"/>
    </row>
    <row r="12" customFormat="false" ht="22.35" hidden="false" customHeight="false" outlineLevel="0" collapsed="false">
      <c r="A12" s="16" t="n">
        <v>11</v>
      </c>
      <c r="B12" s="29" t="s">
        <v>92</v>
      </c>
      <c r="C12" s="18" t="s">
        <v>93</v>
      </c>
      <c r="D12" s="19" t="s">
        <v>72</v>
      </c>
      <c r="E12" s="20" t="s">
        <v>94</v>
      </c>
      <c r="F12" s="19" t="s">
        <v>74</v>
      </c>
      <c r="G12" s="21" t="s">
        <v>95</v>
      </c>
      <c r="H12" s="20" t="s">
        <v>38</v>
      </c>
      <c r="I12" s="22" t="s">
        <v>96</v>
      </c>
      <c r="J12" s="21" t="s">
        <v>40</v>
      </c>
      <c r="K12" s="23" t="s">
        <v>97</v>
      </c>
    </row>
    <row r="13" customFormat="false" ht="15" hidden="false" customHeight="false" outlineLevel="0" collapsed="false">
      <c r="A13" s="24" t="n">
        <v>12</v>
      </c>
      <c r="B13" s="29" t="s">
        <v>92</v>
      </c>
      <c r="C13" s="21" t="s">
        <v>98</v>
      </c>
      <c r="D13" s="25" t="s">
        <v>99</v>
      </c>
      <c r="E13" s="26" t="s">
        <v>100</v>
      </c>
      <c r="F13" s="25" t="s">
        <v>74</v>
      </c>
      <c r="G13" s="21" t="s">
        <v>85</v>
      </c>
      <c r="H13" s="26" t="s">
        <v>38</v>
      </c>
      <c r="I13" s="27" t="s">
        <v>101</v>
      </c>
      <c r="J13" s="21" t="s">
        <v>40</v>
      </c>
      <c r="K13" s="28"/>
    </row>
    <row r="14" customFormat="false" ht="15" hidden="false" customHeight="false" outlineLevel="0" collapsed="false">
      <c r="A14" s="16" t="n">
        <v>13</v>
      </c>
      <c r="B14" s="29" t="s">
        <v>92</v>
      </c>
      <c r="C14" s="18" t="s">
        <v>102</v>
      </c>
      <c r="D14" s="19" t="s">
        <v>72</v>
      </c>
      <c r="E14" s="20" t="s">
        <v>103</v>
      </c>
      <c r="F14" s="19" t="s">
        <v>74</v>
      </c>
      <c r="G14" s="21" t="s">
        <v>95</v>
      </c>
      <c r="H14" s="20" t="s">
        <v>38</v>
      </c>
      <c r="I14" s="22" t="s">
        <v>104</v>
      </c>
      <c r="J14" s="21" t="s">
        <v>40</v>
      </c>
      <c r="K14" s="23"/>
    </row>
    <row r="15" customFormat="false" ht="15" hidden="false" customHeight="false" outlineLevel="0" collapsed="false">
      <c r="A15" s="24" t="n">
        <v>14</v>
      </c>
      <c r="B15" s="29" t="s">
        <v>92</v>
      </c>
      <c r="C15" s="21" t="s">
        <v>105</v>
      </c>
      <c r="D15" s="25" t="s">
        <v>78</v>
      </c>
      <c r="E15" s="26" t="s">
        <v>106</v>
      </c>
      <c r="F15" s="25" t="s">
        <v>107</v>
      </c>
      <c r="G15" s="21" t="s">
        <v>37</v>
      </c>
      <c r="H15" s="26" t="s">
        <v>108</v>
      </c>
      <c r="I15" s="27" t="s">
        <v>109</v>
      </c>
      <c r="J15" s="21" t="s">
        <v>40</v>
      </c>
      <c r="K15" s="28" t="s">
        <v>110</v>
      </c>
    </row>
    <row r="16" customFormat="false" ht="15" hidden="false" customHeight="false" outlineLevel="0" collapsed="false">
      <c r="A16" s="16" t="n">
        <v>15</v>
      </c>
      <c r="B16" s="29" t="s">
        <v>92</v>
      </c>
      <c r="C16" s="18" t="s">
        <v>111</v>
      </c>
      <c r="D16" s="19" t="s">
        <v>78</v>
      </c>
      <c r="E16" s="20" t="s">
        <v>112</v>
      </c>
      <c r="F16" s="19" t="s">
        <v>74</v>
      </c>
      <c r="G16" s="21" t="s">
        <v>37</v>
      </c>
      <c r="H16" s="20" t="s">
        <v>108</v>
      </c>
      <c r="I16" s="22" t="s">
        <v>113</v>
      </c>
      <c r="J16" s="21" t="s">
        <v>40</v>
      </c>
      <c r="K16" s="23" t="s">
        <v>114</v>
      </c>
    </row>
    <row r="17" customFormat="false" ht="15" hidden="false" customHeight="false" outlineLevel="0" collapsed="false">
      <c r="A17" s="24" t="n">
        <v>16</v>
      </c>
      <c r="B17" s="29" t="s">
        <v>92</v>
      </c>
      <c r="C17" s="21" t="s">
        <v>115</v>
      </c>
      <c r="D17" s="25" t="s">
        <v>99</v>
      </c>
      <c r="E17" s="26" t="s">
        <v>116</v>
      </c>
      <c r="F17" s="25" t="s">
        <v>74</v>
      </c>
      <c r="G17" s="21" t="s">
        <v>37</v>
      </c>
      <c r="H17" s="26" t="s">
        <v>108</v>
      </c>
      <c r="I17" s="27" t="s">
        <v>117</v>
      </c>
      <c r="J17" s="21" t="s">
        <v>60</v>
      </c>
      <c r="K17" s="28" t="s">
        <v>118</v>
      </c>
    </row>
    <row r="18" customFormat="false" ht="15" hidden="false" customHeight="false" outlineLevel="0" collapsed="false">
      <c r="A18" s="16" t="n">
        <v>17</v>
      </c>
      <c r="B18" s="29" t="s">
        <v>92</v>
      </c>
      <c r="C18" s="18" t="s">
        <v>119</v>
      </c>
      <c r="D18" s="19" t="s">
        <v>72</v>
      </c>
      <c r="E18" s="20" t="s">
        <v>120</v>
      </c>
      <c r="F18" s="19" t="s">
        <v>74</v>
      </c>
      <c r="G18" s="21" t="s">
        <v>37</v>
      </c>
      <c r="H18" s="20" t="s">
        <v>38</v>
      </c>
      <c r="I18" s="22" t="s">
        <v>121</v>
      </c>
      <c r="J18" s="21" t="s">
        <v>122</v>
      </c>
      <c r="K18" s="23" t="s">
        <v>123</v>
      </c>
    </row>
    <row r="19" customFormat="false" ht="23.85" hidden="false" customHeight="false" outlineLevel="0" collapsed="false">
      <c r="A19" s="24" t="n">
        <v>18</v>
      </c>
      <c r="B19" s="29" t="s">
        <v>92</v>
      </c>
      <c r="C19" s="21" t="s">
        <v>124</v>
      </c>
      <c r="D19" s="25" t="s">
        <v>72</v>
      </c>
      <c r="E19" s="26" t="s">
        <v>125</v>
      </c>
      <c r="F19" s="25" t="s">
        <v>126</v>
      </c>
      <c r="G19" s="21" t="s">
        <v>37</v>
      </c>
      <c r="H19" s="26" t="s">
        <v>38</v>
      </c>
      <c r="I19" s="27" t="s">
        <v>127</v>
      </c>
      <c r="J19" s="21" t="s">
        <v>60</v>
      </c>
      <c r="K19" s="28" t="s">
        <v>128</v>
      </c>
    </row>
    <row r="20" customFormat="false" ht="23.85" hidden="false" customHeight="false" outlineLevel="0" collapsed="false">
      <c r="A20" s="16" t="n">
        <v>19</v>
      </c>
      <c r="B20" s="30" t="s">
        <v>129</v>
      </c>
      <c r="C20" s="18" t="s">
        <v>130</v>
      </c>
      <c r="D20" s="19" t="s">
        <v>72</v>
      </c>
      <c r="E20" s="20" t="s">
        <v>131</v>
      </c>
      <c r="F20" s="19" t="s">
        <v>132</v>
      </c>
      <c r="G20" s="21" t="s">
        <v>37</v>
      </c>
      <c r="H20" s="20" t="s">
        <v>133</v>
      </c>
      <c r="I20" s="22" t="s">
        <v>134</v>
      </c>
      <c r="J20" s="21" t="s">
        <v>40</v>
      </c>
      <c r="K20" s="23" t="s">
        <v>135</v>
      </c>
    </row>
    <row r="21" customFormat="false" ht="23.85" hidden="false" customHeight="false" outlineLevel="0" collapsed="false">
      <c r="A21" s="24" t="n">
        <v>20</v>
      </c>
      <c r="B21" s="30" t="s">
        <v>129</v>
      </c>
      <c r="C21" s="21" t="s">
        <v>136</v>
      </c>
      <c r="D21" s="25" t="s">
        <v>137</v>
      </c>
      <c r="E21" s="26" t="s">
        <v>138</v>
      </c>
      <c r="F21" s="25" t="s">
        <v>139</v>
      </c>
      <c r="G21" s="21" t="s">
        <v>37</v>
      </c>
      <c r="H21" s="26" t="s">
        <v>58</v>
      </c>
      <c r="I21" s="27" t="s">
        <v>140</v>
      </c>
      <c r="J21" s="21" t="s">
        <v>40</v>
      </c>
      <c r="K21" s="28" t="s">
        <v>141</v>
      </c>
    </row>
    <row r="22" customFormat="false" ht="15" hidden="false" customHeight="false" outlineLevel="0" collapsed="false">
      <c r="A22" s="16" t="n">
        <v>21</v>
      </c>
      <c r="B22" s="30" t="s">
        <v>129</v>
      </c>
      <c r="C22" s="18" t="s">
        <v>142</v>
      </c>
      <c r="D22" s="19" t="s">
        <v>143</v>
      </c>
      <c r="E22" s="20" t="s">
        <v>144</v>
      </c>
      <c r="F22" s="19" t="s">
        <v>139</v>
      </c>
      <c r="G22" s="21" t="s">
        <v>37</v>
      </c>
      <c r="H22" s="20" t="s">
        <v>58</v>
      </c>
      <c r="I22" s="22" t="s">
        <v>145</v>
      </c>
      <c r="J22" s="21" t="s">
        <v>40</v>
      </c>
      <c r="K22" s="23" t="s">
        <v>146</v>
      </c>
    </row>
    <row r="23" customFormat="false" ht="15" hidden="false" customHeight="false" outlineLevel="0" collapsed="false">
      <c r="A23" s="24" t="n">
        <v>22</v>
      </c>
      <c r="B23" s="30" t="s">
        <v>129</v>
      </c>
      <c r="C23" s="21" t="s">
        <v>147</v>
      </c>
      <c r="D23" s="25" t="s">
        <v>63</v>
      </c>
      <c r="E23" s="26" t="s">
        <v>148</v>
      </c>
      <c r="F23" s="25" t="s">
        <v>139</v>
      </c>
      <c r="G23" s="21" t="s">
        <v>37</v>
      </c>
      <c r="H23" s="26" t="s">
        <v>58</v>
      </c>
      <c r="I23" s="27" t="s">
        <v>149</v>
      </c>
      <c r="J23" s="21" t="s">
        <v>40</v>
      </c>
      <c r="K23" s="28"/>
    </row>
    <row r="24" customFormat="false" ht="15" hidden="false" customHeight="false" outlineLevel="0" collapsed="false">
      <c r="A24" s="16" t="n">
        <v>23</v>
      </c>
      <c r="B24" s="30" t="s">
        <v>129</v>
      </c>
      <c r="C24" s="18" t="s">
        <v>150</v>
      </c>
      <c r="D24" s="19" t="s">
        <v>72</v>
      </c>
      <c r="E24" s="20" t="s">
        <v>151</v>
      </c>
      <c r="F24" s="19" t="s">
        <v>139</v>
      </c>
      <c r="G24" s="21" t="s">
        <v>37</v>
      </c>
      <c r="H24" s="20" t="s">
        <v>58</v>
      </c>
      <c r="I24" s="22" t="s">
        <v>152</v>
      </c>
      <c r="J24" s="21" t="s">
        <v>40</v>
      </c>
      <c r="K24" s="23" t="s">
        <v>153</v>
      </c>
    </row>
    <row r="25" customFormat="false" ht="15" hidden="false" customHeight="false" outlineLevel="0" collapsed="false">
      <c r="A25" s="24" t="n">
        <v>24</v>
      </c>
      <c r="B25" s="30" t="s">
        <v>129</v>
      </c>
      <c r="C25" s="21" t="s">
        <v>154</v>
      </c>
      <c r="D25" s="25" t="s">
        <v>72</v>
      </c>
      <c r="E25" s="26" t="s">
        <v>155</v>
      </c>
      <c r="F25" s="25" t="s">
        <v>139</v>
      </c>
      <c r="G25" s="21" t="s">
        <v>37</v>
      </c>
      <c r="H25" s="26" t="s">
        <v>58</v>
      </c>
      <c r="I25" s="27" t="s">
        <v>156</v>
      </c>
      <c r="J25" s="21" t="s">
        <v>40</v>
      </c>
      <c r="K25" s="28" t="s">
        <v>157</v>
      </c>
    </row>
    <row r="26" customFormat="false" ht="15" hidden="false" customHeight="false" outlineLevel="0" collapsed="false">
      <c r="A26" s="16" t="n">
        <v>25</v>
      </c>
      <c r="B26" s="30" t="s">
        <v>129</v>
      </c>
      <c r="C26" s="18" t="s">
        <v>158</v>
      </c>
      <c r="D26" s="19" t="s">
        <v>159</v>
      </c>
      <c r="E26" s="20" t="s">
        <v>160</v>
      </c>
      <c r="F26" s="19" t="s">
        <v>139</v>
      </c>
      <c r="G26" s="21" t="s">
        <v>37</v>
      </c>
      <c r="H26" s="20" t="s">
        <v>58</v>
      </c>
      <c r="I26" s="22" t="s">
        <v>161</v>
      </c>
      <c r="J26" s="21" t="s">
        <v>40</v>
      </c>
      <c r="K26" s="23" t="s">
        <v>162</v>
      </c>
    </row>
    <row r="27" customFormat="false" ht="23.85" hidden="false" customHeight="false" outlineLevel="0" collapsed="false">
      <c r="A27" s="24" t="n">
        <v>26</v>
      </c>
      <c r="B27" s="30" t="s">
        <v>129</v>
      </c>
      <c r="C27" s="21" t="s">
        <v>163</v>
      </c>
      <c r="D27" s="25" t="s">
        <v>72</v>
      </c>
      <c r="E27" s="26" t="s">
        <v>164</v>
      </c>
      <c r="F27" s="25" t="s">
        <v>139</v>
      </c>
      <c r="G27" s="21" t="s">
        <v>37</v>
      </c>
      <c r="H27" s="26" t="s">
        <v>165</v>
      </c>
      <c r="I27" s="27" t="s">
        <v>166</v>
      </c>
      <c r="J27" s="21" t="s">
        <v>60</v>
      </c>
      <c r="K27" s="28" t="s">
        <v>153</v>
      </c>
    </row>
    <row r="28" customFormat="false" ht="23.85" hidden="false" customHeight="false" outlineLevel="0" collapsed="false">
      <c r="A28" s="16" t="n">
        <v>27</v>
      </c>
      <c r="B28" s="30" t="s">
        <v>129</v>
      </c>
      <c r="C28" s="18" t="s">
        <v>167</v>
      </c>
      <c r="D28" s="19" t="s">
        <v>168</v>
      </c>
      <c r="E28" s="20" t="s">
        <v>169</v>
      </c>
      <c r="F28" s="19" t="s">
        <v>139</v>
      </c>
      <c r="G28" s="21" t="s">
        <v>37</v>
      </c>
      <c r="H28" s="20" t="s">
        <v>170</v>
      </c>
      <c r="I28" s="22" t="s">
        <v>171</v>
      </c>
      <c r="J28" s="21" t="s">
        <v>40</v>
      </c>
      <c r="K28" s="23" t="s">
        <v>172</v>
      </c>
    </row>
    <row r="29" customFormat="false" ht="23.85" hidden="false" customHeight="false" outlineLevel="0" collapsed="false">
      <c r="A29" s="24" t="n">
        <v>28</v>
      </c>
      <c r="B29" s="31" t="s">
        <v>173</v>
      </c>
      <c r="C29" s="21" t="s">
        <v>174</v>
      </c>
      <c r="D29" s="25" t="s">
        <v>72</v>
      </c>
      <c r="E29" s="26" t="s">
        <v>175</v>
      </c>
      <c r="F29" s="25" t="s">
        <v>176</v>
      </c>
      <c r="G29" s="21" t="s">
        <v>37</v>
      </c>
      <c r="H29" s="26" t="s">
        <v>38</v>
      </c>
      <c r="I29" s="27" t="s">
        <v>177</v>
      </c>
      <c r="J29" s="21" t="s">
        <v>40</v>
      </c>
      <c r="K29" s="28" t="s">
        <v>178</v>
      </c>
    </row>
    <row r="30" customFormat="false" ht="23.85" hidden="false" customHeight="false" outlineLevel="0" collapsed="false">
      <c r="A30" s="16" t="n">
        <v>29</v>
      </c>
      <c r="B30" s="31" t="s">
        <v>173</v>
      </c>
      <c r="C30" s="18" t="s">
        <v>179</v>
      </c>
      <c r="D30" s="19" t="s">
        <v>78</v>
      </c>
      <c r="E30" s="20" t="s">
        <v>180</v>
      </c>
      <c r="F30" s="19" t="s">
        <v>181</v>
      </c>
      <c r="G30" s="21" t="s">
        <v>37</v>
      </c>
      <c r="H30" s="20" t="s">
        <v>182</v>
      </c>
      <c r="I30" s="22" t="s">
        <v>183</v>
      </c>
      <c r="J30" s="21" t="s">
        <v>60</v>
      </c>
      <c r="K30" s="23" t="s">
        <v>184</v>
      </c>
    </row>
    <row r="31" customFormat="false" ht="35.05" hidden="false" customHeight="false" outlineLevel="0" collapsed="false">
      <c r="A31" s="24" t="n">
        <v>30</v>
      </c>
      <c r="B31" s="31" t="s">
        <v>173</v>
      </c>
      <c r="C31" s="21" t="s">
        <v>185</v>
      </c>
      <c r="D31" s="25" t="s">
        <v>186</v>
      </c>
      <c r="E31" s="26" t="s">
        <v>187</v>
      </c>
      <c r="F31" s="25" t="s">
        <v>188</v>
      </c>
      <c r="G31" s="21" t="s">
        <v>37</v>
      </c>
      <c r="H31" s="26" t="s">
        <v>189</v>
      </c>
      <c r="I31" s="27" t="s">
        <v>190</v>
      </c>
      <c r="J31" s="21" t="s">
        <v>40</v>
      </c>
      <c r="K31" s="28" t="s">
        <v>191</v>
      </c>
    </row>
    <row r="32" customFormat="false" ht="23.85" hidden="false" customHeight="false" outlineLevel="0" collapsed="false">
      <c r="A32" s="16" t="n">
        <v>31</v>
      </c>
      <c r="B32" s="31" t="s">
        <v>173</v>
      </c>
      <c r="C32" s="18" t="s">
        <v>192</v>
      </c>
      <c r="D32" s="19" t="s">
        <v>72</v>
      </c>
      <c r="E32" s="20" t="s">
        <v>193</v>
      </c>
      <c r="F32" s="19" t="s">
        <v>194</v>
      </c>
      <c r="G32" s="21" t="s">
        <v>37</v>
      </c>
      <c r="H32" s="20" t="s">
        <v>38</v>
      </c>
      <c r="I32" s="22" t="s">
        <v>195</v>
      </c>
      <c r="J32" s="21" t="s">
        <v>60</v>
      </c>
      <c r="K32" s="23" t="s">
        <v>196</v>
      </c>
    </row>
    <row r="33" customFormat="false" ht="23.85" hidden="false" customHeight="false" outlineLevel="0" collapsed="false">
      <c r="A33" s="24" t="n">
        <v>32</v>
      </c>
      <c r="B33" s="31" t="s">
        <v>173</v>
      </c>
      <c r="C33" s="21" t="s">
        <v>197</v>
      </c>
      <c r="D33" s="25" t="s">
        <v>198</v>
      </c>
      <c r="E33" s="26" t="s">
        <v>199</v>
      </c>
      <c r="F33" s="25" t="s">
        <v>200</v>
      </c>
      <c r="G33" s="21" t="s">
        <v>95</v>
      </c>
      <c r="H33" s="26" t="s">
        <v>201</v>
      </c>
      <c r="I33" s="27" t="s">
        <v>202</v>
      </c>
      <c r="J33" s="21" t="s">
        <v>40</v>
      </c>
      <c r="K33" s="28"/>
    </row>
    <row r="34" customFormat="false" ht="15" hidden="false" customHeight="false" outlineLevel="0" collapsed="false">
      <c r="A34" s="16" t="n">
        <v>33</v>
      </c>
      <c r="B34" s="31" t="s">
        <v>173</v>
      </c>
      <c r="C34" s="18" t="s">
        <v>203</v>
      </c>
      <c r="D34" s="19" t="s">
        <v>204</v>
      </c>
      <c r="E34" s="20" t="s">
        <v>205</v>
      </c>
      <c r="F34" s="19" t="s">
        <v>200</v>
      </c>
      <c r="G34" s="21" t="s">
        <v>37</v>
      </c>
      <c r="H34" s="20" t="s">
        <v>108</v>
      </c>
      <c r="I34" s="22" t="s">
        <v>206</v>
      </c>
      <c r="J34" s="21" t="s">
        <v>40</v>
      </c>
      <c r="K34" s="23" t="s">
        <v>207</v>
      </c>
    </row>
    <row r="35" customFormat="false" ht="15" hidden="false" customHeight="false" outlineLevel="0" collapsed="false">
      <c r="A35" s="24" t="n">
        <v>34</v>
      </c>
      <c r="B35" s="31" t="s">
        <v>173</v>
      </c>
      <c r="C35" s="21" t="s">
        <v>208</v>
      </c>
      <c r="D35" s="25" t="s">
        <v>78</v>
      </c>
      <c r="E35" s="26" t="s">
        <v>209</v>
      </c>
      <c r="F35" s="25" t="s">
        <v>181</v>
      </c>
      <c r="G35" s="21" t="s">
        <v>37</v>
      </c>
      <c r="H35" s="26" t="s">
        <v>38</v>
      </c>
      <c r="I35" s="27" t="s">
        <v>210</v>
      </c>
      <c r="J35" s="21" t="s">
        <v>60</v>
      </c>
      <c r="K35" s="28" t="s">
        <v>211</v>
      </c>
    </row>
    <row r="36" customFormat="false" ht="15" hidden="false" customHeight="false" outlineLevel="0" collapsed="false">
      <c r="A36" s="16" t="n">
        <v>35</v>
      </c>
      <c r="B36" s="31" t="s">
        <v>173</v>
      </c>
      <c r="C36" s="18" t="s">
        <v>212</v>
      </c>
      <c r="D36" s="19" t="s">
        <v>99</v>
      </c>
      <c r="E36" s="20" t="s">
        <v>213</v>
      </c>
      <c r="F36" s="19" t="s">
        <v>214</v>
      </c>
      <c r="G36" s="21" t="s">
        <v>37</v>
      </c>
      <c r="H36" s="20" t="s">
        <v>215</v>
      </c>
      <c r="I36" s="22" t="s">
        <v>216</v>
      </c>
      <c r="J36" s="21" t="s">
        <v>40</v>
      </c>
      <c r="K36" s="23" t="s">
        <v>217</v>
      </c>
    </row>
    <row r="37" customFormat="false" ht="15" hidden="false" customHeight="false" outlineLevel="0" collapsed="false">
      <c r="A37" s="24" t="n">
        <v>36</v>
      </c>
      <c r="B37" s="31" t="s">
        <v>173</v>
      </c>
      <c r="C37" s="21" t="s">
        <v>218</v>
      </c>
      <c r="D37" s="25" t="s">
        <v>219</v>
      </c>
      <c r="E37" s="26" t="s">
        <v>220</v>
      </c>
      <c r="F37" s="25" t="s">
        <v>221</v>
      </c>
      <c r="G37" s="21" t="s">
        <v>37</v>
      </c>
      <c r="H37" s="26" t="s">
        <v>222</v>
      </c>
      <c r="I37" s="27" t="s">
        <v>216</v>
      </c>
      <c r="J37" s="21" t="s">
        <v>40</v>
      </c>
      <c r="K37" s="28" t="s">
        <v>223</v>
      </c>
    </row>
    <row r="38" customFormat="false" ht="15" hidden="false" customHeight="false" outlineLevel="0" collapsed="false">
      <c r="A38" s="16" t="n">
        <v>37</v>
      </c>
      <c r="B38" s="31" t="s">
        <v>173</v>
      </c>
      <c r="C38" s="18" t="s">
        <v>224</v>
      </c>
      <c r="D38" s="19" t="s">
        <v>219</v>
      </c>
      <c r="E38" s="20" t="s">
        <v>225</v>
      </c>
      <c r="F38" s="19" t="s">
        <v>226</v>
      </c>
      <c r="G38" s="21" t="s">
        <v>37</v>
      </c>
      <c r="H38" s="20" t="s">
        <v>222</v>
      </c>
      <c r="I38" s="22" t="s">
        <v>216</v>
      </c>
      <c r="J38" s="21" t="s">
        <v>40</v>
      </c>
      <c r="K38" s="23" t="s">
        <v>227</v>
      </c>
    </row>
    <row r="39" customFormat="false" ht="15" hidden="false" customHeight="false" outlineLevel="0" collapsed="false">
      <c r="A39" s="24" t="n">
        <v>38</v>
      </c>
      <c r="B39" s="31" t="s">
        <v>173</v>
      </c>
      <c r="C39" s="21" t="s">
        <v>228</v>
      </c>
      <c r="D39" s="25" t="s">
        <v>99</v>
      </c>
      <c r="E39" s="26" t="s">
        <v>229</v>
      </c>
      <c r="F39" s="25" t="s">
        <v>230</v>
      </c>
      <c r="G39" s="21" t="s">
        <v>37</v>
      </c>
      <c r="H39" s="26" t="s">
        <v>222</v>
      </c>
      <c r="I39" s="27" t="s">
        <v>231</v>
      </c>
      <c r="J39" s="21" t="s">
        <v>60</v>
      </c>
      <c r="K39" s="28" t="s">
        <v>232</v>
      </c>
    </row>
    <row r="40" customFormat="false" ht="15" hidden="false" customHeight="false" outlineLevel="0" collapsed="false">
      <c r="A40" s="16" t="n">
        <v>39</v>
      </c>
      <c r="B40" s="31" t="s">
        <v>173</v>
      </c>
      <c r="C40" s="18" t="s">
        <v>233</v>
      </c>
      <c r="D40" s="19" t="s">
        <v>99</v>
      </c>
      <c r="E40" s="20" t="s">
        <v>229</v>
      </c>
      <c r="F40" s="19" t="s">
        <v>234</v>
      </c>
      <c r="G40" s="21" t="s">
        <v>37</v>
      </c>
      <c r="H40" s="20" t="s">
        <v>222</v>
      </c>
      <c r="I40" s="22" t="s">
        <v>235</v>
      </c>
      <c r="J40" s="21" t="s">
        <v>122</v>
      </c>
      <c r="K40" s="23"/>
    </row>
    <row r="41" customFormat="false" ht="15" hidden="false" customHeight="false" outlineLevel="0" collapsed="false">
      <c r="A41" s="24" t="n">
        <v>40</v>
      </c>
      <c r="B41" s="32" t="s">
        <v>236</v>
      </c>
      <c r="C41" s="21" t="s">
        <v>237</v>
      </c>
      <c r="D41" s="25" t="s">
        <v>72</v>
      </c>
      <c r="E41" s="26" t="s">
        <v>238</v>
      </c>
      <c r="F41" s="25" t="s">
        <v>239</v>
      </c>
      <c r="G41" s="21" t="s">
        <v>37</v>
      </c>
      <c r="H41" s="26" t="s">
        <v>38</v>
      </c>
      <c r="I41" s="27" t="s">
        <v>240</v>
      </c>
      <c r="J41" s="21" t="s">
        <v>40</v>
      </c>
      <c r="K41" s="28" t="s">
        <v>241</v>
      </c>
    </row>
    <row r="42" customFormat="false" ht="15" hidden="false" customHeight="false" outlineLevel="0" collapsed="false">
      <c r="A42" s="16" t="n">
        <v>41</v>
      </c>
      <c r="B42" s="32" t="s">
        <v>236</v>
      </c>
      <c r="C42" s="18" t="s">
        <v>242</v>
      </c>
      <c r="D42" s="19" t="s">
        <v>243</v>
      </c>
      <c r="E42" s="20" t="s">
        <v>244</v>
      </c>
      <c r="F42" s="19" t="s">
        <v>245</v>
      </c>
      <c r="G42" s="21" t="s">
        <v>37</v>
      </c>
      <c r="H42" s="20" t="s">
        <v>38</v>
      </c>
      <c r="I42" s="22" t="s">
        <v>246</v>
      </c>
      <c r="J42" s="21" t="s">
        <v>40</v>
      </c>
      <c r="K42" s="23" t="s">
        <v>247</v>
      </c>
    </row>
    <row r="43" customFormat="false" ht="15" hidden="false" customHeight="false" outlineLevel="0" collapsed="false">
      <c r="A43" s="24" t="n">
        <v>42</v>
      </c>
      <c r="B43" s="32" t="s">
        <v>236</v>
      </c>
      <c r="C43" s="21" t="s">
        <v>248</v>
      </c>
      <c r="D43" s="25" t="s">
        <v>204</v>
      </c>
      <c r="E43" s="26" t="s">
        <v>249</v>
      </c>
      <c r="F43" s="25" t="s">
        <v>239</v>
      </c>
      <c r="G43" s="21" t="s">
        <v>37</v>
      </c>
      <c r="H43" s="26" t="s">
        <v>38</v>
      </c>
      <c r="I43" s="27" t="s">
        <v>250</v>
      </c>
      <c r="J43" s="21" t="s">
        <v>60</v>
      </c>
      <c r="K43" s="28" t="s">
        <v>251</v>
      </c>
    </row>
    <row r="44" customFormat="false" ht="15" hidden="false" customHeight="false" outlineLevel="0" collapsed="false">
      <c r="A44" s="16" t="n">
        <v>43</v>
      </c>
      <c r="B44" s="32" t="s">
        <v>236</v>
      </c>
      <c r="C44" s="18" t="s">
        <v>252</v>
      </c>
      <c r="D44" s="19" t="s">
        <v>78</v>
      </c>
      <c r="E44" s="20" t="s">
        <v>253</v>
      </c>
      <c r="F44" s="19" t="s">
        <v>254</v>
      </c>
      <c r="G44" s="21" t="s">
        <v>37</v>
      </c>
      <c r="H44" s="20" t="s">
        <v>38</v>
      </c>
      <c r="I44" s="22" t="s">
        <v>255</v>
      </c>
      <c r="J44" s="21" t="s">
        <v>60</v>
      </c>
      <c r="K44" s="23" t="s">
        <v>256</v>
      </c>
    </row>
    <row r="45" customFormat="false" ht="15" hidden="false" customHeight="false" outlineLevel="0" collapsed="false">
      <c r="A45" s="24" t="n">
        <v>44</v>
      </c>
      <c r="B45" s="32" t="s">
        <v>236</v>
      </c>
      <c r="C45" s="21" t="s">
        <v>257</v>
      </c>
      <c r="D45" s="25" t="s">
        <v>204</v>
      </c>
      <c r="E45" s="26" t="s">
        <v>258</v>
      </c>
      <c r="F45" s="25" t="s">
        <v>254</v>
      </c>
      <c r="G45" s="21" t="s">
        <v>37</v>
      </c>
      <c r="H45" s="26" t="s">
        <v>38</v>
      </c>
      <c r="I45" s="27" t="s">
        <v>259</v>
      </c>
      <c r="J45" s="21" t="s">
        <v>122</v>
      </c>
      <c r="K45" s="28" t="s">
        <v>260</v>
      </c>
    </row>
    <row r="46" customFormat="false" ht="15" hidden="false" customHeight="false" outlineLevel="0" collapsed="false">
      <c r="A46" s="16" t="n">
        <v>45</v>
      </c>
      <c r="B46" s="32" t="s">
        <v>236</v>
      </c>
      <c r="C46" s="18" t="s">
        <v>261</v>
      </c>
      <c r="D46" s="19" t="s">
        <v>262</v>
      </c>
      <c r="E46" s="20" t="s">
        <v>263</v>
      </c>
      <c r="F46" s="19" t="s">
        <v>264</v>
      </c>
      <c r="G46" s="21" t="s">
        <v>37</v>
      </c>
      <c r="H46" s="20" t="s">
        <v>38</v>
      </c>
      <c r="I46" s="22" t="s">
        <v>265</v>
      </c>
      <c r="J46" s="21" t="s">
        <v>60</v>
      </c>
      <c r="K46" s="23" t="s">
        <v>266</v>
      </c>
    </row>
    <row r="47" customFormat="false" ht="15" hidden="false" customHeight="false" outlineLevel="0" collapsed="false">
      <c r="A47" s="24" t="n">
        <v>46</v>
      </c>
      <c r="B47" s="32" t="s">
        <v>236</v>
      </c>
      <c r="C47" s="21" t="s">
        <v>267</v>
      </c>
      <c r="D47" s="25" t="s">
        <v>198</v>
      </c>
      <c r="E47" s="26" t="s">
        <v>199</v>
      </c>
      <c r="F47" s="25" t="s">
        <v>264</v>
      </c>
      <c r="G47" s="21" t="s">
        <v>37</v>
      </c>
      <c r="H47" s="26" t="s">
        <v>38</v>
      </c>
      <c r="I47" s="27" t="s">
        <v>268</v>
      </c>
      <c r="J47" s="21" t="s">
        <v>60</v>
      </c>
      <c r="K47" s="28"/>
    </row>
    <row r="48" customFormat="false" ht="15" hidden="false" customHeight="false" outlineLevel="0" collapsed="false">
      <c r="A48" s="16" t="n">
        <v>47</v>
      </c>
      <c r="B48" s="32" t="s">
        <v>236</v>
      </c>
      <c r="C48" s="18" t="s">
        <v>269</v>
      </c>
      <c r="D48" s="19" t="s">
        <v>198</v>
      </c>
      <c r="E48" s="20" t="s">
        <v>199</v>
      </c>
      <c r="F48" s="19" t="s">
        <v>264</v>
      </c>
      <c r="G48" s="21" t="s">
        <v>37</v>
      </c>
      <c r="H48" s="20" t="s">
        <v>38</v>
      </c>
      <c r="I48" s="22" t="s">
        <v>270</v>
      </c>
      <c r="J48" s="21" t="s">
        <v>122</v>
      </c>
      <c r="K48" s="23"/>
    </row>
    <row r="49" customFormat="false" ht="15" hidden="false" customHeight="false" outlineLevel="0" collapsed="false">
      <c r="A49" s="24" t="n">
        <v>48</v>
      </c>
      <c r="B49" s="32" t="s">
        <v>236</v>
      </c>
      <c r="C49" s="21" t="s">
        <v>271</v>
      </c>
      <c r="D49" s="25" t="s">
        <v>72</v>
      </c>
      <c r="E49" s="26" t="s">
        <v>272</v>
      </c>
      <c r="F49" s="25" t="s">
        <v>264</v>
      </c>
      <c r="G49" s="21" t="s">
        <v>37</v>
      </c>
      <c r="H49" s="26" t="s">
        <v>38</v>
      </c>
      <c r="I49" s="27" t="s">
        <v>273</v>
      </c>
      <c r="J49" s="21" t="s">
        <v>122</v>
      </c>
      <c r="K49" s="28"/>
    </row>
    <row r="50" customFormat="false" ht="23.85" hidden="false" customHeight="false" outlineLevel="0" collapsed="false">
      <c r="A50" s="16" t="n">
        <v>49</v>
      </c>
      <c r="B50" s="32" t="s">
        <v>236</v>
      </c>
      <c r="C50" s="18" t="s">
        <v>274</v>
      </c>
      <c r="D50" s="19" t="s">
        <v>275</v>
      </c>
      <c r="E50" s="20" t="s">
        <v>276</v>
      </c>
      <c r="F50" s="19" t="s">
        <v>254</v>
      </c>
      <c r="G50" s="21" t="s">
        <v>37</v>
      </c>
      <c r="H50" s="20" t="s">
        <v>277</v>
      </c>
      <c r="I50" s="22" t="s">
        <v>278</v>
      </c>
      <c r="J50" s="21" t="s">
        <v>40</v>
      </c>
      <c r="K50" s="23" t="s">
        <v>279</v>
      </c>
    </row>
    <row r="51" customFormat="false" ht="15" hidden="false" customHeight="false" outlineLevel="0" collapsed="false">
      <c r="A51" s="24" t="n">
        <v>50</v>
      </c>
      <c r="B51" s="32" t="s">
        <v>236</v>
      </c>
      <c r="C51" s="21" t="s">
        <v>280</v>
      </c>
      <c r="D51" s="25" t="s">
        <v>99</v>
      </c>
      <c r="E51" s="26" t="s">
        <v>281</v>
      </c>
      <c r="F51" s="25" t="s">
        <v>264</v>
      </c>
      <c r="G51" s="21" t="s">
        <v>37</v>
      </c>
      <c r="H51" s="26" t="s">
        <v>277</v>
      </c>
      <c r="I51" s="27" t="s">
        <v>282</v>
      </c>
      <c r="J51" s="21" t="s">
        <v>60</v>
      </c>
      <c r="K51" s="28" t="s">
        <v>283</v>
      </c>
    </row>
    <row r="52" customFormat="false" ht="23.85" hidden="false" customHeight="false" outlineLevel="0" collapsed="false">
      <c r="A52" s="16" t="n">
        <v>51</v>
      </c>
      <c r="B52" s="32" t="s">
        <v>236</v>
      </c>
      <c r="C52" s="18" t="s">
        <v>284</v>
      </c>
      <c r="D52" s="19" t="s">
        <v>285</v>
      </c>
      <c r="E52" s="20" t="s">
        <v>286</v>
      </c>
      <c r="F52" s="19" t="s">
        <v>287</v>
      </c>
      <c r="G52" s="21" t="s">
        <v>85</v>
      </c>
      <c r="H52" s="20" t="s">
        <v>38</v>
      </c>
      <c r="I52" s="22" t="s">
        <v>288</v>
      </c>
      <c r="J52" s="21" t="s">
        <v>60</v>
      </c>
      <c r="K52" s="23"/>
    </row>
    <row r="53" customFormat="false" ht="22.35" hidden="false" customHeight="false" outlineLevel="0" collapsed="false">
      <c r="A53" s="24" t="n">
        <v>52</v>
      </c>
      <c r="B53" s="33" t="s">
        <v>289</v>
      </c>
      <c r="C53" s="21" t="s">
        <v>290</v>
      </c>
      <c r="D53" s="25" t="s">
        <v>78</v>
      </c>
      <c r="E53" s="26" t="s">
        <v>291</v>
      </c>
      <c r="F53" s="25" t="s">
        <v>181</v>
      </c>
      <c r="G53" s="21" t="s">
        <v>95</v>
      </c>
      <c r="H53" s="26" t="s">
        <v>38</v>
      </c>
      <c r="I53" s="27" t="s">
        <v>292</v>
      </c>
      <c r="J53" s="21" t="s">
        <v>40</v>
      </c>
      <c r="K53" s="28" t="s">
        <v>293</v>
      </c>
    </row>
    <row r="54" customFormat="false" ht="15" hidden="false" customHeight="false" outlineLevel="0" collapsed="false">
      <c r="A54" s="16" t="n">
        <v>53</v>
      </c>
      <c r="B54" s="33" t="s">
        <v>289</v>
      </c>
      <c r="C54" s="18" t="s">
        <v>294</v>
      </c>
      <c r="D54" s="19" t="s">
        <v>72</v>
      </c>
      <c r="E54" s="20" t="s">
        <v>295</v>
      </c>
      <c r="F54" s="19" t="s">
        <v>296</v>
      </c>
      <c r="G54" s="21" t="s">
        <v>37</v>
      </c>
      <c r="H54" s="20" t="s">
        <v>38</v>
      </c>
      <c r="I54" s="22" t="s">
        <v>297</v>
      </c>
      <c r="J54" s="21" t="s">
        <v>60</v>
      </c>
      <c r="K54" s="23" t="s">
        <v>298</v>
      </c>
    </row>
    <row r="55" customFormat="false" ht="15" hidden="false" customHeight="false" outlineLevel="0" collapsed="false">
      <c r="A55" s="24" t="n">
        <v>54</v>
      </c>
      <c r="B55" s="33" t="s">
        <v>289</v>
      </c>
      <c r="C55" s="21" t="s">
        <v>299</v>
      </c>
      <c r="D55" s="25" t="s">
        <v>300</v>
      </c>
      <c r="E55" s="26" t="s">
        <v>301</v>
      </c>
      <c r="F55" s="25" t="s">
        <v>296</v>
      </c>
      <c r="G55" s="21" t="s">
        <v>37</v>
      </c>
      <c r="H55" s="26" t="s">
        <v>302</v>
      </c>
      <c r="I55" s="27" t="s">
        <v>303</v>
      </c>
      <c r="J55" s="21" t="s">
        <v>40</v>
      </c>
      <c r="K55" s="28" t="s">
        <v>304</v>
      </c>
    </row>
    <row r="56" customFormat="false" ht="15" hidden="false" customHeight="false" outlineLevel="0" collapsed="false">
      <c r="A56" s="16" t="n">
        <v>55</v>
      </c>
      <c r="B56" s="33" t="s">
        <v>289</v>
      </c>
      <c r="C56" s="18" t="s">
        <v>305</v>
      </c>
      <c r="D56" s="19" t="s">
        <v>72</v>
      </c>
      <c r="E56" s="20" t="s">
        <v>306</v>
      </c>
      <c r="F56" s="19" t="s">
        <v>307</v>
      </c>
      <c r="G56" s="21" t="s">
        <v>37</v>
      </c>
      <c r="H56" s="20" t="s">
        <v>38</v>
      </c>
      <c r="I56" s="22" t="s">
        <v>308</v>
      </c>
      <c r="J56" s="21" t="s">
        <v>60</v>
      </c>
      <c r="K56" s="23" t="s">
        <v>309</v>
      </c>
    </row>
    <row r="57" customFormat="false" ht="15" hidden="false" customHeight="false" outlineLevel="0" collapsed="false">
      <c r="A57" s="24" t="n">
        <v>56</v>
      </c>
      <c r="B57" s="33" t="s">
        <v>289</v>
      </c>
      <c r="C57" s="21" t="s">
        <v>310</v>
      </c>
      <c r="D57" s="25" t="s">
        <v>311</v>
      </c>
      <c r="E57" s="26" t="s">
        <v>312</v>
      </c>
      <c r="F57" s="25" t="s">
        <v>313</v>
      </c>
      <c r="G57" s="21" t="s">
        <v>37</v>
      </c>
      <c r="H57" s="26" t="s">
        <v>314</v>
      </c>
      <c r="I57" s="27" t="s">
        <v>315</v>
      </c>
      <c r="J57" s="21" t="s">
        <v>40</v>
      </c>
      <c r="K57" s="28" t="s">
        <v>316</v>
      </c>
    </row>
    <row r="58" customFormat="false" ht="15" hidden="false" customHeight="false" outlineLevel="0" collapsed="false">
      <c r="A58" s="16" t="n">
        <v>57</v>
      </c>
      <c r="B58" s="34" t="s">
        <v>317</v>
      </c>
      <c r="C58" s="18" t="s">
        <v>318</v>
      </c>
      <c r="D58" s="19" t="s">
        <v>198</v>
      </c>
      <c r="E58" s="20" t="s">
        <v>199</v>
      </c>
      <c r="F58" s="19" t="s">
        <v>319</v>
      </c>
      <c r="G58" s="21" t="s">
        <v>37</v>
      </c>
      <c r="H58" s="20" t="s">
        <v>38</v>
      </c>
      <c r="I58" s="22" t="s">
        <v>320</v>
      </c>
      <c r="J58" s="21" t="s">
        <v>60</v>
      </c>
      <c r="K58" s="23" t="s">
        <v>321</v>
      </c>
    </row>
    <row r="59" customFormat="false" ht="15" hidden="false" customHeight="false" outlineLevel="0" collapsed="false">
      <c r="A59" s="24" t="n">
        <v>58</v>
      </c>
      <c r="B59" s="34" t="s">
        <v>317</v>
      </c>
      <c r="C59" s="21" t="s">
        <v>322</v>
      </c>
      <c r="D59" s="25" t="s">
        <v>198</v>
      </c>
      <c r="E59" s="26" t="s">
        <v>199</v>
      </c>
      <c r="F59" s="25" t="s">
        <v>319</v>
      </c>
      <c r="G59" s="21" t="s">
        <v>37</v>
      </c>
      <c r="H59" s="26" t="s">
        <v>38</v>
      </c>
      <c r="I59" s="27" t="s">
        <v>323</v>
      </c>
      <c r="J59" s="21" t="s">
        <v>122</v>
      </c>
      <c r="K59" s="28"/>
    </row>
    <row r="60" customFormat="false" ht="22.35" hidden="false" customHeight="false" outlineLevel="0" collapsed="false">
      <c r="A60" s="16" t="n">
        <v>59</v>
      </c>
      <c r="B60" s="34" t="s">
        <v>317</v>
      </c>
      <c r="C60" s="18" t="s">
        <v>324</v>
      </c>
      <c r="D60" s="19" t="s">
        <v>198</v>
      </c>
      <c r="E60" s="20" t="s">
        <v>199</v>
      </c>
      <c r="F60" s="19" t="s">
        <v>319</v>
      </c>
      <c r="G60" s="21" t="s">
        <v>85</v>
      </c>
      <c r="H60" s="20" t="s">
        <v>38</v>
      </c>
      <c r="I60" s="22" t="s">
        <v>325</v>
      </c>
      <c r="J60" s="21" t="s">
        <v>60</v>
      </c>
      <c r="K60" s="23"/>
    </row>
    <row r="61" customFormat="false" ht="15" hidden="false" customHeight="false" outlineLevel="0" collapsed="false">
      <c r="A61" s="24" t="n">
        <v>60</v>
      </c>
      <c r="B61" s="34" t="s">
        <v>317</v>
      </c>
      <c r="C61" s="21" t="s">
        <v>326</v>
      </c>
      <c r="D61" s="25" t="s">
        <v>198</v>
      </c>
      <c r="E61" s="26" t="s">
        <v>199</v>
      </c>
      <c r="F61" s="25" t="s">
        <v>319</v>
      </c>
      <c r="G61" s="21" t="s">
        <v>85</v>
      </c>
      <c r="H61" s="26" t="s">
        <v>38</v>
      </c>
      <c r="I61" s="27" t="s">
        <v>327</v>
      </c>
      <c r="J61" s="21" t="s">
        <v>122</v>
      </c>
      <c r="K61" s="28"/>
    </row>
    <row r="62" customFormat="false" ht="15" hidden="false" customHeight="false" outlineLevel="0" collapsed="false">
      <c r="A62" s="16" t="n">
        <v>61</v>
      </c>
      <c r="B62" s="34" t="s">
        <v>317</v>
      </c>
      <c r="C62" s="18" t="s">
        <v>328</v>
      </c>
      <c r="D62" s="19" t="s">
        <v>198</v>
      </c>
      <c r="E62" s="20" t="s">
        <v>199</v>
      </c>
      <c r="F62" s="19" t="s">
        <v>319</v>
      </c>
      <c r="G62" s="21" t="s">
        <v>85</v>
      </c>
      <c r="H62" s="20" t="s">
        <v>38</v>
      </c>
      <c r="I62" s="22" t="s">
        <v>327</v>
      </c>
      <c r="J62" s="21" t="s">
        <v>122</v>
      </c>
      <c r="K62" s="23"/>
    </row>
    <row r="63" customFormat="false" ht="15" hidden="false" customHeight="false" outlineLevel="0" collapsed="false">
      <c r="A63" s="24" t="n">
        <v>62</v>
      </c>
      <c r="B63" s="34" t="s">
        <v>317</v>
      </c>
      <c r="C63" s="21" t="s">
        <v>329</v>
      </c>
      <c r="D63" s="25" t="s">
        <v>99</v>
      </c>
      <c r="E63" s="26" t="s">
        <v>330</v>
      </c>
      <c r="F63" s="25" t="s">
        <v>319</v>
      </c>
      <c r="G63" s="21" t="s">
        <v>37</v>
      </c>
      <c r="H63" s="26" t="s">
        <v>331</v>
      </c>
      <c r="I63" s="27" t="s">
        <v>332</v>
      </c>
      <c r="J63" s="21" t="s">
        <v>60</v>
      </c>
      <c r="K63" s="28" t="s">
        <v>333</v>
      </c>
    </row>
    <row r="64" customFormat="false" ht="15" hidden="false" customHeight="false" outlineLevel="0" collapsed="false">
      <c r="A64" s="16" t="n">
        <v>63</v>
      </c>
      <c r="B64" s="35" t="s">
        <v>334</v>
      </c>
      <c r="C64" s="18" t="s">
        <v>335</v>
      </c>
      <c r="D64" s="19" t="s">
        <v>198</v>
      </c>
      <c r="E64" s="20" t="s">
        <v>199</v>
      </c>
      <c r="F64" s="19" t="s">
        <v>336</v>
      </c>
      <c r="G64" s="21" t="s">
        <v>37</v>
      </c>
      <c r="H64" s="20" t="s">
        <v>38</v>
      </c>
      <c r="I64" s="22" t="s">
        <v>337</v>
      </c>
      <c r="J64" s="21" t="s">
        <v>40</v>
      </c>
      <c r="K64" s="23"/>
    </row>
    <row r="65" customFormat="false" ht="23.85" hidden="false" customHeight="false" outlineLevel="0" collapsed="false">
      <c r="A65" s="24" t="n">
        <v>64</v>
      </c>
      <c r="B65" s="35" t="s">
        <v>334</v>
      </c>
      <c r="C65" s="21" t="s">
        <v>338</v>
      </c>
      <c r="D65" s="25" t="s">
        <v>43</v>
      </c>
      <c r="E65" s="26" t="s">
        <v>339</v>
      </c>
      <c r="F65" s="25" t="s">
        <v>336</v>
      </c>
      <c r="G65" s="21" t="s">
        <v>37</v>
      </c>
      <c r="H65" s="26" t="s">
        <v>340</v>
      </c>
      <c r="I65" s="27" t="s">
        <v>341</v>
      </c>
      <c r="J65" s="21" t="s">
        <v>60</v>
      </c>
      <c r="K65" s="28" t="s">
        <v>342</v>
      </c>
    </row>
    <row r="66" customFormat="false" ht="15" hidden="false" customHeight="false" outlineLevel="0" collapsed="false">
      <c r="A66" s="16" t="n">
        <v>65</v>
      </c>
      <c r="B66" s="35" t="s">
        <v>334</v>
      </c>
      <c r="C66" s="18" t="s">
        <v>343</v>
      </c>
      <c r="D66" s="19" t="s">
        <v>99</v>
      </c>
      <c r="E66" s="20" t="s">
        <v>344</v>
      </c>
      <c r="F66" s="19" t="s">
        <v>336</v>
      </c>
      <c r="G66" s="21" t="s">
        <v>37</v>
      </c>
      <c r="H66" s="20" t="s">
        <v>38</v>
      </c>
      <c r="I66" s="22" t="s">
        <v>345</v>
      </c>
      <c r="J66" s="21" t="s">
        <v>40</v>
      </c>
      <c r="K66" s="23" t="s">
        <v>346</v>
      </c>
    </row>
    <row r="67" customFormat="false" ht="15" hidden="false" customHeight="false" outlineLevel="0" collapsed="false">
      <c r="A67" s="24" t="n">
        <v>66</v>
      </c>
      <c r="B67" s="35" t="s">
        <v>334</v>
      </c>
      <c r="C67" s="21" t="s">
        <v>347</v>
      </c>
      <c r="D67" s="25" t="s">
        <v>198</v>
      </c>
      <c r="E67" s="26" t="s">
        <v>199</v>
      </c>
      <c r="F67" s="25" t="s">
        <v>336</v>
      </c>
      <c r="G67" s="21" t="s">
        <v>37</v>
      </c>
      <c r="H67" s="26" t="s">
        <v>38</v>
      </c>
      <c r="I67" s="27" t="s">
        <v>348</v>
      </c>
      <c r="J67" s="21" t="s">
        <v>122</v>
      </c>
      <c r="K67" s="28" t="s">
        <v>349</v>
      </c>
    </row>
    <row r="68" customFormat="false" ht="15" hidden="false" customHeight="false" outlineLevel="0" collapsed="false">
      <c r="A68" s="16" t="n">
        <v>67</v>
      </c>
      <c r="B68" s="35" t="s">
        <v>334</v>
      </c>
      <c r="C68" s="18" t="s">
        <v>350</v>
      </c>
      <c r="D68" s="19" t="s">
        <v>72</v>
      </c>
      <c r="E68" s="20" t="s">
        <v>351</v>
      </c>
      <c r="F68" s="19" t="s">
        <v>336</v>
      </c>
      <c r="G68" s="21" t="s">
        <v>37</v>
      </c>
      <c r="H68" s="20" t="s">
        <v>314</v>
      </c>
      <c r="I68" s="22" t="s">
        <v>352</v>
      </c>
      <c r="J68" s="21" t="s">
        <v>60</v>
      </c>
      <c r="K68" s="23" t="s">
        <v>353</v>
      </c>
    </row>
    <row r="69" customFormat="false" ht="15" hidden="false" customHeight="false" outlineLevel="0" collapsed="false">
      <c r="A69" s="24" t="n">
        <v>68</v>
      </c>
      <c r="B69" s="36" t="s">
        <v>354</v>
      </c>
      <c r="C69" s="21" t="s">
        <v>355</v>
      </c>
      <c r="D69" s="25" t="s">
        <v>356</v>
      </c>
      <c r="E69" s="26" t="s">
        <v>357</v>
      </c>
      <c r="F69" s="25" t="s">
        <v>358</v>
      </c>
      <c r="G69" s="21" t="s">
        <v>37</v>
      </c>
      <c r="H69" s="26" t="s">
        <v>314</v>
      </c>
      <c r="I69" s="27" t="s">
        <v>359</v>
      </c>
      <c r="J69" s="21" t="s">
        <v>60</v>
      </c>
      <c r="K69" s="28" t="s">
        <v>360</v>
      </c>
    </row>
    <row r="70" customFormat="false" ht="15" hidden="false" customHeight="false" outlineLevel="0" collapsed="false">
      <c r="A70" s="16" t="n">
        <v>69</v>
      </c>
      <c r="B70" s="36" t="s">
        <v>354</v>
      </c>
      <c r="C70" s="18" t="s">
        <v>361</v>
      </c>
      <c r="D70" s="19" t="s">
        <v>362</v>
      </c>
      <c r="E70" s="20" t="s">
        <v>363</v>
      </c>
      <c r="F70" s="19" t="s">
        <v>358</v>
      </c>
      <c r="G70" s="21" t="s">
        <v>37</v>
      </c>
      <c r="H70" s="20" t="s">
        <v>314</v>
      </c>
      <c r="I70" s="22" t="s">
        <v>364</v>
      </c>
      <c r="J70" s="21" t="s">
        <v>60</v>
      </c>
      <c r="K70" s="23" t="s">
        <v>365</v>
      </c>
    </row>
    <row r="71" customFormat="false" ht="15" hidden="false" customHeight="false" outlineLevel="0" collapsed="false">
      <c r="A71" s="24" t="n">
        <v>70</v>
      </c>
      <c r="B71" s="36" t="s">
        <v>354</v>
      </c>
      <c r="C71" s="21" t="s">
        <v>366</v>
      </c>
      <c r="D71" s="25" t="s">
        <v>367</v>
      </c>
      <c r="E71" s="26" t="s">
        <v>368</v>
      </c>
      <c r="F71" s="25" t="s">
        <v>200</v>
      </c>
      <c r="G71" s="21" t="s">
        <v>37</v>
      </c>
      <c r="H71" s="26" t="s">
        <v>314</v>
      </c>
      <c r="I71" s="27" t="s">
        <v>359</v>
      </c>
      <c r="J71" s="21" t="s">
        <v>60</v>
      </c>
      <c r="K71" s="28" t="s">
        <v>369</v>
      </c>
    </row>
    <row r="72" customFormat="false" ht="15" hidden="false" customHeight="false" outlineLevel="0" collapsed="false">
      <c r="A72" s="16" t="n">
        <v>71</v>
      </c>
      <c r="B72" s="36" t="s">
        <v>354</v>
      </c>
      <c r="C72" s="18" t="s">
        <v>370</v>
      </c>
      <c r="D72" s="19" t="s">
        <v>78</v>
      </c>
      <c r="E72" s="20" t="s">
        <v>371</v>
      </c>
      <c r="F72" s="19" t="s">
        <v>372</v>
      </c>
      <c r="G72" s="21" t="s">
        <v>37</v>
      </c>
      <c r="H72" s="20" t="s">
        <v>314</v>
      </c>
      <c r="I72" s="22" t="s">
        <v>373</v>
      </c>
      <c r="J72" s="21" t="s">
        <v>40</v>
      </c>
      <c r="K72" s="23" t="s">
        <v>374</v>
      </c>
    </row>
  </sheetData>
  <autoFilter ref="A1:K72"/>
  <conditionalFormatting sqref="G2:G72">
    <cfRule type="cellIs" priority="2" operator="equal" aboveAverage="0" equalAverage="0" bottom="0" percent="0" rank="0" text="" dxfId="27">
      <formula>"Oui"</formula>
    </cfRule>
    <cfRule type="cellIs" priority="3" operator="equal" aboveAverage="0" equalAverage="0" bottom="0" percent="0" rank="0" text="" dxfId="28">
      <formula>"Partiel"</formula>
    </cfRule>
    <cfRule type="cellIs" priority="4" operator="equal" aboveAverage="0" equalAverage="0" bottom="0" percent="0" rank="0" text="" dxfId="29">
      <formula>"Non"</formula>
    </cfRule>
  </conditionalFormatting>
  <conditionalFormatting sqref="J2:J72">
    <cfRule type="cellIs" priority="5" operator="equal" aboveAverage="0" equalAverage="0" bottom="0" percent="0" rank="0" text="" dxfId="30">
      <formula>"Critique"</formula>
    </cfRule>
    <cfRule type="cellIs" priority="6" operator="equal" aboveAverage="0" equalAverage="0" bottom="0" percent="0" rank="0" text="" dxfId="31">
      <formula>"Élevée"</formula>
    </cfRule>
    <cfRule type="cellIs" priority="7" operator="equal" aboveAverage="0" equalAverage="0" bottom="0" percent="0" rank="0" text="" dxfId="32">
      <formula>"Moyenne"</formula>
    </cfRule>
    <cfRule type="cellIs" priority="8" operator="equal" aboveAverage="0" equalAverage="0" bottom="0" percent="0" rank="0" text="" dxfId="33">
      <formula>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6"/>
    <col collapsed="false" customWidth="true" hidden="false" outlineLevel="0" max="8" min="3" style="0" width="16"/>
  </cols>
  <sheetData>
    <row r="1" customFormat="false" ht="30" hidden="false" customHeight="true" outlineLevel="0" collapsed="false">
      <c r="A1" s="37" t="s">
        <v>375</v>
      </c>
      <c r="B1" s="37"/>
      <c r="C1" s="37"/>
      <c r="D1" s="37"/>
      <c r="E1" s="37"/>
      <c r="F1" s="37"/>
      <c r="G1" s="37"/>
      <c r="H1" s="37"/>
    </row>
    <row r="3" customFormat="false" ht="31.5" hidden="false" customHeight="true" outlineLevel="0" collapsed="false">
      <c r="A3" s="38" t="s">
        <v>22</v>
      </c>
      <c r="B3" s="38" t="s">
        <v>376</v>
      </c>
      <c r="C3" s="38" t="s">
        <v>377</v>
      </c>
      <c r="D3" s="38" t="s">
        <v>15</v>
      </c>
      <c r="E3" s="38" t="s">
        <v>95</v>
      </c>
      <c r="F3" s="38" t="s">
        <v>37</v>
      </c>
      <c r="G3" s="38" t="s">
        <v>378</v>
      </c>
      <c r="H3" s="38" t="s">
        <v>379</v>
      </c>
    </row>
    <row r="4" customFormat="false" ht="15" hidden="false" customHeight="false" outlineLevel="0" collapsed="false">
      <c r="A4" s="39" t="s">
        <v>380</v>
      </c>
      <c r="B4" s="8" t="s">
        <v>381</v>
      </c>
      <c r="C4" s="40" t="n">
        <f aca="false">COUNTIF(Champs!B:B,"A · Identification &amp; contrat")</f>
        <v>10</v>
      </c>
      <c r="D4" s="40" t="n">
        <f aca="false">COUNTIFS(Champs!B:B,"A · Identification &amp; contrat",Champs!G:G,"Oui")</f>
        <v>2</v>
      </c>
      <c r="E4" s="40" t="n">
        <f aca="false">COUNTIFS(Champs!B:B,"A · Identification &amp; contrat",Champs!G:G,"Partiel")</f>
        <v>0</v>
      </c>
      <c r="F4" s="40" t="n">
        <f aca="false">COUNTIFS(Champs!B:B,"A · Identification &amp; contrat",Champs!G:G,"Non")</f>
        <v>8</v>
      </c>
      <c r="G4" s="40" t="n">
        <f aca="false">COUNTIFS(Champs!B:B,"A · Identification &amp; contrat",Champs!J:J,"Critique")</f>
        <v>5</v>
      </c>
      <c r="H4" s="40" t="n">
        <f aca="false">COUNTIFS(Champs!B:B,"A · Identification &amp; contrat",Champs!J:J,"Élevée")</f>
        <v>3</v>
      </c>
    </row>
    <row r="5" customFormat="false" ht="15" hidden="false" customHeight="false" outlineLevel="0" collapsed="false">
      <c r="A5" s="41" t="s">
        <v>382</v>
      </c>
      <c r="B5" s="8" t="s">
        <v>383</v>
      </c>
      <c r="C5" s="40" t="n">
        <f aca="false">COUNTIF(Champs!B:B,"B · Tarification (CA)")</f>
        <v>8</v>
      </c>
      <c r="D5" s="40" t="n">
        <f aca="false">COUNTIFS(Champs!B:B,"B · Tarification (CA)",Champs!G:G,"Oui")</f>
        <v>1</v>
      </c>
      <c r="E5" s="40" t="n">
        <f aca="false">COUNTIFS(Champs!B:B,"B · Tarification (CA)",Champs!G:G,"Partiel")</f>
        <v>2</v>
      </c>
      <c r="F5" s="40" t="n">
        <f aca="false">COUNTIFS(Champs!B:B,"B · Tarification (CA)",Champs!G:G,"Non")</f>
        <v>5</v>
      </c>
      <c r="G5" s="40" t="n">
        <f aca="false">COUNTIFS(Champs!B:B,"B · Tarification (CA)",Champs!J:J,"Critique")</f>
        <v>5</v>
      </c>
      <c r="H5" s="40" t="n">
        <f aca="false">COUNTIFS(Champs!B:B,"B · Tarification (CA)",Champs!J:J,"Élevée")</f>
        <v>2</v>
      </c>
    </row>
    <row r="6" customFormat="false" ht="15" hidden="false" customHeight="false" outlineLevel="0" collapsed="false">
      <c r="A6" s="42" t="s">
        <v>384</v>
      </c>
      <c r="B6" s="8" t="s">
        <v>385</v>
      </c>
      <c r="C6" s="40" t="n">
        <f aca="false">COUNTIF(Champs!B:B,"C · Indexation carburant")</f>
        <v>9</v>
      </c>
      <c r="D6" s="40" t="n">
        <f aca="false">COUNTIFS(Champs!B:B,"C · Indexation carburant",Champs!G:G,"Oui")</f>
        <v>0</v>
      </c>
      <c r="E6" s="40" t="n">
        <f aca="false">COUNTIFS(Champs!B:B,"C · Indexation carburant",Champs!G:G,"Partiel")</f>
        <v>0</v>
      </c>
      <c r="F6" s="40" t="n">
        <f aca="false">COUNTIFS(Champs!B:B,"C · Indexation carburant",Champs!G:G,"Non")</f>
        <v>9</v>
      </c>
      <c r="G6" s="40" t="n">
        <f aca="false">COUNTIFS(Champs!B:B,"C · Indexation carburant",Champs!J:J,"Critique")</f>
        <v>8</v>
      </c>
      <c r="H6" s="40" t="n">
        <f aca="false">COUNTIFS(Champs!B:B,"C · Indexation carburant",Champs!J:J,"Élevée")</f>
        <v>1</v>
      </c>
    </row>
    <row r="7" customFormat="false" ht="15" hidden="false" customHeight="false" outlineLevel="0" collapsed="false">
      <c r="A7" s="43" t="s">
        <v>386</v>
      </c>
      <c r="B7" s="8" t="s">
        <v>387</v>
      </c>
      <c r="C7" s="40" t="n">
        <f aca="false">COUNTIF(Champs!B:B,"D · Véhicule prévu")</f>
        <v>12</v>
      </c>
      <c r="D7" s="40" t="n">
        <f aca="false">COUNTIFS(Champs!B:B,"D · Véhicule prévu",Champs!G:G,"Oui")</f>
        <v>0</v>
      </c>
      <c r="E7" s="40" t="n">
        <f aca="false">COUNTIFS(Champs!B:B,"D · Véhicule prévu",Champs!G:G,"Partiel")</f>
        <v>1</v>
      </c>
      <c r="F7" s="40" t="n">
        <f aca="false">COUNTIFS(Champs!B:B,"D · Véhicule prévu",Champs!G:G,"Non")</f>
        <v>11</v>
      </c>
      <c r="G7" s="40" t="n">
        <f aca="false">COUNTIFS(Champs!B:B,"D · Véhicule prévu",Champs!J:J,"Critique")</f>
        <v>7</v>
      </c>
      <c r="H7" s="40" t="n">
        <f aca="false">COUNTIFS(Champs!B:B,"D · Véhicule prévu",Champs!J:J,"Élevée")</f>
        <v>4</v>
      </c>
    </row>
    <row r="8" customFormat="false" ht="15" hidden="false" customHeight="false" outlineLevel="0" collapsed="false">
      <c r="A8" s="44" t="s">
        <v>388</v>
      </c>
      <c r="B8" s="8" t="s">
        <v>389</v>
      </c>
      <c r="C8" s="40" t="n">
        <f aca="false">COUNTIF(Champs!B:B,"E · Conducteur prévu")</f>
        <v>12</v>
      </c>
      <c r="D8" s="40" t="n">
        <f aca="false">COUNTIFS(Champs!B:B,"E · Conducteur prévu",Champs!G:G,"Oui")</f>
        <v>1</v>
      </c>
      <c r="E8" s="40" t="n">
        <f aca="false">COUNTIFS(Champs!B:B,"E · Conducteur prévu",Champs!G:G,"Partiel")</f>
        <v>0</v>
      </c>
      <c r="F8" s="40" t="n">
        <f aca="false">COUNTIFS(Champs!B:B,"E · Conducteur prévu",Champs!G:G,"Non")</f>
        <v>11</v>
      </c>
      <c r="G8" s="40" t="n">
        <f aca="false">COUNTIFS(Champs!B:B,"E · Conducteur prévu",Champs!J:J,"Critique")</f>
        <v>3</v>
      </c>
      <c r="H8" s="40" t="n">
        <f aca="false">COUNTIFS(Champs!B:B,"E · Conducteur prévu",Champs!J:J,"Élevée")</f>
        <v>6</v>
      </c>
    </row>
    <row r="9" customFormat="false" ht="15" hidden="false" customHeight="false" outlineLevel="0" collapsed="false">
      <c r="A9" s="45" t="s">
        <v>390</v>
      </c>
      <c r="B9" s="8" t="s">
        <v>391</v>
      </c>
      <c r="C9" s="40" t="n">
        <f aca="false">COUNTIF(Champs!B:B,"F · Trajet &amp; péages")</f>
        <v>5</v>
      </c>
      <c r="D9" s="40" t="n">
        <f aca="false">COUNTIFS(Champs!B:B,"F · Trajet &amp; péages",Champs!G:G,"Oui")</f>
        <v>0</v>
      </c>
      <c r="E9" s="40" t="n">
        <f aca="false">COUNTIFS(Champs!B:B,"F · Trajet &amp; péages",Champs!G:G,"Partiel")</f>
        <v>1</v>
      </c>
      <c r="F9" s="40" t="n">
        <f aca="false">COUNTIFS(Champs!B:B,"F · Trajet &amp; péages",Champs!G:G,"Non")</f>
        <v>4</v>
      </c>
      <c r="G9" s="40" t="n">
        <f aca="false">COUNTIFS(Champs!B:B,"F · Trajet &amp; péages",Champs!J:J,"Critique")</f>
        <v>3</v>
      </c>
      <c r="H9" s="40" t="n">
        <f aca="false">COUNTIFS(Champs!B:B,"F · Trajet &amp; péages",Champs!J:J,"Élevée")</f>
        <v>2</v>
      </c>
    </row>
    <row r="10" customFormat="false" ht="15" hidden="false" customHeight="false" outlineLevel="0" collapsed="false">
      <c r="A10" s="46" t="s">
        <v>392</v>
      </c>
      <c r="B10" s="8" t="s">
        <v>319</v>
      </c>
      <c r="C10" s="40" t="n">
        <f aca="false">COUNTIF(Champs!B:B,"G · Équipements")</f>
        <v>6</v>
      </c>
      <c r="D10" s="40" t="n">
        <f aca="false">COUNTIFS(Champs!B:B,"G · Équipements",Champs!G:G,"Oui")</f>
        <v>3</v>
      </c>
      <c r="E10" s="40" t="n">
        <f aca="false">COUNTIFS(Champs!B:B,"G · Équipements",Champs!G:G,"Partiel")</f>
        <v>0</v>
      </c>
      <c r="F10" s="40" t="n">
        <f aca="false">COUNTIFS(Champs!B:B,"G · Équipements",Champs!G:G,"Non")</f>
        <v>3</v>
      </c>
      <c r="G10" s="40" t="n">
        <f aca="false">COUNTIFS(Champs!B:B,"G · Équipements",Champs!J:J,"Critique")</f>
        <v>0</v>
      </c>
      <c r="H10" s="40" t="n">
        <f aca="false">COUNTIFS(Champs!B:B,"G · Équipements",Champs!J:J,"Élevée")</f>
        <v>3</v>
      </c>
    </row>
    <row r="11" customFormat="false" ht="15" hidden="false" customHeight="false" outlineLevel="0" collapsed="false">
      <c r="A11" s="47" t="s">
        <v>393</v>
      </c>
      <c r="B11" s="8" t="s">
        <v>394</v>
      </c>
      <c r="C11" s="40" t="n">
        <f aca="false">COUNTIF(Champs!B:B,"H · Sous-traitance")</f>
        <v>5</v>
      </c>
      <c r="D11" s="40" t="n">
        <f aca="false">COUNTIFS(Champs!B:B,"H · Sous-traitance",Champs!G:G,"Oui")</f>
        <v>0</v>
      </c>
      <c r="E11" s="40" t="n">
        <f aca="false">COUNTIFS(Champs!B:B,"H · Sous-traitance",Champs!G:G,"Partiel")</f>
        <v>0</v>
      </c>
      <c r="F11" s="40" t="n">
        <f aca="false">COUNTIFS(Champs!B:B,"H · Sous-traitance",Champs!G:G,"Non")</f>
        <v>5</v>
      </c>
      <c r="G11" s="40" t="n">
        <f aca="false">COUNTIFS(Champs!B:B,"H · Sous-traitance",Champs!J:J,"Critique")</f>
        <v>2</v>
      </c>
      <c r="H11" s="40" t="n">
        <f aca="false">COUNTIFS(Champs!B:B,"H · Sous-traitance",Champs!J:J,"Élevée")</f>
        <v>2</v>
      </c>
    </row>
    <row r="12" customFormat="false" ht="15" hidden="false" customHeight="false" outlineLevel="0" collapsed="false">
      <c r="A12" s="48" t="s">
        <v>395</v>
      </c>
      <c r="B12" s="8" t="s">
        <v>396</v>
      </c>
      <c r="C12" s="40" t="n">
        <f aca="false">COUNTIF(Champs!B:B,"I · Conventions de calcul")</f>
        <v>4</v>
      </c>
      <c r="D12" s="40" t="n">
        <f aca="false">COUNTIFS(Champs!B:B,"I · Conventions de calcul",Champs!G:G,"Oui")</f>
        <v>0</v>
      </c>
      <c r="E12" s="40" t="n">
        <f aca="false">COUNTIFS(Champs!B:B,"I · Conventions de calcul",Champs!G:G,"Partiel")</f>
        <v>0</v>
      </c>
      <c r="F12" s="40" t="n">
        <f aca="false">COUNTIFS(Champs!B:B,"I · Conventions de calcul",Champs!G:G,"Non")</f>
        <v>4</v>
      </c>
      <c r="G12" s="40" t="n">
        <f aca="false">COUNTIFS(Champs!B:B,"I · Conventions de calcul",Champs!J:J,"Critique")</f>
        <v>1</v>
      </c>
      <c r="H12" s="40" t="n">
        <f aca="false">COUNTIFS(Champs!B:B,"I · Conventions de calcul",Champs!J:J,"Élevée")</f>
        <v>3</v>
      </c>
    </row>
    <row r="13" customFormat="false" ht="15" hidden="false" customHeight="false" outlineLevel="0" collapsed="false">
      <c r="B13" s="49" t="s">
        <v>397</v>
      </c>
      <c r="C13" s="50" t="n">
        <f aca="false">SUM(C4:C12)</f>
        <v>71</v>
      </c>
      <c r="D13" s="50" t="n">
        <f aca="false">SUM(D4:D12)</f>
        <v>7</v>
      </c>
      <c r="E13" s="50" t="n">
        <f aca="false">SUM(E4:E12)</f>
        <v>4</v>
      </c>
      <c r="F13" s="50" t="n">
        <f aca="false">SUM(F4:F12)</f>
        <v>60</v>
      </c>
      <c r="G13" s="50" t="n">
        <f aca="false">SUM(G4:G12)</f>
        <v>34</v>
      </c>
      <c r="H13" s="50" t="n">
        <f aca="false">SUM(H4:H12)</f>
        <v>26</v>
      </c>
    </row>
    <row r="16" customFormat="false" ht="15" hidden="false" customHeight="false" outlineLevel="0" collapsed="false">
      <c r="A16" s="3" t="s">
        <v>398</v>
      </c>
    </row>
    <row r="18" customFormat="false" ht="15" hidden="false" customHeight="false" outlineLevel="0" collapsed="false">
      <c r="A18" s="51" t="s">
        <v>399</v>
      </c>
      <c r="B18" s="51" t="s">
        <v>400</v>
      </c>
    </row>
    <row r="19" customFormat="false" ht="15" hidden="false" customHeight="false" outlineLevel="0" collapsed="false">
      <c r="A19" s="8" t="s">
        <v>38</v>
      </c>
      <c r="B19" s="40" t="n">
        <f aca="false">COUNTIF(Champs!H:H,A19)</f>
        <v>36</v>
      </c>
    </row>
    <row r="20" customFormat="false" ht="15" hidden="false" customHeight="false" outlineLevel="0" collapsed="false">
      <c r="A20" s="8" t="s">
        <v>108</v>
      </c>
      <c r="B20" s="40" t="n">
        <f aca="false">COUNTIF(Champs!H:H,A20)</f>
        <v>4</v>
      </c>
    </row>
    <row r="21" customFormat="false" ht="15" hidden="false" customHeight="false" outlineLevel="0" collapsed="false">
      <c r="A21" s="8" t="s">
        <v>401</v>
      </c>
      <c r="B21" s="40" t="n">
        <f aca="false">COUNTIF(Champs!H:H,A21)</f>
        <v>0</v>
      </c>
    </row>
    <row r="22" customFormat="false" ht="15" hidden="false" customHeight="false" outlineLevel="0" collapsed="false">
      <c r="A22" s="8" t="s">
        <v>340</v>
      </c>
      <c r="B22" s="40" t="n">
        <f aca="false">COUNTIF(Champs!H:H,A22)</f>
        <v>1</v>
      </c>
    </row>
    <row r="23" customFormat="false" ht="15" hidden="false" customHeight="false" outlineLevel="0" collapsed="false">
      <c r="A23" s="8" t="s">
        <v>189</v>
      </c>
      <c r="B23" s="40" t="n">
        <f aca="false">COUNTIF(Champs!H:H,A23)</f>
        <v>1</v>
      </c>
    </row>
    <row r="24" customFormat="false" ht="15" hidden="false" customHeight="false" outlineLevel="0" collapsed="false">
      <c r="A24" s="8" t="s">
        <v>201</v>
      </c>
      <c r="B24" s="40" t="n">
        <f aca="false">COUNTIF(Champs!H:H,A24)</f>
        <v>1</v>
      </c>
    </row>
    <row r="25" customFormat="false" ht="15" hidden="false" customHeight="false" outlineLevel="0" collapsed="false">
      <c r="A25" s="8" t="s">
        <v>46</v>
      </c>
      <c r="B25" s="40" t="n">
        <f aca="false">COUNTIF(Champs!H:H,A25)</f>
        <v>1</v>
      </c>
    </row>
    <row r="26" customFormat="false" ht="15" hidden="false" customHeight="false" outlineLevel="0" collapsed="false">
      <c r="A26" s="8" t="s">
        <v>52</v>
      </c>
      <c r="B26" s="40" t="n">
        <f aca="false">COUNTIF(Champs!H:H,A26)</f>
        <v>1</v>
      </c>
    </row>
    <row r="27" customFormat="false" ht="15" hidden="false" customHeight="false" outlineLevel="0" collapsed="false">
      <c r="A27" s="8" t="s">
        <v>58</v>
      </c>
      <c r="B27" s="40" t="n">
        <f aca="false">COUNTIF(Champs!H:H,A27)</f>
        <v>7</v>
      </c>
    </row>
    <row r="28" customFormat="false" ht="15" hidden="false" customHeight="false" outlineLevel="0" collapsed="false">
      <c r="A28" s="8" t="s">
        <v>133</v>
      </c>
      <c r="B28" s="40" t="n">
        <f aca="false">COUNTIF(Champs!H:H,A28)</f>
        <v>1</v>
      </c>
    </row>
    <row r="29" customFormat="false" ht="15" hidden="false" customHeight="false" outlineLevel="0" collapsed="false">
      <c r="A29" s="8" t="s">
        <v>165</v>
      </c>
      <c r="B29" s="40" t="n">
        <f aca="false">COUNTIF(Champs!H:H,A29)</f>
        <v>1</v>
      </c>
    </row>
    <row r="30" customFormat="false" ht="15" hidden="false" customHeight="false" outlineLevel="0" collapsed="false">
      <c r="A30" s="8" t="s">
        <v>222</v>
      </c>
      <c r="B30" s="40" t="n">
        <f aca="false">COUNTIF(Champs!H:H,A30)</f>
        <v>4</v>
      </c>
    </row>
    <row r="31" customFormat="false" ht="15" hidden="false" customHeight="false" outlineLevel="0" collapsed="false">
      <c r="A31" s="8" t="s">
        <v>182</v>
      </c>
      <c r="B31" s="40" t="n">
        <f aca="false">COUNTIF(Champs!H:H,A31)</f>
        <v>1</v>
      </c>
    </row>
    <row r="32" customFormat="false" ht="15" hidden="false" customHeight="false" outlineLevel="0" collapsed="false">
      <c r="A32" s="8" t="s">
        <v>215</v>
      </c>
      <c r="B32" s="40" t="n">
        <f aca="false">COUNTIF(Champs!H:H,A32)</f>
        <v>1</v>
      </c>
    </row>
    <row r="33" customFormat="false" ht="15" hidden="false" customHeight="false" outlineLevel="0" collapsed="false">
      <c r="A33" s="8" t="s">
        <v>277</v>
      </c>
      <c r="B33" s="40" t="n">
        <f aca="false">COUNTIF(Champs!H:H,A33)</f>
        <v>2</v>
      </c>
    </row>
    <row r="34" customFormat="false" ht="15" hidden="false" customHeight="false" outlineLevel="0" collapsed="false">
      <c r="A34" s="8" t="s">
        <v>331</v>
      </c>
      <c r="B34" s="40" t="n">
        <f aca="false">COUNTIF(Champs!H:H,A34)</f>
        <v>1</v>
      </c>
    </row>
    <row r="35" customFormat="false" ht="15" hidden="false" customHeight="false" outlineLevel="0" collapsed="false">
      <c r="A35" s="8" t="s">
        <v>314</v>
      </c>
      <c r="B35" s="40" t="n">
        <f aca="false">COUNTIF(Champs!H:H,A35)</f>
        <v>6</v>
      </c>
    </row>
    <row r="36" customFormat="false" ht="15" hidden="false" customHeight="false" outlineLevel="0" collapsed="false">
      <c r="A36" s="8" t="s">
        <v>170</v>
      </c>
      <c r="B36" s="40" t="n">
        <f aca="false">COUNTIF(Champs!H:H,A36)</f>
        <v>1</v>
      </c>
    </row>
    <row r="37" customFormat="false" ht="15" hidden="false" customHeight="false" outlineLevel="0" collapsed="false">
      <c r="A37" s="8" t="s">
        <v>302</v>
      </c>
      <c r="B37" s="40" t="n">
        <f aca="false">COUNTIF(Champs!H:H,A37)</f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70"/>
    <col collapsed="false" customWidth="true" hidden="false" outlineLevel="0" max="4" min="4" style="0" width="2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37" t="s">
        <v>402</v>
      </c>
      <c r="B1" s="37"/>
      <c r="C1" s="37"/>
      <c r="D1" s="37"/>
      <c r="E1" s="37"/>
    </row>
    <row r="3" customFormat="false" ht="15" hidden="false" customHeight="false" outlineLevel="0" collapsed="false">
      <c r="A3" s="2" t="s">
        <v>403</v>
      </c>
      <c r="B3" s="2"/>
      <c r="C3" s="2"/>
      <c r="D3" s="2"/>
      <c r="E3" s="2"/>
    </row>
    <row r="5" customFormat="false" ht="30" hidden="false" customHeight="true" outlineLevel="0" collapsed="false">
      <c r="A5" s="38" t="s">
        <v>404</v>
      </c>
      <c r="B5" s="38" t="s">
        <v>405</v>
      </c>
      <c r="C5" s="38" t="s">
        <v>406</v>
      </c>
      <c r="D5" s="38" t="s">
        <v>407</v>
      </c>
      <c r="E5" s="38" t="s">
        <v>408</v>
      </c>
    </row>
    <row r="6" customFormat="false" ht="23.85" hidden="false" customHeight="false" outlineLevel="0" collapsed="false">
      <c r="A6" s="52" t="s">
        <v>409</v>
      </c>
      <c r="B6" s="18" t="s">
        <v>410</v>
      </c>
      <c r="C6" s="20" t="s">
        <v>411</v>
      </c>
      <c r="D6" s="19" t="s">
        <v>412</v>
      </c>
      <c r="E6" s="53" t="s">
        <v>413</v>
      </c>
    </row>
    <row r="7" customFormat="false" ht="23.85" hidden="false" customHeight="false" outlineLevel="0" collapsed="false">
      <c r="A7" s="52" t="s">
        <v>414</v>
      </c>
      <c r="B7" s="21" t="s">
        <v>415</v>
      </c>
      <c r="C7" s="26" t="s">
        <v>416</v>
      </c>
      <c r="D7" s="25" t="s">
        <v>417</v>
      </c>
      <c r="E7" s="54" t="s">
        <v>413</v>
      </c>
    </row>
    <row r="8" customFormat="false" ht="23.85" hidden="false" customHeight="false" outlineLevel="0" collapsed="false">
      <c r="A8" s="52" t="s">
        <v>418</v>
      </c>
      <c r="B8" s="18" t="s">
        <v>222</v>
      </c>
      <c r="C8" s="20" t="s">
        <v>419</v>
      </c>
      <c r="D8" s="19" t="s">
        <v>420</v>
      </c>
      <c r="E8" s="53" t="s">
        <v>421</v>
      </c>
    </row>
    <row r="9" customFormat="false" ht="23.85" hidden="false" customHeight="false" outlineLevel="0" collapsed="false">
      <c r="A9" s="52" t="s">
        <v>422</v>
      </c>
      <c r="B9" s="21" t="s">
        <v>423</v>
      </c>
      <c r="C9" s="26" t="s">
        <v>424</v>
      </c>
      <c r="D9" s="25" t="s">
        <v>425</v>
      </c>
      <c r="E9" s="54" t="s">
        <v>426</v>
      </c>
    </row>
    <row r="10" customFormat="false" ht="23.85" hidden="false" customHeight="false" outlineLevel="0" collapsed="false">
      <c r="A10" s="52" t="s">
        <v>427</v>
      </c>
      <c r="B10" s="18" t="s">
        <v>428</v>
      </c>
      <c r="C10" s="20" t="s">
        <v>429</v>
      </c>
      <c r="D10" s="19" t="s">
        <v>430</v>
      </c>
      <c r="E10" s="53" t="s">
        <v>431</v>
      </c>
    </row>
    <row r="11" customFormat="false" ht="23.85" hidden="false" customHeight="false" outlineLevel="0" collapsed="false">
      <c r="A11" s="52" t="s">
        <v>432</v>
      </c>
      <c r="B11" s="21" t="s">
        <v>433</v>
      </c>
      <c r="C11" s="26" t="s">
        <v>434</v>
      </c>
      <c r="D11" s="25" t="s">
        <v>435</v>
      </c>
      <c r="E11" s="54" t="s">
        <v>436</v>
      </c>
    </row>
    <row r="12" customFormat="false" ht="23.85" hidden="false" customHeight="false" outlineLevel="0" collapsed="false">
      <c r="A12" s="52" t="s">
        <v>437</v>
      </c>
      <c r="B12" s="18" t="s">
        <v>331</v>
      </c>
      <c r="C12" s="20" t="s">
        <v>438</v>
      </c>
      <c r="D12" s="19" t="s">
        <v>439</v>
      </c>
      <c r="E12" s="53" t="s">
        <v>421</v>
      </c>
    </row>
    <row r="13" customFormat="false" ht="15" hidden="false" customHeight="false" outlineLevel="0" collapsed="false">
      <c r="A13" s="52" t="s">
        <v>440</v>
      </c>
      <c r="B13" s="21" t="s">
        <v>441</v>
      </c>
      <c r="C13" s="26" t="s">
        <v>442</v>
      </c>
      <c r="D13" s="25" t="s">
        <v>412</v>
      </c>
      <c r="E13" s="54" t="s">
        <v>443</v>
      </c>
    </row>
    <row r="14" customFormat="false" ht="23.85" hidden="false" customHeight="false" outlineLevel="0" collapsed="false">
      <c r="A14" s="52" t="s">
        <v>444</v>
      </c>
      <c r="B14" s="18" t="s">
        <v>445</v>
      </c>
      <c r="C14" s="20" t="s">
        <v>446</v>
      </c>
      <c r="D14" s="19" t="s">
        <v>447</v>
      </c>
      <c r="E14" s="53" t="s">
        <v>448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2026-05-12T14:23:59Z</dcterms:created>
  <dc:creator>openpyxl</dc:creator>
  <dc:description/>
  <dc:language>en-US</dc:language>
  <cp:lastModifiedBy/>
  <dcterms:modified xsi:type="dcterms:W3CDTF">2026-05-12T14:23:59Z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
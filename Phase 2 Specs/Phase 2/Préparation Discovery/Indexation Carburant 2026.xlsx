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 Carburant" sheetId="1" r:id="rId5"/>
    <sheet state="visible" name="Indexation Client 2026" sheetId="2" r:id="rId6"/>
  </sheets>
  <definedNames>
    <definedName hidden="1" localSheetId="1" name="_xlnm._FilterDatabase">'Indexation Client 2026'!$A$5:$U$167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tc={0e6d2c5d-0c1e-43ed-944e-8504fa66c76e}</author>
    <author>tc={d1f2db9d-c369-48d0-9b10-9de066e8a0e0}</author>
  </authors>
  <commentList>
    <comment authorId="0" xr:uid="{0e6d2c5d-0c1e-43ed-944e-8504fa66c76e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Indice DPD
</t>
      </text>
    </comment>
    <comment authorId="1" xr:uid="{d1f2db9d-c369-48d0-9b10-9de066e8a0e0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Indice DPD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tc={00496018-ae4e-4e12-a970-87f4ba7d2241}</author>
    <author>tc={154f688c-e285-4d23-9cbd-c4d3b0944708}</author>
    <author>tc={253c1b47-3882-44c7-b4aa-dccad3e9cc77}</author>
    <author>tc={2e00ac2f-e6f2-4d6d-8240-be6c2ccc8c9e}</author>
    <author>tc={3429bfe2-d870-4b30-81d5-98a638ec7e19}</author>
    <author>tc={73585195-60d3-44a6-a46d-8a9024c690d2}</author>
    <author>tc={76528987-a40a-432a-a3d2-3530b4a033d4}</author>
    <author>tc={76690b65-d1cc-4127-843f-7bca56d7609f}</author>
    <author>tc={79c52a32-91ad-4cad-87e9-fc1499899877}</author>
    <author>tc={7ba2d72c-2a98-4882-911a-46584b0d021a}</author>
    <author>tc={8f949c7e-a0d5-4607-b13a-57bffab6c06b}</author>
    <author>tc={907d38a5-dccc-414f-ab11-21110ea91914}</author>
    <author>tc={90873a7d-d0d6-41f7-83f9-b2d81bce5120}</author>
    <author>tc={95fb81d9-f0c6-4b90-af37-1a1423a3a385}</author>
    <author>tc={9d0240bc-f37e-4b3a-9372-f2b7ba827485}</author>
    <author>tc={9f072e52-cce6-4f72-9d68-d65f26106fef}</author>
    <author>tc={ac46180e-73d8-4469-b0ef-4fa9731505fa}</author>
    <author>tc={bd3921b7-989f-4e43-8e9b-ac27bd5791b9}</author>
    <author>tc={c3feaeab-fc17-4e07-93da-f53210724f3e}</author>
    <author>tc={d2292266-6804-45c3-a172-8bf52ae54644}</author>
    <author>tc={e8835139-40f5-4653-b75e-c9147d43fc71}</author>
    <author>tc={eb59d22e-6f40-40a6-a4b2-315169e16b46}</author>
    <author>tc={fc29ea68-3cd6-48dc-922c-61b3d2559f0f}</author>
  </authors>
  <commentList>
    <comment authorId="0" xr:uid="{00496018-ae4e-4e12-a970-87f4ba7d2241}" ref="F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1" xr:uid="{154f688c-e285-4d23-9cbd-c4d3b0944708}" ref="F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2" xr:uid="{253c1b47-3882-44c7-b4aa-dccad3e9cc77}" ref="F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3" xr:uid="{2e00ac2f-e6f2-4d6d-8240-be6c2ccc8c9e}" ref="F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4" xr:uid="{3429bfe2-d870-4b30-81d5-98a638ec7e19}" ref="F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5" xr:uid="{73585195-60d3-44a6-a46d-8a9024c690d2}" ref="F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6" xr:uid="{76528987-a40a-432a-a3d2-3530b4a033d4}" ref="F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7" xr:uid="{76690b65-d1cc-4127-843f-7bca56d7609f}" ref="F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8" xr:uid="{79c52a32-91ad-4cad-87e9-fc1499899877}" ref="F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9" xr:uid="{7ba2d72c-2a98-4882-911a-46584b0d021a}" ref="F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10" xr:uid="{8f949c7e-a0d5-4607-b13a-57bffab6c06b}" ref="F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11" xr:uid="{907d38a5-dccc-414f-ab11-21110ea91914}" ref="D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Aout 2014
Changement indice Mars 2026
CNR GO PRO
</t>
      </text>
    </comment>
    <comment authorId="12" xr:uid="{90873a7d-d0d6-41f7-83f9-b2d81bce5120}" ref="D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Juillet 2024
</t>
      </text>
    </comment>
    <comment authorId="13" xr:uid="{95fb81d9-f0c6-4b90-af37-1a1423a3a385}" ref="F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14" xr:uid="{9d0240bc-f37e-4b3a-9372-f2b7ba827485}" ref="F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15" xr:uid="{9f072e52-cce6-4f72-9d68-d65f26106fef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Ancien M048
</t>
      </text>
    </comment>
    <comment authorId="16" xr:uid="{ac46180e-73d8-4469-b0ef-4fa9731505fa}" ref="B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Neutralisation entre-2% et +2%
</t>
      </text>
    </comment>
    <comment authorId="17" xr:uid="{bd3921b7-989f-4e43-8e9b-ac27bd5791b9}" ref="F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Changement pondération =&gt; aplliqué celle du CNR, ancien 33%
</t>
      </text>
    </comment>
    <comment authorId="18" xr:uid="{c3feaeab-fc17-4e07-93da-f53210724f3e}" ref="F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19" xr:uid="{d2292266-6804-45c3-a172-8bf52ae54644}" ref="B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Démarrage 14/04/2025
</t>
      </text>
    </comment>
    <comment authorId="20" xr:uid="{e8835139-40f5-4653-b75e-c9147d43fc71}" ref="F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21" xr:uid="{eb59d22e-6f40-40a6-a4b2-315169e16b46}" ref="F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changer tous les ans en fonction CNR
</t>
      </text>
    </comment>
    <comment authorId="22" xr:uid="{fc29ea68-3cd6-48dc-922c-61b3d2559f0f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 au 01/02/2026
</t>
      </text>
    </comment>
  </commentList>
</comments>
</file>

<file path=xl/sharedStrings.xml><?xml version="1.0" encoding="utf-8"?>
<sst xmlns="http://schemas.openxmlformats.org/spreadsheetml/2006/main" count="839" uniqueCount="286">
  <si>
    <t>INDICE   2026</t>
  </si>
  <si>
    <t>DIREM</t>
  </si>
  <si>
    <t>CNR Base 100 Décembre 2000</t>
  </si>
  <si>
    <t>Indice CNR gazole professionnel</t>
  </si>
  <si>
    <t>Indice CNR gazole hors TVA</t>
  </si>
  <si>
    <r>
      <rPr>
        <rFont val="Aptos Narrow"/>
        <b/>
        <color theme="1"/>
        <sz val="14.0"/>
      </rPr>
      <t xml:space="preserve">Prix CNR gazole </t>
    </r>
    <r>
      <rPr>
        <rFont val="Aptos Narrow"/>
        <b/>
        <color theme="1"/>
        <sz val="16.0"/>
      </rPr>
      <t>CUVE</t>
    </r>
    <r>
      <rPr>
        <rFont val="Aptos Narrow"/>
        <b/>
        <color theme="1"/>
        <sz val="14.0"/>
      </rPr>
      <t xml:space="preserve"> moyenne mensuelle</t>
    </r>
  </si>
  <si>
    <t>Prix CNR gazole cuve fin de mois</t>
  </si>
  <si>
    <t>-</t>
  </si>
  <si>
    <r>
      <rPr>
        <rFont val="Aptos Narrow"/>
        <b/>
        <color theme="1"/>
        <sz val="14.0"/>
      </rPr>
      <t xml:space="preserve">Prix gazole </t>
    </r>
    <r>
      <rPr>
        <rFont val="Aptos Narrow"/>
        <b/>
        <color theme="1"/>
        <sz val="16.0"/>
      </rPr>
      <t>POMPE</t>
    </r>
    <r>
      <rPr>
        <rFont val="Aptos Narrow"/>
        <b/>
        <color theme="1"/>
        <sz val="14.0"/>
      </rPr>
      <t xml:space="preserve"> moyenne mensuelle (DIREM)</t>
    </r>
  </si>
  <si>
    <t>DIREM à partir de Janvier 2026</t>
  </si>
  <si>
    <t>Prix gazole pompe fin de mois (DIREM)</t>
  </si>
  <si>
    <t>Indice CNR carburant GNV</t>
  </si>
  <si>
    <t>ENGIE Hors TICGN COMPTE VIAPOST</t>
  </si>
  <si>
    <t>AS 24 - Carburant BIO GNC - Tarif PARNASS</t>
  </si>
  <si>
    <t>ENGIE - Carburant GNC L - Tarif PARNASS</t>
  </si>
  <si>
    <t>ENGIE - Carburant BIO GNC - Tarif PARNASS</t>
  </si>
  <si>
    <t>ENGIE - Carburant GNL - Tarif PARNASS</t>
  </si>
  <si>
    <t>AS 24 - Carburant GO - Tarif PARNASS</t>
  </si>
  <si>
    <t>Indice CNR   Carburant groupe froid autonome GNR</t>
  </si>
  <si>
    <t>Remise Partiel TICPE Forfait</t>
  </si>
  <si>
    <t>REMISE PARTIEL TICPE AUCHAN</t>
  </si>
  <si>
    <t>INDEXATION CARBURANT Clients 2026</t>
  </si>
  <si>
    <t>Jours</t>
  </si>
  <si>
    <t>Ouvrables</t>
  </si>
  <si>
    <t>Ouvrés</t>
  </si>
  <si>
    <t>CLIENTS</t>
  </si>
  <si>
    <t>Contrats</t>
  </si>
  <si>
    <t>Code Facturation</t>
  </si>
  <si>
    <t>Indice de Référence</t>
  </si>
  <si>
    <t>Base indice</t>
  </si>
  <si>
    <t>Pondération</t>
  </si>
  <si>
    <t>Mode de Facturation IGO</t>
  </si>
  <si>
    <t>Valeur de Réf.</t>
  </si>
  <si>
    <t>CAT</t>
  </si>
  <si>
    <t>IVELI_FRIDF SR1</t>
  </si>
  <si>
    <t>CNR GO PRO M-1</t>
  </si>
  <si>
    <t>% Pied de facture</t>
  </si>
  <si>
    <t>JCBBO_FRIDF</t>
  </si>
  <si>
    <t>CEVA LOGISTIC</t>
  </si>
  <si>
    <t>CEVA GENNEVILLIERS</t>
  </si>
  <si>
    <t>CEVAGEN</t>
  </si>
  <si>
    <t>?</t>
  </si>
  <si>
    <t>CEVA MOISSY</t>
  </si>
  <si>
    <t>CEVAMOI</t>
  </si>
  <si>
    <t>CHRONOPOST CHILLY</t>
  </si>
  <si>
    <t>40U62 - Conforma / MGF</t>
  </si>
  <si>
    <t>CHCMZ</t>
  </si>
  <si>
    <t>PMM DIREM M-1</t>
  </si>
  <si>
    <t>Sur Km</t>
  </si>
  <si>
    <t>40U71 - Alloga</t>
  </si>
  <si>
    <t>40U72 - Dyson</t>
  </si>
  <si>
    <t>40U76 - AMAZON (HNI)</t>
  </si>
  <si>
    <t>40U76 - AMAZON (CMZ)</t>
  </si>
  <si>
    <t>40U88 (Gaz) - CDISCOUNT CMZ</t>
  </si>
  <si>
    <t>40U88 (Gaz) - CDISCOUNT HNI</t>
  </si>
  <si>
    <t>40U96</t>
  </si>
  <si>
    <t>CHRONOPOST HNI</t>
  </si>
  <si>
    <t>23R03</t>
  </si>
  <si>
    <t>CHAUL</t>
  </si>
  <si>
    <t>23R68</t>
  </si>
  <si>
    <t>23R67</t>
  </si>
  <si>
    <t>CHRONOPOST RESEAU</t>
  </si>
  <si>
    <t>SWAP GAZ</t>
  </si>
  <si>
    <t>CHRON</t>
  </si>
  <si>
    <t>CNR GNV M-1/100</t>
  </si>
  <si>
    <t>SWAP GO</t>
  </si>
  <si>
    <t>SPL GAZ</t>
  </si>
  <si>
    <t>VL GO</t>
  </si>
  <si>
    <t>SPL GO</t>
  </si>
  <si>
    <t>CHRONOPOST ROISSY</t>
  </si>
  <si>
    <t>LRCDGORY01</t>
  </si>
  <si>
    <t>CHROI</t>
  </si>
  <si>
    <t>LRCDGORY02</t>
  </si>
  <si>
    <t>COLISSIMO</t>
  </si>
  <si>
    <t>CTRT 202213366</t>
  </si>
  <si>
    <t>CSPN</t>
  </si>
  <si>
    <t>PARC</t>
  </si>
  <si>
    <t>GEN202212891SLOT04</t>
  </si>
  <si>
    <t>Variation TK</t>
  </si>
  <si>
    <t>IDFLTHCGENC9595</t>
  </si>
  <si>
    <t>IDFN-DOT-00A-CM</t>
  </si>
  <si>
    <t>CNR GNV M-1</t>
  </si>
  <si>
    <t>IDFN-LTH-004-CM</t>
  </si>
  <si>
    <t>IDFN-LTH-007-CM</t>
  </si>
  <si>
    <t>IDFN-LTH-009-S33</t>
  </si>
  <si>
    <t>IDFN-LTH-011-CM</t>
  </si>
  <si>
    <t>IDFN-LTH-014-CM</t>
  </si>
  <si>
    <t>IDFN-LTH-016-S33</t>
  </si>
  <si>
    <t>IDFN-LTH-017-S33</t>
  </si>
  <si>
    <t>IDFN-LTH-081-CM</t>
  </si>
  <si>
    <t>IDFS-MJD-88-CM</t>
  </si>
  <si>
    <t>IDFS-MOI-136-S33</t>
  </si>
  <si>
    <t>IZPFC69SLM090</t>
  </si>
  <si>
    <t>Astreinte</t>
  </si>
  <si>
    <t>LII043C9267CR</t>
  </si>
  <si>
    <t>LIN128C9562AR</t>
  </si>
  <si>
    <t>LIN198S7776AS</t>
  </si>
  <si>
    <t>LIN177C6238CR</t>
  </si>
  <si>
    <t>LIO087C9541AR</t>
  </si>
  <si>
    <t>LIO088C9541AR</t>
  </si>
  <si>
    <t>LIO099C7741AR</t>
  </si>
  <si>
    <t>LIS124C7769CR</t>
  </si>
  <si>
    <t>LOT 08 - Porteur de Cour NANTERRE</t>
  </si>
  <si>
    <t>Variation Tx Horaire</t>
  </si>
  <si>
    <t>IDFN-LTH-017-CM</t>
  </si>
  <si>
    <t>IDFS-MOI-307-CM</t>
  </si>
  <si>
    <t>IDFN-LTH-115-CM</t>
  </si>
  <si>
    <t>LIO124S7741AR</t>
  </si>
  <si>
    <t>IDFS-MJD-207-CM</t>
  </si>
  <si>
    <t>IDFS-MJD-104-S33</t>
  </si>
  <si>
    <t>IDFS-MJD-106-S33</t>
  </si>
  <si>
    <t>LIN204C9576AR</t>
  </si>
  <si>
    <t>LIN205C9576AR</t>
  </si>
  <si>
    <t>DACHSER CERGY</t>
  </si>
  <si>
    <t>532_FT_113</t>
  </si>
  <si>
    <t>DACER</t>
  </si>
  <si>
    <t>532_FT_148</t>
  </si>
  <si>
    <t>532_FT_151</t>
  </si>
  <si>
    <t>532_FT_25</t>
  </si>
  <si>
    <t>532_FT_445</t>
  </si>
  <si>
    <t>AR Cergy - Pantin</t>
  </si>
  <si>
    <t>Dachser HOLNON</t>
  </si>
  <si>
    <t>537_FT_141</t>
  </si>
  <si>
    <t>DASTQ</t>
  </si>
  <si>
    <t>NAVETTE LC</t>
  </si>
  <si>
    <t>DACHSER PANTIN</t>
  </si>
  <si>
    <t>567_FT_423</t>
  </si>
  <si>
    <t>DAPAN</t>
  </si>
  <si>
    <t>DACHSER STRASBOURG</t>
  </si>
  <si>
    <t>538_FT_70</t>
  </si>
  <si>
    <t>DASTR</t>
  </si>
  <si>
    <t>CMM M-1</t>
  </si>
  <si>
    <t xml:space="preserve">DACHSER VILLEPARISIS </t>
  </si>
  <si>
    <t>535_FT_297</t>
  </si>
  <si>
    <t>DACHS</t>
  </si>
  <si>
    <t>535_FT_378</t>
  </si>
  <si>
    <t>535_FT_5048</t>
  </si>
  <si>
    <t>T 962</t>
  </si>
  <si>
    <t>CNR GO PRO M-2</t>
  </si>
  <si>
    <t>T 964</t>
  </si>
  <si>
    <t>T963</t>
  </si>
  <si>
    <t>527_535_FT_425</t>
  </si>
  <si>
    <t>DACHSER WISSOUS</t>
  </si>
  <si>
    <t>534_FT_115</t>
  </si>
  <si>
    <t>DAWIS</t>
  </si>
  <si>
    <t>534_FT_5022</t>
  </si>
  <si>
    <t>DGF</t>
  </si>
  <si>
    <t>DHL AVIATION</t>
  </si>
  <si>
    <t>DHLAV</t>
  </si>
  <si>
    <t>DHL EUROAD</t>
  </si>
  <si>
    <t>COST CENTER 925201</t>
  </si>
  <si>
    <t>DHLGM</t>
  </si>
  <si>
    <t>DHL EXPRESS</t>
  </si>
  <si>
    <t>CONTRAT FRD</t>
  </si>
  <si>
    <t>DHLINT</t>
  </si>
  <si>
    <t>COURSE-SPL</t>
  </si>
  <si>
    <t>PRESTATIONS IDF GAZ</t>
  </si>
  <si>
    <t>PRESTATIONS IDF GO</t>
  </si>
  <si>
    <t>PRESTATIONS LYON GO</t>
  </si>
  <si>
    <t>DHL FREIGHT</t>
  </si>
  <si>
    <t>DHLFREI</t>
  </si>
  <si>
    <t>DPD 78</t>
  </si>
  <si>
    <t>DPD078</t>
  </si>
  <si>
    <t>DIREM M-1</t>
  </si>
  <si>
    <t>EXAPAQ</t>
  </si>
  <si>
    <t>095_175_095</t>
  </si>
  <si>
    <t>DIREM du mois M</t>
  </si>
  <si>
    <t>078 MINOLTA</t>
  </si>
  <si>
    <t>078_175_076_175_078</t>
  </si>
  <si>
    <t>078_Ramasses_078_175_078</t>
  </si>
  <si>
    <t xml:space="preserve">Amblainville </t>
  </si>
  <si>
    <t>Vemars</t>
  </si>
  <si>
    <t>FEDEX AGENCE TREMBLAY</t>
  </si>
  <si>
    <t>R404</t>
  </si>
  <si>
    <t>FEDEX</t>
  </si>
  <si>
    <t>????</t>
  </si>
  <si>
    <t>R528</t>
  </si>
  <si>
    <t>R487</t>
  </si>
  <si>
    <t>R488</t>
  </si>
  <si>
    <t>FEDEX LBG</t>
  </si>
  <si>
    <t>FRT91A-1110614-2 (indice 202,73)</t>
  </si>
  <si>
    <r>
      <rPr>
        <rFont val="Aptos Narrow"/>
        <color theme="1"/>
        <sz val="11.0"/>
      </rPr>
      <t xml:space="preserve">FRT91A-1110614-2 </t>
    </r>
    <r>
      <rPr>
        <rFont val="Aptos Narrow"/>
        <b/>
        <color theme="1"/>
        <sz val="11.0"/>
      </rPr>
      <t>(FRT03850)</t>
    </r>
  </si>
  <si>
    <t>FRT91A-1110614-2 (indice 188,39)</t>
  </si>
  <si>
    <r>
      <rPr>
        <rFont val="Aptos Narrow"/>
        <color theme="1"/>
        <sz val="11.0"/>
      </rPr>
      <t xml:space="preserve">FRT91A-1110614-2 </t>
    </r>
    <r>
      <rPr>
        <rFont val="Aptos Narrow"/>
        <b/>
        <color theme="1"/>
        <sz val="11.0"/>
      </rPr>
      <t>(FRT04272)</t>
    </r>
  </si>
  <si>
    <r>
      <rPr>
        <rFont val="Aptos Narrow"/>
        <color theme="1"/>
        <sz val="11.0"/>
      </rPr>
      <t xml:space="preserve">FRT91A-1110614-2 </t>
    </r>
    <r>
      <rPr>
        <rFont val="Aptos Narrow"/>
        <b/>
        <color theme="1"/>
        <sz val="11.0"/>
      </rPr>
      <t>(FRT03910-03932)</t>
    </r>
  </si>
  <si>
    <t>FRTLY4-1110567-1</t>
  </si>
  <si>
    <t>FRTNY4-1110517-1</t>
  </si>
  <si>
    <t>FRT91A-1110614-2 (indice 195,67)</t>
  </si>
  <si>
    <t>FEDEX Réseau Acheminement</t>
  </si>
  <si>
    <t>AIDF40</t>
  </si>
  <si>
    <t>A5167</t>
  </si>
  <si>
    <t>A5136</t>
  </si>
  <si>
    <t>A5164</t>
  </si>
  <si>
    <t>A5166</t>
  </si>
  <si>
    <t>A5170</t>
  </si>
  <si>
    <t>AIDF22</t>
  </si>
  <si>
    <t>GLS</t>
  </si>
  <si>
    <t>Troyes - Fleury</t>
  </si>
  <si>
    <t>GLSMES</t>
  </si>
  <si>
    <t>MAD COMBS - RP59177</t>
  </si>
  <si>
    <t>GLSTLS</t>
  </si>
  <si>
    <t>LOT 04 - RP7891951</t>
  </si>
  <si>
    <t>LOT 05 - RP789610</t>
  </si>
  <si>
    <t>LOT 03 - RP959193</t>
  </si>
  <si>
    <t>RP9477TP2</t>
  </si>
  <si>
    <t>RP955912 - RP955913</t>
  </si>
  <si>
    <t>HEPPNER</t>
  </si>
  <si>
    <t>T0944040202501</t>
  </si>
  <si>
    <t>HEPPNSP</t>
  </si>
  <si>
    <t>T4237740202501</t>
  </si>
  <si>
    <t>HEPPNRUN</t>
  </si>
  <si>
    <t>MONDIAL RELAY</t>
  </si>
  <si>
    <t>010061 - T10061</t>
  </si>
  <si>
    <t>MONDIAL</t>
  </si>
  <si>
    <t>PMM M-1</t>
  </si>
  <si>
    <t>SCHENKER</t>
  </si>
  <si>
    <t>7797-1</t>
  </si>
  <si>
    <t>DBSCHENKER</t>
  </si>
  <si>
    <t>9293-4</t>
  </si>
  <si>
    <t>9777-2</t>
  </si>
  <si>
    <t>TAB</t>
  </si>
  <si>
    <t>Caisse Mobile</t>
  </si>
  <si>
    <t>CNR GO PRO M</t>
  </si>
  <si>
    <t>Ensemble</t>
  </si>
  <si>
    <t>UPS</t>
  </si>
  <si>
    <t>Navette AMAZON (AS/AR)</t>
  </si>
  <si>
    <t>CNR GO PRO HTVA M</t>
  </si>
  <si>
    <t>PA 06</t>
  </si>
  <si>
    <t>PA 07</t>
  </si>
  <si>
    <t>PA16</t>
  </si>
  <si>
    <t>PA 18</t>
  </si>
  <si>
    <t>E 951</t>
  </si>
  <si>
    <t>PA 94</t>
  </si>
  <si>
    <t>PA 95</t>
  </si>
  <si>
    <t>PA 22</t>
  </si>
  <si>
    <t>DJ 21</t>
  </si>
  <si>
    <t>DJ 25</t>
  </si>
  <si>
    <t>E 782</t>
  </si>
  <si>
    <t>E 721</t>
  </si>
  <si>
    <t>E 371</t>
  </si>
  <si>
    <t>AZC1 Reau - Evry</t>
  </si>
  <si>
    <t>ASE5</t>
  </si>
  <si>
    <t>ASM2</t>
  </si>
  <si>
    <t>CN02</t>
  </si>
  <si>
    <t>LL 01</t>
  </si>
  <si>
    <t>VIAPOST COURRIER</t>
  </si>
  <si>
    <t>EZN104S7691AR</t>
  </si>
  <si>
    <t>VIAPOST</t>
  </si>
  <si>
    <t>EZN105S9376AR</t>
  </si>
  <si>
    <t>EZS071S6994MI</t>
  </si>
  <si>
    <t>EZN158S5993AS</t>
  </si>
  <si>
    <t>VIAPOST PRESSE</t>
  </si>
  <si>
    <t>LOT 163</t>
  </si>
  <si>
    <t>LOT 164</t>
  </si>
  <si>
    <t>LOT 168</t>
  </si>
  <si>
    <t>LOT 170</t>
  </si>
  <si>
    <t>ENGIE VIAPOST M-1</t>
  </si>
  <si>
    <t>VENTE UNIQUE</t>
  </si>
  <si>
    <t>Amblainville - GARONOR</t>
  </si>
  <si>
    <t>VENTEUN</t>
  </si>
  <si>
    <t>Demarrage en SPOT</t>
  </si>
  <si>
    <t>MAUSER</t>
  </si>
  <si>
    <t>MAD MONTATAIRE</t>
  </si>
  <si>
    <t>MAUSE</t>
  </si>
  <si>
    <t>ALYSIA</t>
  </si>
  <si>
    <t>Navette Orly - Roissy</t>
  </si>
  <si>
    <t>HEPPNER 95</t>
  </si>
  <si>
    <t xml:space="preserve">MAD </t>
  </si>
  <si>
    <t>HEPPNGON</t>
  </si>
  <si>
    <t xml:space="preserve"> </t>
  </si>
  <si>
    <t>COLIS PRIVE</t>
  </si>
  <si>
    <t>HUB19CCE27</t>
  </si>
  <si>
    <t>COLISP</t>
  </si>
  <si>
    <t>FTL</t>
  </si>
  <si>
    <t>MADFTL</t>
  </si>
  <si>
    <t>FTLGROUP</t>
  </si>
  <si>
    <t>GEODIS BRIE</t>
  </si>
  <si>
    <t>PPT03</t>
  </si>
  <si>
    <t>AUCHAN</t>
  </si>
  <si>
    <t>MAD Double Poste</t>
  </si>
  <si>
    <t>CMM M-1 (-TICPE)</t>
  </si>
  <si>
    <t xml:space="preserve">Calcul Tarif VIAPOST ENGIE </t>
  </si>
  <si>
    <t>Tarif Négocié</t>
  </si>
  <si>
    <t>indexation</t>
  </si>
  <si>
    <t>%</t>
  </si>
  <si>
    <t>réf 170.10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</si>
</sst>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"/>
    <numFmt numFmtId="166" formatCode="0.0%"/>
    <numFmt numFmtId="167" formatCode="0.000%"/>
    <numFmt numFmtId="168" formatCode="0.0000%"/>
  </numFmts>
  <fonts count="22">
    <font>
      <sz val="11.0"/>
      <color theme="1"/>
      <name val="Aptos Narrow"/>
      <scheme val="minor"/>
    </font>
    <font>
      <b/>
      <sz val="22.0"/>
      <color theme="1"/>
      <name val="Aptos Narrow"/>
    </font>
    <font>
      <sz val="11.0"/>
      <color theme="1"/>
      <name val="Aptos Narrow"/>
    </font>
    <font>
      <b/>
      <sz val="14.0"/>
      <color theme="0"/>
      <name val="Aptos Narrow"/>
    </font>
    <font>
      <b/>
      <sz val="14.0"/>
      <color theme="1"/>
      <name val="Aptos Narrow"/>
    </font>
    <font>
      <b/>
      <sz val="12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sz val="14.0"/>
      <color theme="1"/>
      <name val="Aptos Narrow"/>
    </font>
    <font>
      <b/>
      <sz val="12.0"/>
      <color theme="5"/>
      <name val="Aptos Narrow"/>
    </font>
    <font>
      <b/>
      <i/>
      <sz val="12.0"/>
      <color rgb="FF275317"/>
      <name val="Aptos Narrow"/>
    </font>
    <font>
      <b/>
      <i/>
      <sz val="12.0"/>
      <color rgb="FF0070C0"/>
      <name val="Aptos Narrow"/>
    </font>
    <font>
      <b/>
      <i/>
      <sz val="12.0"/>
      <color rgb="FFC00000"/>
      <name val="Aptos Narrow"/>
    </font>
    <font>
      <b/>
      <sz val="11.0"/>
      <color theme="1"/>
      <name val="Aptos Narrow"/>
    </font>
    <font>
      <b/>
      <sz val="16.0"/>
      <color theme="1"/>
      <name val="Aptos Narrow"/>
    </font>
    <font>
      <sz val="9.0"/>
      <color theme="1"/>
      <name val="Aptos Narrow"/>
    </font>
    <font>
      <b/>
      <sz val="16.0"/>
      <color theme="1"/>
      <name val="Arial"/>
    </font>
    <font/>
    <font>
      <sz val="10.0"/>
      <color theme="1"/>
      <name val="Aptos Narrow"/>
    </font>
    <font>
      <b/>
      <sz val="11.0"/>
      <color rgb="FFFF0000"/>
      <name val="Aptos Narrow"/>
    </font>
    <font>
      <sz val="11.0"/>
      <color rgb="FFFF0000"/>
      <name val="Aptos Narrow"/>
    </font>
    <font>
      <b/>
      <sz val="11.0"/>
      <color theme="0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47D45A"/>
        <bgColor rgb="FF47D45A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215E99"/>
        <bgColor rgb="FF215E99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2" fillId="3" fontId="3" numFmtId="17" xfId="0" applyAlignment="1" applyBorder="1" applyFont="1" applyNumberFormat="1">
      <alignment horizontal="center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left"/>
    </xf>
    <xf borderId="2" fillId="0" fontId="6" numFmtId="0" xfId="0" applyAlignment="1" applyBorder="1" applyFont="1">
      <alignment horizontal="center"/>
    </xf>
    <xf borderId="0" fillId="0" fontId="6" numFmtId="0" xfId="0" applyFont="1"/>
    <xf borderId="2" fillId="2" fontId="4" numFmtId="0" xfId="0" applyAlignment="1" applyBorder="1" applyFont="1">
      <alignment horizontal="center"/>
    </xf>
    <xf borderId="0" fillId="0" fontId="7" numFmtId="0" xfId="0" applyFont="1"/>
    <xf borderId="2" fillId="2" fontId="6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8" numFmtId="0" xfId="0" applyAlignment="1" applyFont="1">
      <alignment horizontal="center"/>
    </xf>
    <xf borderId="2" fillId="0" fontId="4" numFmtId="0" xfId="0" applyBorder="1" applyFont="1"/>
    <xf borderId="2" fillId="0" fontId="5" numFmtId="2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vertical="center"/>
    </xf>
    <xf borderId="2" fillId="0" fontId="1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2" fillId="0" fontId="10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2" fillId="4" fontId="5" numFmtId="0" xfId="0" applyAlignment="1" applyBorder="1" applyFill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4" numFmtId="0" xfId="0" applyBorder="1" applyFont="1"/>
    <xf borderId="5" fillId="0" fontId="1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6" fillId="0" fontId="17" numFmtId="0" xfId="0" applyBorder="1" applyFont="1"/>
    <xf borderId="6" fillId="0" fontId="4" numFmtId="0" xfId="0" applyBorder="1" applyFont="1"/>
    <xf borderId="7" fillId="0" fontId="16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5" fontId="5" numFmtId="0" xfId="0" applyAlignment="1" applyBorder="1" applyFill="1" applyFont="1">
      <alignment horizontal="center" shrinkToFit="0" vertical="center" wrapText="1"/>
    </xf>
    <xf borderId="9" fillId="0" fontId="4" numFmtId="17" xfId="0" applyAlignment="1" applyBorder="1" applyFont="1" applyNumberFormat="1">
      <alignment horizontal="center" vertical="center"/>
    </xf>
    <xf borderId="9" fillId="0" fontId="8" numFmtId="17" xfId="0" applyAlignment="1" applyBorder="1" applyFont="1" applyNumberFormat="1">
      <alignment horizontal="center" vertical="center"/>
    </xf>
    <xf borderId="2" fillId="6" fontId="13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13" fillId="0" fontId="2" numFmtId="9" xfId="0" applyAlignment="1" applyBorder="1" applyFont="1" applyNumberFormat="1">
      <alignment horizontal="center"/>
    </xf>
    <xf borderId="2" fillId="0" fontId="2" numFmtId="0" xfId="0" applyBorder="1" applyFont="1"/>
    <xf borderId="2" fillId="5" fontId="2" numFmtId="0" xfId="0" applyAlignment="1" applyBorder="1" applyFont="1">
      <alignment horizontal="center" vertical="center"/>
    </xf>
    <xf borderId="2" fillId="0" fontId="13" numFmtId="10" xfId="0" applyAlignment="1" applyBorder="1" applyFont="1" applyNumberFormat="1">
      <alignment horizontal="center"/>
    </xf>
    <xf borderId="2" fillId="0" fontId="2" numFmtId="10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2" fillId="0" fontId="2" numFmtId="17" xfId="0" applyAlignment="1" applyBorder="1" applyFont="1" applyNumberFormat="1">
      <alignment horizontal="center" vertical="center"/>
    </xf>
    <xf borderId="2" fillId="0" fontId="13" numFmtId="0" xfId="0" applyBorder="1" applyFont="1"/>
    <xf borderId="2" fillId="0" fontId="13" numFmtId="165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2" fillId="0" fontId="13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 vertical="center"/>
    </xf>
    <xf borderId="2" fillId="7" fontId="13" numFmtId="0" xfId="0" applyAlignment="1" applyBorder="1" applyFill="1" applyFont="1">
      <alignment horizontal="center"/>
    </xf>
    <xf borderId="2" fillId="7" fontId="2" numFmtId="0" xfId="0" applyAlignment="1" applyBorder="1" applyFont="1">
      <alignment horizontal="center"/>
    </xf>
    <xf borderId="2" fillId="8" fontId="2" numFmtId="0" xfId="0" applyAlignment="1" applyBorder="1" applyFill="1" applyFont="1">
      <alignment horizontal="center"/>
    </xf>
    <xf borderId="2" fillId="6" fontId="20" numFmtId="0" xfId="0" applyAlignment="1" applyBorder="1" applyFont="1">
      <alignment horizontal="center"/>
    </xf>
    <xf borderId="2" fillId="0" fontId="6" numFmtId="0" xfId="0" applyAlignment="1" applyBorder="1" applyFont="1">
      <alignment horizontal="center" vertical="center"/>
    </xf>
    <xf borderId="2" fillId="0" fontId="13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2" fillId="6" fontId="2" numFmtId="0" xfId="0" applyAlignment="1" applyBorder="1" applyFont="1">
      <alignment horizontal="center"/>
    </xf>
    <xf borderId="2" fillId="6" fontId="2" numFmtId="164" xfId="0" applyAlignment="1" applyBorder="1" applyFont="1" applyNumberFormat="1">
      <alignment horizontal="center"/>
    </xf>
    <xf borderId="2" fillId="6" fontId="2" numFmtId="0" xfId="0" applyBorder="1" applyFont="1"/>
    <xf borderId="2" fillId="9" fontId="2" numFmtId="0" xfId="0" applyAlignment="1" applyBorder="1" applyFill="1" applyFont="1">
      <alignment horizontal="center"/>
    </xf>
    <xf borderId="2" fillId="9" fontId="2" numFmtId="10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 vertical="center"/>
    </xf>
    <xf borderId="2" fillId="0" fontId="2" numFmtId="9" xfId="0" applyAlignment="1" applyBorder="1" applyFont="1" applyNumberFormat="1">
      <alignment horizontal="center"/>
    </xf>
    <xf borderId="2" fillId="0" fontId="13" numFmtId="165" xfId="0" applyAlignment="1" applyBorder="1" applyFont="1" applyNumberFormat="1">
      <alignment horizontal="center"/>
    </xf>
    <xf borderId="2" fillId="0" fontId="13" numFmtId="9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/>
    </xf>
    <xf borderId="2" fillId="10" fontId="2" numFmtId="0" xfId="0" applyAlignment="1" applyBorder="1" applyFill="1" applyFont="1">
      <alignment horizontal="center"/>
    </xf>
    <xf borderId="2" fillId="0" fontId="13" numFmtId="167" xfId="0" applyAlignment="1" applyBorder="1" applyFont="1" applyNumberFormat="1">
      <alignment horizontal="center"/>
    </xf>
    <xf borderId="2" fillId="0" fontId="2" numFmtId="167" xfId="0" applyAlignment="1" applyBorder="1" applyFont="1" applyNumberFormat="1">
      <alignment horizontal="center"/>
    </xf>
    <xf borderId="2" fillId="0" fontId="13" numFmtId="168" xfId="0" applyAlignment="1" applyBorder="1" applyFont="1" applyNumberFormat="1">
      <alignment horizontal="center"/>
    </xf>
    <xf borderId="2" fillId="0" fontId="2" numFmtId="168" xfId="0" applyAlignment="1" applyBorder="1" applyFont="1" applyNumberFormat="1">
      <alignment horizontal="center"/>
    </xf>
    <xf borderId="2" fillId="6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/>
    </xf>
    <xf borderId="14" fillId="0" fontId="13" numFmtId="0" xfId="0" applyAlignment="1" applyBorder="1" applyFont="1">
      <alignment horizontal="center" vertical="center"/>
    </xf>
    <xf borderId="15" fillId="6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4" fillId="0" fontId="2" numFmtId="10" xfId="0" applyAlignment="1" applyBorder="1" applyFont="1" applyNumberFormat="1">
      <alignment horizontal="center"/>
    </xf>
    <xf borderId="14" fillId="0" fontId="13" numFmtId="10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1" fillId="10" fontId="2" numFmtId="0" xfId="0" applyBorder="1" applyFont="1"/>
    <xf borderId="0" fillId="0" fontId="2" numFmtId="0" xfId="0" applyAlignment="1" applyFont="1">
      <alignment horizontal="left"/>
    </xf>
    <xf borderId="1" fillId="11" fontId="21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Evolution Gasoil</a:t>
            </a:r>
          </a:p>
        </c:rich>
      </c:tx>
      <c:overlay val="0"/>
    </c:title>
    <c:plotArea>
      <c:layout>
        <c:manualLayout>
          <c:xMode val="edge"/>
          <c:yMode val="edge"/>
          <c:x val="0.04140544565575258"/>
          <c:y val="0.11816804571155633"/>
          <c:w val="0.9072789875474241"/>
          <c:h val="0.6863130495033758"/>
        </c:manualLayout>
      </c:layout>
      <c:barChart>
        <c:barDir val="col"/>
        <c:ser>
          <c:idx val="0"/>
          <c:order val="0"/>
          <c:tx>
            <c:v>Indice CNR gazole professionnel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'indice Carburant'!$B$5:$P$5</c:f>
            </c:strRef>
          </c:cat>
          <c:val>
            <c:numRef>
              <c:f>'indice Carburant'!$B$6:$P$6</c:f>
              <c:numCache/>
            </c:numRef>
          </c:val>
        </c:ser>
        <c:axId val="360376823"/>
        <c:axId val="735528221"/>
      </c:barChart>
      <c:lineChart>
        <c:ser>
          <c:idx val="1"/>
          <c:order val="1"/>
          <c:tx>
            <c:v>Prix CNR gazole CUVE moyenne mensuelle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'indice Carburant'!$B$5:$P$5</c:f>
            </c:strRef>
          </c:cat>
          <c:val>
            <c:numRef>
              <c:f>'indice Carburant'!$B$8:$P$8</c:f>
              <c:numCache/>
            </c:numRef>
          </c:val>
          <c:smooth val="0"/>
        </c:ser>
        <c:ser>
          <c:idx val="2"/>
          <c:order val="2"/>
          <c:tx>
            <c:v>Prix gazole POMPE moyenne mensuelle (DIREM)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'indice Carburant'!$B$5:$P$5</c:f>
            </c:strRef>
          </c:cat>
          <c:val>
            <c:numRef>
              <c:f>'indice Carburant'!$B$10:$P$10</c:f>
              <c:numCache/>
            </c:numRef>
          </c:val>
          <c:smooth val="0"/>
        </c:ser>
        <c:ser>
          <c:idx val="3"/>
          <c:order val="3"/>
          <c:tx>
            <c:v>AS 24 - Carburant GO - Tarif PARNASS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'indice Carburant'!$B$5:$P$5</c:f>
            </c:strRef>
          </c:cat>
          <c:val>
            <c:numRef>
              <c:f>'indice Carburant'!$B$20:$P$20</c:f>
              <c:numCache/>
            </c:numRef>
          </c:val>
          <c:smooth val="0"/>
        </c:ser>
        <c:axId val="360376823"/>
        <c:axId val="735528221"/>
      </c:lineChart>
      <c:catAx>
        <c:axId val="360376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5528221"/>
      </c:catAx>
      <c:valAx>
        <c:axId val="735528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03768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Evolution GNC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Indice CNR carburant GNV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'indice Carburant'!$B$5:$P$5</c:f>
            </c:strRef>
          </c:cat>
          <c:val>
            <c:numRef>
              <c:f>'indice Carburant'!$B$13:$P$13</c:f>
              <c:numCache/>
            </c:numRef>
          </c:val>
        </c:ser>
        <c:axId val="1048853519"/>
        <c:axId val="92482248"/>
      </c:barChart>
      <c:lineChart>
        <c:ser>
          <c:idx val="1"/>
          <c:order val="1"/>
          <c:tx>
            <c:v>ENGIE Hors TICGN COMPTE VIAPOST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'indice Carburant'!$B$5:$P$5</c:f>
            </c:strRef>
          </c:cat>
          <c:val>
            <c:numRef>
              <c:f>'indice Carburant'!$B$14:$P$14</c:f>
              <c:numCache/>
            </c:numRef>
          </c:val>
          <c:smooth val="0"/>
        </c:ser>
        <c:ser>
          <c:idx val="2"/>
          <c:order val="2"/>
          <c:tx>
            <c:v>AS 24 - Carburant BIO GNC - Tarif PARNASS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'indice Carburant'!$B$5:$P$5</c:f>
            </c:strRef>
          </c:cat>
          <c:val>
            <c:numRef>
              <c:f>'indice Carburant'!$B$15:$P$15</c:f>
              <c:numCache/>
            </c:numRef>
          </c:val>
          <c:smooth val="0"/>
        </c:ser>
        <c:ser>
          <c:idx val="3"/>
          <c:order val="3"/>
          <c:tx>
            <c:v>ENGIE - Carburant GNC L - Tarif PARNASS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'indice Carburant'!$B$5:$P$5</c:f>
            </c:strRef>
          </c:cat>
          <c:val>
            <c:numRef>
              <c:f>'indice Carburant'!$B$16:$P$16</c:f>
              <c:numCache/>
            </c:numRef>
          </c:val>
          <c:smooth val="0"/>
        </c:ser>
        <c:axId val="1048853519"/>
        <c:axId val="92482248"/>
      </c:lineChart>
      <c:catAx>
        <c:axId val="104885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482248"/>
      </c:catAx>
      <c:valAx>
        <c:axId val="92482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88535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27</xdr:row>
      <xdr:rowOff>76200</xdr:rowOff>
    </xdr:from>
    <xdr:ext cx="9267825" cy="37909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628650</xdr:colOff>
      <xdr:row>27</xdr:row>
      <xdr:rowOff>104775</xdr:rowOff>
    </xdr:from>
    <xdr:ext cx="7258050" cy="37909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47625</xdr:rowOff>
    </xdr:from>
    <xdr:ext cx="2333625" cy="5238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114300</xdr:rowOff>
    </xdr:from>
    <xdr:ext cx="8401050" cy="59626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0</xdr:row>
      <xdr:rowOff>57150</xdr:rowOff>
    </xdr:from>
    <xdr:ext cx="3143250" cy="533400"/>
    <xdr:pic>
      <xdr:nvPicPr>
        <xdr:cNvPr descr="groupe-parnass.com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aurent LEFRANCOIS" id="{c0cd6a22-a2b1-49d3-a2be-5316e6b6d52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5-06T10:29:44.00" personId="{c0cd6a22-a2b1-49d3-a2be-5316e6b6d52a}" id="{0e6d2c5d-0c1e-43ed-944e-8504fa66c76e}" done="0">
    <x18tc:text xml:space="preserve">Indice DPD</x18tc:text>
  </x18tc:threadedComment>
  <x18tc:threadedComment ref="C11" dT="2026-05-06T10:29:44.00" personId="{c0cd6a22-a2b1-49d3-a2be-5316e6b6d52a}" id="{d1f2db9d-c369-48d0-9b10-9de066e8a0e0}" done="0">
    <x18tc:text xml:space="preserve">Indice DPD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34" dT="2026-05-06T10:29:44.00" personId="{c0cd6a22-a2b1-49d3-a2be-5316e6b6d52a}" id="{79c52a32-91ad-4cad-87e9-fc1499899877}" done="0">
    <x18tc:text xml:space="preserve">A changer tous les ans en fonction CNR</x18tc:text>
  </x18tc:threadedComment>
  <x18tc:threadedComment ref="H46" dT="2026-05-06T10:29:44.00" personId="{c0cd6a22-a2b1-49d3-a2be-5316e6b6d52a}" id="{fc29ea68-3cd6-48dc-922c-61b3d2559f0f}" done="0">
    <x18tc:text xml:space="preserve">Modif au 01/02/2026</x18tc:text>
  </x18tc:threadedComment>
  <x18tc:threadedComment ref="D167" dT="2026-05-06T10:29:44.00" personId="{c0cd6a22-a2b1-49d3-a2be-5316e6b6d52a}" id="{90873a7d-d0d6-41f7-83f9-b2d81bce5120}" done="0">
    <x18tc:text xml:space="preserve">Juillet 2024</x18tc:text>
  </x18tc:threadedComment>
  <x18tc:threadedComment ref="D161" dT="2026-05-06T10:29:44.00" personId="{c0cd6a22-a2b1-49d3-a2be-5316e6b6d52a}" id="{907d38a5-dccc-414f-ab11-21110ea91914}" done="0">
    <x18tc:text xml:space="preserve">Aout 2014
Changement indice Mars 2026
CNR GO PRO</x18tc:text>
  </x18tc:threadedComment>
  <x18tc:threadedComment ref="F147" dT="2026-05-06T10:29:44.00" personId="{c0cd6a22-a2b1-49d3-a2be-5316e6b6d52a}" id="{7ba2d72c-2a98-4882-911a-46584b0d021a}" done="0">
    <x18tc:text xml:space="preserve">A changer tous les ans en fonction CNR</x18tc:text>
  </x18tc:threadedComment>
  <x18tc:threadedComment ref="F137" dT="2026-05-06T10:29:44.00" personId="{c0cd6a22-a2b1-49d3-a2be-5316e6b6d52a}" id="{c3feaeab-fc17-4e07-93da-f53210724f3e}" done="0">
    <x18tc:text xml:space="preserve">A changer tous les ans en fonction CNR</x18tc:text>
  </x18tc:threadedComment>
  <x18tc:threadedComment ref="F138" dT="2026-05-06T10:29:44.00" personId="{c0cd6a22-a2b1-49d3-a2be-5316e6b6d52a}" id="{00496018-ae4e-4e12-a970-87f4ba7d2241}" done="0">
    <x18tc:text xml:space="preserve">A changer tous les ans en fonction CNR</x18tc:text>
  </x18tc:threadedComment>
  <x18tc:threadedComment ref="F145" dT="2026-05-06T10:29:44.00" personId="{c0cd6a22-a2b1-49d3-a2be-5316e6b6d52a}" id="{95fb81d9-f0c6-4b90-af37-1a1423a3a385}" done="0">
    <x18tc:text xml:space="preserve">A changer tous les ans en fonction CNR</x18tc:text>
  </x18tc:threadedComment>
  <x18tc:threadedComment ref="B164" dT="2026-05-06T10:29:44.00" personId="{c0cd6a22-a2b1-49d3-a2be-5316e6b6d52a}" id="{ac46180e-73d8-4469-b0ef-4fa9731505fa}" done="0">
    <x18tc:text xml:space="preserve">Neutralisation entre-2% et +2%</x18tc:text>
  </x18tc:threadedComment>
  <x18tc:threadedComment ref="F136" dT="2026-05-06T10:29:44.00" personId="{c0cd6a22-a2b1-49d3-a2be-5316e6b6d52a}" id="{73585195-60d3-44a6-a46d-8a9024c690d2}" done="0">
    <x18tc:text xml:space="preserve">A changer tous les ans en fonction CNR</x18tc:text>
  </x18tc:threadedComment>
  <x18tc:threadedComment ref="F148" dT="2026-05-06T10:29:44.00" personId="{c0cd6a22-a2b1-49d3-a2be-5316e6b6d52a}" id="{9d0240bc-f37e-4b3a-9372-f2b7ba827485}" done="0">
    <x18tc:text xml:space="preserve">A changer tous les ans en fonction CNR</x18tc:text>
  </x18tc:threadedComment>
  <x18tc:threadedComment ref="F161" dT="2026-05-06T10:29:44.00" personId="{c0cd6a22-a2b1-49d3-a2be-5316e6b6d52a}" id="{bd3921b7-989f-4e43-8e9b-ac27bd5791b9}" done="0">
    <x18tc:text xml:space="preserve">Changement pondération =&gt; aplliqué celle du CNR, ancien 33%</x18tc:text>
  </x18tc:threadedComment>
  <x18tc:threadedComment ref="F141" dT="2026-05-06T10:29:44.00" personId="{c0cd6a22-a2b1-49d3-a2be-5316e6b6d52a}" id="{8f949c7e-a0d5-4607-b13a-57bffab6c06b}" done="0">
    <x18tc:text xml:space="preserve">A changer tous les ans en fonction CNR</x18tc:text>
  </x18tc:threadedComment>
  <x18tc:threadedComment ref="F146" dT="2026-05-06T10:29:44.00" personId="{c0cd6a22-a2b1-49d3-a2be-5316e6b6d52a}" id="{3429bfe2-d870-4b30-81d5-98a638ec7e19}" done="0">
    <x18tc:text xml:space="preserve">A changer tous les ans en fonction CNR</x18tc:text>
  </x18tc:threadedComment>
  <x18tc:threadedComment ref="F151" dT="2026-05-06T10:29:44.00" personId="{c0cd6a22-a2b1-49d3-a2be-5316e6b6d52a}" id="{253c1b47-3882-44c7-b4aa-dccad3e9cc77}" done="0">
    <x18tc:text xml:space="preserve">A changer tous les ans en fonction CNR</x18tc:text>
  </x18tc:threadedComment>
  <x18tc:threadedComment ref="B160" dT="2026-05-06T10:29:44.00" personId="{c0cd6a22-a2b1-49d3-a2be-5316e6b6d52a}" id="{d2292266-6804-45c3-a172-8bf52ae54644}" done="0">
    <x18tc:text xml:space="preserve">Démarrage 14/04/2025</x18tc:text>
  </x18tc:threadedComment>
  <x18tc:threadedComment ref="F133" dT="2026-05-06T10:29:44.00" personId="{c0cd6a22-a2b1-49d3-a2be-5316e6b6d52a}" id="{e8835139-40f5-4653-b75e-c9147d43fc71}" done="0">
    <x18tc:text xml:space="preserve">A changer tous les ans en fonction CNR</x18tc:text>
  </x18tc:threadedComment>
  <x18tc:threadedComment ref="F144" dT="2026-05-06T10:29:44.00" personId="{c0cd6a22-a2b1-49d3-a2be-5316e6b6d52a}" id="{76528987-a40a-432a-a3d2-3530b4a033d4}" done="0">
    <x18tc:text xml:space="preserve">A changer tous les ans en fonction CNR</x18tc:text>
  </x18tc:threadedComment>
  <x18tc:threadedComment ref="F149" dT="2026-05-06T10:29:44.00" personId="{c0cd6a22-a2b1-49d3-a2be-5316e6b6d52a}" id="{76690b65-d1cc-4127-843f-7bca56d7609f}" done="0">
    <x18tc:text xml:space="preserve">A changer tous les ans en fonction CNR</x18tc:text>
  </x18tc:threadedComment>
  <x18tc:threadedComment ref="B43" dT="2026-05-06T10:29:44.00" personId="{c0cd6a22-a2b1-49d3-a2be-5316e6b6d52a}" id="{9f072e52-cce6-4f72-9d68-d65f26106fef}" done="0">
    <x18tc:text xml:space="preserve">Ancien M048</x18tc:text>
  </x18tc:threadedComment>
  <x18tc:threadedComment ref="F135" dT="2026-05-06T10:29:44.00" personId="{c0cd6a22-a2b1-49d3-a2be-5316e6b6d52a}" id="{154f688c-e285-4d23-9cbd-c4d3b0944708}" done="0">
    <x18tc:text xml:space="preserve">A changer tous les ans en fonction CNR</x18tc:text>
  </x18tc:threadedComment>
  <x18tc:threadedComment ref="F140" dT="2026-05-06T10:29:44.00" personId="{c0cd6a22-a2b1-49d3-a2be-5316e6b6d52a}" id="{2e00ac2f-e6f2-4d6d-8240-be6c2ccc8c9e}" done="0">
    <x18tc:text xml:space="preserve">A changer tous les ans en fonction CNR</x18tc:text>
  </x18tc:threadedComment>
  <x18tc:threadedComment ref="F139" dT="2026-05-06T10:29:44.00" personId="{c0cd6a22-a2b1-49d3-a2be-5316e6b6d52a}" id="{eb59d22e-6f40-40a6-a4b2-315169e16b46}" done="0">
    <x18tc:text xml:space="preserve">A changer tous les ans en fonction CNR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88"/>
    <col customWidth="1" min="2" max="6" width="9.88"/>
    <col customWidth="1" min="7" max="7" width="10.5"/>
    <col customWidth="1" min="8" max="11" width="9.88"/>
    <col customWidth="1" min="12" max="13" width="10.0"/>
    <col customWidth="1" min="14" max="14" width="9.88"/>
    <col customWidth="1" min="15" max="15" width="9.0"/>
    <col customWidth="1" min="16" max="16" width="9.13"/>
    <col customWidth="1" min="17" max="26" width="11.5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E4" s="2" t="s">
        <v>1</v>
      </c>
    </row>
    <row r="5" ht="14.25" customHeight="1">
      <c r="A5" s="3" t="s">
        <v>2</v>
      </c>
      <c r="B5" s="4">
        <v>45931.0</v>
      </c>
      <c r="C5" s="4">
        <v>45962.0</v>
      </c>
      <c r="D5" s="4">
        <v>45992.0</v>
      </c>
      <c r="E5" s="4">
        <v>46023.0</v>
      </c>
      <c r="F5" s="4">
        <v>46054.0</v>
      </c>
      <c r="G5" s="4">
        <v>46082.0</v>
      </c>
      <c r="H5" s="4">
        <v>46113.0</v>
      </c>
      <c r="I5" s="4">
        <v>46143.0</v>
      </c>
      <c r="J5" s="4">
        <v>46174.0</v>
      </c>
      <c r="K5" s="4">
        <v>46204.0</v>
      </c>
      <c r="L5" s="4">
        <v>46235.0</v>
      </c>
      <c r="M5" s="4">
        <v>46266.0</v>
      </c>
      <c r="N5" s="4">
        <v>46296.0</v>
      </c>
      <c r="O5" s="4">
        <v>46327.0</v>
      </c>
      <c r="P5" s="4">
        <v>46357.0</v>
      </c>
    </row>
    <row r="6" ht="14.25" customHeight="1">
      <c r="A6" s="5" t="s">
        <v>3</v>
      </c>
      <c r="B6" s="6">
        <v>183.84</v>
      </c>
      <c r="C6" s="6">
        <v>192.03</v>
      </c>
      <c r="D6" s="6">
        <v>181.52</v>
      </c>
      <c r="E6" s="6">
        <v>187.66</v>
      </c>
      <c r="F6" s="6">
        <v>193.34</v>
      </c>
      <c r="G6" s="6">
        <v>248.08</v>
      </c>
      <c r="H6" s="6"/>
      <c r="I6" s="6"/>
      <c r="J6" s="6"/>
      <c r="K6" s="6"/>
      <c r="L6" s="6"/>
      <c r="M6" s="6"/>
      <c r="N6" s="6"/>
      <c r="O6" s="6"/>
      <c r="P6" s="6"/>
    </row>
    <row r="7" ht="14.25" customHeight="1">
      <c r="A7" s="7" t="s">
        <v>4</v>
      </c>
      <c r="B7" s="8">
        <v>192.92</v>
      </c>
      <c r="C7" s="8">
        <v>200.49</v>
      </c>
      <c r="D7" s="8">
        <v>190.79</v>
      </c>
      <c r="E7" s="8">
        <v>196.16</v>
      </c>
      <c r="F7" s="8">
        <v>201.41</v>
      </c>
      <c r="G7" s="8">
        <v>251.94</v>
      </c>
      <c r="H7" s="8"/>
      <c r="I7" s="8"/>
      <c r="J7" s="8"/>
      <c r="K7" s="8"/>
      <c r="L7" s="8"/>
      <c r="M7" s="8"/>
      <c r="N7" s="8"/>
      <c r="O7" s="8"/>
      <c r="P7" s="8"/>
      <c r="Q7" s="9"/>
      <c r="R7" s="9"/>
    </row>
    <row r="8" ht="14.25" customHeight="1">
      <c r="A8" s="5" t="s">
        <v>5</v>
      </c>
      <c r="B8" s="6">
        <v>1.2965</v>
      </c>
      <c r="C8" s="6">
        <v>1.345</v>
      </c>
      <c r="D8" s="6">
        <v>1.2687</v>
      </c>
      <c r="E8" s="6">
        <v>1.3218</v>
      </c>
      <c r="F8" s="6">
        <v>1.3547</v>
      </c>
      <c r="G8" s="6">
        <v>1.7575</v>
      </c>
      <c r="H8" s="6"/>
      <c r="I8" s="6"/>
      <c r="J8" s="6"/>
      <c r="K8" s="6"/>
      <c r="L8" s="6"/>
      <c r="M8" s="6"/>
      <c r="N8" s="6"/>
      <c r="O8" s="6"/>
      <c r="P8" s="6"/>
    </row>
    <row r="9" ht="14.25" customHeight="1">
      <c r="A9" s="7" t="s">
        <v>6</v>
      </c>
      <c r="B9" s="8">
        <v>1.3111</v>
      </c>
      <c r="C9" s="8">
        <v>1.34</v>
      </c>
      <c r="D9" s="8">
        <v>1.2472</v>
      </c>
      <c r="E9" s="8" t="s">
        <v>7</v>
      </c>
      <c r="F9" s="8" t="s">
        <v>7</v>
      </c>
      <c r="G9" s="8" t="s">
        <v>7</v>
      </c>
      <c r="H9" s="8" t="s">
        <v>7</v>
      </c>
      <c r="I9" s="8" t="s">
        <v>7</v>
      </c>
      <c r="J9" s="8" t="s">
        <v>7</v>
      </c>
      <c r="K9" s="8" t="s">
        <v>7</v>
      </c>
      <c r="L9" s="8" t="s">
        <v>7</v>
      </c>
      <c r="M9" s="8" t="s">
        <v>7</v>
      </c>
      <c r="N9" s="8" t="s">
        <v>7</v>
      </c>
      <c r="O9" s="8" t="s">
        <v>7</v>
      </c>
      <c r="P9" s="8" t="s">
        <v>7</v>
      </c>
      <c r="Q9" s="9"/>
      <c r="R9" s="9"/>
    </row>
    <row r="10" ht="14.25" customHeight="1">
      <c r="A10" s="5" t="s">
        <v>8</v>
      </c>
      <c r="B10" s="6">
        <v>1.3322</v>
      </c>
      <c r="C10" s="6">
        <v>1.3882</v>
      </c>
      <c r="D10" s="6">
        <v>1.3384</v>
      </c>
      <c r="E10" s="10">
        <v>1.362</v>
      </c>
      <c r="F10" s="6">
        <v>1.3937</v>
      </c>
      <c r="G10" s="6">
        <v>1.7224</v>
      </c>
      <c r="H10" s="6"/>
      <c r="I10" s="6"/>
      <c r="J10" s="6"/>
      <c r="K10" s="6"/>
      <c r="L10" s="6"/>
      <c r="M10" s="6"/>
      <c r="N10" s="6"/>
      <c r="O10" s="6"/>
      <c r="P10" s="6"/>
      <c r="Q10" s="11" t="s">
        <v>9</v>
      </c>
    </row>
    <row r="11" ht="14.25" customHeight="1">
      <c r="A11" s="7" t="s">
        <v>10</v>
      </c>
      <c r="B11" s="8">
        <v>1.3253</v>
      </c>
      <c r="C11" s="8">
        <v>1.4141</v>
      </c>
      <c r="D11" s="8">
        <v>1.2749</v>
      </c>
      <c r="E11" s="12">
        <v>1.3663</v>
      </c>
      <c r="F11" s="8">
        <v>1.3748</v>
      </c>
      <c r="G11" s="8">
        <v>1.7573</v>
      </c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</row>
    <row r="12" ht="14.2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ht="14.25" customHeight="1">
      <c r="A13" s="15" t="s">
        <v>11</v>
      </c>
      <c r="B13" s="16">
        <v>165.31</v>
      </c>
      <c r="C13" s="16">
        <v>166.16</v>
      </c>
      <c r="D13" s="16">
        <v>161.43</v>
      </c>
      <c r="E13" s="17">
        <v>159.61</v>
      </c>
      <c r="F13" s="17">
        <v>177.68</v>
      </c>
      <c r="G13" s="17"/>
      <c r="H13" s="17"/>
      <c r="I13" s="17"/>
      <c r="J13" s="17"/>
      <c r="K13" s="17"/>
      <c r="L13" s="17"/>
      <c r="M13" s="17"/>
      <c r="N13" s="16"/>
      <c r="O13" s="16"/>
      <c r="P13" s="16"/>
    </row>
    <row r="14" ht="14.25" customHeight="1">
      <c r="A14" s="18" t="s">
        <v>12</v>
      </c>
      <c r="B14" s="19">
        <v>1.004</v>
      </c>
      <c r="C14" s="19">
        <v>0.9954</v>
      </c>
      <c r="D14" s="19">
        <v>0.9834</v>
      </c>
      <c r="E14" s="19">
        <v>0.9356</v>
      </c>
      <c r="F14" s="19">
        <v>1.03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4.25" customHeight="1">
      <c r="A15" s="20" t="s">
        <v>13</v>
      </c>
      <c r="B15" s="21">
        <v>1.1409</v>
      </c>
      <c r="C15" s="21">
        <v>1.1408</v>
      </c>
      <c r="D15" s="21">
        <v>1.1408</v>
      </c>
      <c r="E15" s="21">
        <v>1.1008</v>
      </c>
      <c r="F15" s="21">
        <v>1.2192</v>
      </c>
      <c r="G15" s="21">
        <v>1.1983</v>
      </c>
      <c r="H15" s="21"/>
      <c r="I15" s="21"/>
      <c r="J15" s="21"/>
      <c r="K15" s="21"/>
      <c r="L15" s="21"/>
      <c r="M15" s="21"/>
      <c r="N15" s="21"/>
      <c r="O15" s="21"/>
      <c r="P15" s="21"/>
    </row>
    <row r="16" ht="14.25" customHeight="1">
      <c r="A16" s="22" t="s">
        <v>14</v>
      </c>
      <c r="B16" s="23">
        <v>1.2241</v>
      </c>
      <c r="C16" s="23">
        <v>1.2156</v>
      </c>
      <c r="D16" s="23">
        <v>1.2043</v>
      </c>
      <c r="E16" s="24">
        <v>1.156</v>
      </c>
      <c r="F16" s="23">
        <v>1.251</v>
      </c>
      <c r="G16" s="23">
        <v>1.2264</v>
      </c>
      <c r="H16" s="23">
        <v>1.5505</v>
      </c>
      <c r="I16" s="23"/>
      <c r="J16" s="23"/>
      <c r="K16" s="23"/>
      <c r="L16" s="23"/>
      <c r="M16" s="23"/>
      <c r="N16" s="23"/>
      <c r="O16" s="23"/>
      <c r="P16" s="23"/>
    </row>
    <row r="17" ht="14.25" customHeight="1">
      <c r="A17" s="22" t="s">
        <v>15</v>
      </c>
      <c r="B17" s="23">
        <v>1.2246</v>
      </c>
      <c r="C17" s="23">
        <v>1.2159</v>
      </c>
      <c r="D17" s="23">
        <v>1.2019</v>
      </c>
      <c r="E17" s="23">
        <v>1.1962</v>
      </c>
      <c r="F17" s="23">
        <v>1.3068</v>
      </c>
      <c r="G17" s="23">
        <v>1.28031</v>
      </c>
      <c r="H17" s="23">
        <v>1.5859</v>
      </c>
      <c r="I17" s="23"/>
      <c r="J17" s="23"/>
      <c r="K17" s="23"/>
      <c r="L17" s="23"/>
      <c r="M17" s="23"/>
      <c r="N17" s="23"/>
      <c r="O17" s="23"/>
      <c r="P17" s="23"/>
    </row>
    <row r="18" ht="14.25" customHeight="1">
      <c r="A18" s="22" t="s">
        <v>16</v>
      </c>
      <c r="B18" s="23">
        <v>1.1788</v>
      </c>
      <c r="C18" s="23">
        <v>1.1703</v>
      </c>
      <c r="D18" s="23">
        <v>1.1588</v>
      </c>
      <c r="E18" s="23">
        <v>1.1105</v>
      </c>
      <c r="F18" s="23">
        <v>1.2053</v>
      </c>
      <c r="G18" s="23">
        <v>1.1806</v>
      </c>
      <c r="H18" s="23">
        <v>1.5032</v>
      </c>
      <c r="I18" s="23"/>
      <c r="J18" s="23"/>
      <c r="K18" s="23"/>
      <c r="L18" s="23"/>
      <c r="M18" s="23"/>
      <c r="N18" s="23"/>
      <c r="O18" s="23"/>
      <c r="P18" s="23"/>
    </row>
    <row r="19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ht="14.25" customHeight="1">
      <c r="A20" s="20" t="s">
        <v>17</v>
      </c>
      <c r="B20" s="21">
        <v>1.3925</v>
      </c>
      <c r="C20" s="21">
        <v>1.4562</v>
      </c>
      <c r="D20" s="21">
        <v>1.3838</v>
      </c>
      <c r="E20" s="21">
        <v>1.3995</v>
      </c>
      <c r="F20" s="21">
        <v>1.4348</v>
      </c>
      <c r="G20" s="21">
        <v>1.8088</v>
      </c>
      <c r="H20" s="21"/>
      <c r="I20" s="21"/>
      <c r="J20" s="21"/>
      <c r="K20" s="26"/>
      <c r="L20" s="21"/>
      <c r="M20" s="21"/>
      <c r="N20" s="21"/>
      <c r="O20" s="21"/>
      <c r="P20" s="21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ht="14.25" customHeight="1">
      <c r="A22" s="28" t="s">
        <v>18</v>
      </c>
      <c r="B22" s="8">
        <v>272.73</v>
      </c>
      <c r="C22" s="8">
        <v>289.28</v>
      </c>
      <c r="D22" s="8">
        <v>268.99</v>
      </c>
      <c r="E22" s="8">
        <v>282.47</v>
      </c>
      <c r="F22" s="8">
        <v>297.24</v>
      </c>
      <c r="G22" s="8">
        <v>393.85</v>
      </c>
      <c r="H22" s="8"/>
      <c r="I22" s="8"/>
      <c r="J22" s="8"/>
      <c r="K22" s="8"/>
      <c r="L22" s="8"/>
      <c r="M22" s="8"/>
      <c r="N22" s="8"/>
      <c r="O22" s="8"/>
      <c r="P22" s="8"/>
    </row>
    <row r="23" ht="14.2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ht="14.25" customHeight="1">
      <c r="A24" s="29"/>
      <c r="B24" s="30"/>
      <c r="C24" s="9"/>
      <c r="D24" s="9"/>
      <c r="E24" s="30"/>
      <c r="F24" s="30"/>
      <c r="G24" s="30"/>
      <c r="H24" s="30"/>
      <c r="I24" s="9"/>
      <c r="J24" s="9"/>
      <c r="K24" s="9"/>
      <c r="L24" s="9"/>
      <c r="M24" s="9"/>
      <c r="N24" s="9"/>
      <c r="O24" s="9"/>
      <c r="P24" s="9"/>
    </row>
    <row r="25" ht="14.25" customHeight="1">
      <c r="A25" s="29" t="s">
        <v>19</v>
      </c>
      <c r="B25" s="30">
        <v>0.1571</v>
      </c>
      <c r="C25" s="30">
        <v>0.1571</v>
      </c>
      <c r="D25" s="30">
        <v>0.1571</v>
      </c>
      <c r="E25" s="30">
        <v>0.1575</v>
      </c>
      <c r="F25" s="30">
        <v>0.1575</v>
      </c>
      <c r="G25" s="30">
        <v>0.1575</v>
      </c>
      <c r="H25" s="30">
        <v>0.1575</v>
      </c>
      <c r="I25" s="30">
        <v>0.1575</v>
      </c>
      <c r="J25" s="30">
        <v>0.1575</v>
      </c>
      <c r="K25" s="30">
        <v>0.1575</v>
      </c>
      <c r="L25" s="30">
        <v>0.1575</v>
      </c>
      <c r="M25" s="30">
        <v>0.1575</v>
      </c>
      <c r="N25" s="30">
        <v>0.1575</v>
      </c>
      <c r="O25" s="30">
        <v>0.1575</v>
      </c>
      <c r="P25" s="30">
        <v>0.1575</v>
      </c>
    </row>
    <row r="26" ht="14.25" customHeight="1">
      <c r="A26" s="11" t="s">
        <v>20</v>
      </c>
      <c r="E26" s="30">
        <v>0.1556</v>
      </c>
      <c r="F26" s="30">
        <v>0.1556</v>
      </c>
      <c r="G26" s="30">
        <v>0.1556</v>
      </c>
      <c r="H26" s="30">
        <v>0.1556</v>
      </c>
      <c r="I26" s="30">
        <v>0.1556</v>
      </c>
      <c r="J26" s="30">
        <v>0.1556</v>
      </c>
      <c r="K26" s="30">
        <v>0.1556</v>
      </c>
      <c r="L26" s="30">
        <v>0.1556</v>
      </c>
      <c r="M26" s="30">
        <v>0.1556</v>
      </c>
      <c r="N26" s="30">
        <v>0.1556</v>
      </c>
      <c r="O26" s="30">
        <v>0.1556</v>
      </c>
      <c r="P26" s="30">
        <v>0.1556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R3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2.63" defaultRowHeight="15.0"/>
  <cols>
    <col customWidth="1" min="1" max="1" width="28.5"/>
    <col customWidth="1" min="2" max="2" width="41.5"/>
    <col customWidth="1" min="3" max="3" width="12.5"/>
    <col customWidth="1" min="4" max="4" width="22.5"/>
    <col customWidth="1" min="5" max="5" width="23.13"/>
    <col customWidth="1" min="6" max="6" width="16.13"/>
    <col customWidth="1" min="7" max="7" width="20.38"/>
    <col customWidth="1" min="8" max="8" width="24.63"/>
    <col customWidth="1" min="9" max="9" width="2.0"/>
    <col customWidth="1" min="10" max="26" width="11.5"/>
  </cols>
  <sheetData>
    <row r="1" ht="14.25" customHeight="1">
      <c r="A1" s="31" t="s">
        <v>21</v>
      </c>
      <c r="G1" s="32"/>
      <c r="H1" s="33"/>
      <c r="I1" s="33"/>
      <c r="J1" s="27"/>
      <c r="K1" s="27"/>
      <c r="L1" s="27"/>
      <c r="M1" s="27"/>
      <c r="N1" s="27"/>
      <c r="O1" s="27"/>
      <c r="P1" s="27"/>
      <c r="Q1" s="27"/>
      <c r="R1" s="27"/>
      <c r="S1" s="34"/>
      <c r="T1" s="34"/>
      <c r="U1" s="34"/>
    </row>
    <row r="2" ht="14.25" customHeight="1">
      <c r="G2" s="35" t="s">
        <v>22</v>
      </c>
      <c r="H2" s="36" t="s">
        <v>23</v>
      </c>
      <c r="I2" s="37"/>
      <c r="J2" s="38">
        <v>26.0</v>
      </c>
      <c r="K2" s="38">
        <v>24.0</v>
      </c>
      <c r="L2" s="38">
        <v>26.0</v>
      </c>
      <c r="M2" s="38">
        <v>25.0</v>
      </c>
      <c r="N2" s="38">
        <v>22.0</v>
      </c>
      <c r="O2" s="38">
        <v>26.0</v>
      </c>
      <c r="P2" s="38">
        <v>26.0</v>
      </c>
      <c r="Q2" s="38">
        <v>25.0</v>
      </c>
      <c r="R2" s="38">
        <v>26.0</v>
      </c>
      <c r="S2" s="38">
        <v>27.0</v>
      </c>
      <c r="T2" s="38">
        <v>24.0</v>
      </c>
      <c r="U2" s="38">
        <v>26.0</v>
      </c>
    </row>
    <row r="3" ht="14.25" customHeight="1">
      <c r="G3" s="39"/>
      <c r="H3" s="40" t="s">
        <v>24</v>
      </c>
      <c r="I3" s="41"/>
      <c r="J3" s="42">
        <v>21.0</v>
      </c>
      <c r="K3" s="42">
        <v>20.0</v>
      </c>
      <c r="L3" s="42">
        <v>22.0</v>
      </c>
      <c r="M3" s="42">
        <v>21.0</v>
      </c>
      <c r="N3" s="42">
        <v>17.0</v>
      </c>
      <c r="O3" s="42">
        <v>22.0</v>
      </c>
      <c r="P3" s="42">
        <v>22.0</v>
      </c>
      <c r="Q3" s="42">
        <v>21.0</v>
      </c>
      <c r="R3" s="43">
        <v>22.0</v>
      </c>
      <c r="S3" s="42">
        <v>22.0</v>
      </c>
      <c r="T3" s="42">
        <v>20.0</v>
      </c>
      <c r="U3" s="42">
        <v>22.0</v>
      </c>
    </row>
    <row r="4" ht="14.25" customHeight="1">
      <c r="J4" s="27"/>
      <c r="K4" s="44"/>
      <c r="L4" s="44"/>
      <c r="M4" s="45"/>
      <c r="N4" s="45"/>
      <c r="O4" s="45"/>
      <c r="P4" s="44"/>
      <c r="Q4" s="45"/>
      <c r="R4" s="45"/>
      <c r="S4" s="45"/>
      <c r="T4" s="45"/>
      <c r="U4" s="45"/>
    </row>
    <row r="5" ht="14.25" customHeight="1">
      <c r="A5" s="46" t="s">
        <v>25</v>
      </c>
      <c r="B5" s="47" t="s">
        <v>26</v>
      </c>
      <c r="C5" s="47" t="s">
        <v>27</v>
      </c>
      <c r="D5" s="47" t="s">
        <v>28</v>
      </c>
      <c r="E5" s="47" t="s">
        <v>29</v>
      </c>
      <c r="F5" s="47" t="s">
        <v>30</v>
      </c>
      <c r="G5" s="47" t="s">
        <v>31</v>
      </c>
      <c r="H5" s="48" t="s">
        <v>32</v>
      </c>
      <c r="I5" s="49"/>
      <c r="J5" s="50">
        <v>46023.0</v>
      </c>
      <c r="K5" s="50">
        <v>46054.0</v>
      </c>
      <c r="L5" s="50">
        <v>46082.0</v>
      </c>
      <c r="M5" s="51">
        <v>46113.0</v>
      </c>
      <c r="N5" s="51">
        <v>46143.0</v>
      </c>
      <c r="O5" s="51">
        <v>46174.0</v>
      </c>
      <c r="P5" s="51">
        <v>46204.0</v>
      </c>
      <c r="Q5" s="51">
        <v>46235.0</v>
      </c>
      <c r="R5" s="51">
        <v>46266.0</v>
      </c>
      <c r="S5" s="51">
        <v>46296.0</v>
      </c>
      <c r="T5" s="51">
        <v>46327.0</v>
      </c>
      <c r="U5" s="51">
        <v>46357.0</v>
      </c>
    </row>
    <row r="6" ht="14.25" customHeight="1">
      <c r="A6" s="52" t="s">
        <v>33</v>
      </c>
      <c r="B6" s="53" t="s">
        <v>34</v>
      </c>
      <c r="C6" s="38" t="s">
        <v>33</v>
      </c>
      <c r="D6" s="53">
        <v>174.88</v>
      </c>
      <c r="E6" s="53" t="s">
        <v>35</v>
      </c>
      <c r="F6" s="54">
        <v>0.25</v>
      </c>
      <c r="G6" s="53" t="s">
        <v>36</v>
      </c>
      <c r="H6" s="55"/>
      <c r="I6" s="56"/>
      <c r="J6" s="57">
        <f>((('indice Carburant'!D6/'Indexation Client 2026'!$D$6)-1)*'Indexation Client 2026'!$F$6)</f>
        <v>0.009492223239</v>
      </c>
      <c r="K6" s="57">
        <f>((('indice Carburant'!E6/'Indexation Client 2026'!$D$6)-1)*'Indexation Client 2026'!$F$6)</f>
        <v>0.01826967063</v>
      </c>
      <c r="L6" s="57">
        <f>((('indice Carburant'!F6/'Indexation Client 2026'!$D$6)-1)*'Indexation Client 2026'!$F$6)</f>
        <v>0.02638952425</v>
      </c>
      <c r="M6" s="58">
        <f>((('indice Carburant'!G6/'Indexation Client 2026'!$D$6)-1)*'Indexation Client 2026'!$F$6)</f>
        <v>0.1046431839</v>
      </c>
      <c r="N6" s="58">
        <f>((('indice Carburant'!H6/'Indexation Client 2026'!$D$6)-1)*'Indexation Client 2026'!$F$6)</f>
        <v>-0.25</v>
      </c>
      <c r="O6" s="58">
        <f>((('indice Carburant'!I6/'Indexation Client 2026'!$D$6)-1)*'Indexation Client 2026'!$F$6)</f>
        <v>-0.25</v>
      </c>
      <c r="P6" s="58">
        <f>((('indice Carburant'!J6/'Indexation Client 2026'!$D$6)-1)*'Indexation Client 2026'!$F$6)</f>
        <v>-0.25</v>
      </c>
      <c r="Q6" s="58">
        <f>((('indice Carburant'!K6/'Indexation Client 2026'!$D$6)-1)*'Indexation Client 2026'!$F$6)</f>
        <v>-0.25</v>
      </c>
      <c r="R6" s="58">
        <f>((('indice Carburant'!L6/'Indexation Client 2026'!$D$6)-1)*'Indexation Client 2026'!$F$6)</f>
        <v>-0.25</v>
      </c>
      <c r="S6" s="58">
        <f>((('indice Carburant'!M6/'Indexation Client 2026'!$D$6)-1)*'Indexation Client 2026'!$F$6)</f>
        <v>-0.25</v>
      </c>
      <c r="T6" s="58">
        <f>((('indice Carburant'!N6/'Indexation Client 2026'!$D$6)-1)*'Indexation Client 2026'!$F$6)</f>
        <v>-0.25</v>
      </c>
      <c r="U6" s="58">
        <f>((('indice Carburant'!O6/'Indexation Client 2026'!$D$6)-1)*'Indexation Client 2026'!$F$6)</f>
        <v>-0.25</v>
      </c>
    </row>
    <row r="7" ht="14.25" customHeight="1">
      <c r="A7" s="52" t="s">
        <v>33</v>
      </c>
      <c r="B7" s="53" t="s">
        <v>37</v>
      </c>
      <c r="C7" s="38" t="s">
        <v>33</v>
      </c>
      <c r="D7" s="53">
        <v>174.88</v>
      </c>
      <c r="E7" s="53" t="s">
        <v>35</v>
      </c>
      <c r="F7" s="54">
        <v>0.25</v>
      </c>
      <c r="G7" s="53" t="s">
        <v>36</v>
      </c>
      <c r="H7" s="55"/>
      <c r="I7" s="56"/>
      <c r="J7" s="57">
        <f>((('indice Carburant'!D6/'Indexation Client 2026'!$D$7)-1)*'Indexation Client 2026'!$F$7)</f>
        <v>0.009492223239</v>
      </c>
      <c r="K7" s="57">
        <f>((('indice Carburant'!E6/'Indexation Client 2026'!$D$7)-1)*'Indexation Client 2026'!$F$7)</f>
        <v>0.01826967063</v>
      </c>
      <c r="L7" s="57">
        <f>((('indice Carburant'!F6/'Indexation Client 2026'!$D$7)-1)*'Indexation Client 2026'!$F$7)</f>
        <v>0.02638952425</v>
      </c>
      <c r="M7" s="58">
        <f>((('indice Carburant'!G6/'Indexation Client 2026'!$D$7)-1)*'Indexation Client 2026'!$F$7)</f>
        <v>0.1046431839</v>
      </c>
      <c r="N7" s="58">
        <f>((('indice Carburant'!H6/'Indexation Client 2026'!$D$7)-1)*'Indexation Client 2026'!$F$7)</f>
        <v>-0.25</v>
      </c>
      <c r="O7" s="58">
        <f>((('indice Carburant'!I6/'Indexation Client 2026'!$D$7)-1)*'Indexation Client 2026'!$F$7)</f>
        <v>-0.25</v>
      </c>
      <c r="P7" s="58">
        <f>((('indice Carburant'!J6/'Indexation Client 2026'!$D$7)-1)*'Indexation Client 2026'!$F$7)</f>
        <v>-0.25</v>
      </c>
      <c r="Q7" s="58">
        <f>((('indice Carburant'!K6/'Indexation Client 2026'!$D$7)-1)*'Indexation Client 2026'!$F$7)</f>
        <v>-0.25</v>
      </c>
      <c r="R7" s="58">
        <f>((('indice Carburant'!L6/'Indexation Client 2026'!$D$7)-1)*'Indexation Client 2026'!$F$7)</f>
        <v>-0.25</v>
      </c>
      <c r="S7" s="58">
        <f>((('indice Carburant'!M6/'Indexation Client 2026'!$D$7)-1)*'Indexation Client 2026'!$F$7)</f>
        <v>-0.25</v>
      </c>
      <c r="T7" s="58">
        <f>((('indice Carburant'!N6/'Indexation Client 2026'!$D$7)-1)*'Indexation Client 2026'!$F$7)</f>
        <v>-0.25</v>
      </c>
      <c r="U7" s="58">
        <f>((('indice Carburant'!O6/'Indexation Client 2026'!$D$7)-1)*'Indexation Client 2026'!$F$7)</f>
        <v>-0.25</v>
      </c>
    </row>
    <row r="8" ht="14.25" customHeight="1">
      <c r="A8" s="59" t="s">
        <v>38</v>
      </c>
      <c r="B8" s="53" t="s">
        <v>39</v>
      </c>
      <c r="C8" s="38" t="s">
        <v>40</v>
      </c>
      <c r="D8" s="60" t="s">
        <v>41</v>
      </c>
      <c r="E8" s="61"/>
      <c r="F8" s="55"/>
      <c r="G8" s="55"/>
      <c r="H8" s="55"/>
      <c r="I8" s="56"/>
      <c r="J8" s="62"/>
      <c r="K8" s="62"/>
      <c r="L8" s="62"/>
      <c r="M8" s="55"/>
      <c r="N8" s="55"/>
      <c r="O8" s="55"/>
      <c r="P8" s="55"/>
      <c r="Q8" s="55"/>
      <c r="R8" s="55"/>
      <c r="S8" s="55"/>
      <c r="T8" s="55"/>
      <c r="U8" s="55"/>
    </row>
    <row r="9" ht="14.25" customHeight="1">
      <c r="A9" s="59" t="s">
        <v>38</v>
      </c>
      <c r="B9" s="53" t="s">
        <v>42</v>
      </c>
      <c r="C9" s="38" t="s">
        <v>43</v>
      </c>
      <c r="D9" s="60" t="s">
        <v>41</v>
      </c>
      <c r="E9" s="61"/>
      <c r="F9" s="55"/>
      <c r="G9" s="55"/>
      <c r="H9" s="55"/>
      <c r="I9" s="56"/>
      <c r="J9" s="62"/>
      <c r="K9" s="62"/>
      <c r="L9" s="62"/>
      <c r="M9" s="55"/>
      <c r="N9" s="55"/>
      <c r="O9" s="55"/>
      <c r="P9" s="55"/>
      <c r="Q9" s="55"/>
      <c r="R9" s="55"/>
      <c r="S9" s="55"/>
      <c r="T9" s="55"/>
      <c r="U9" s="55"/>
    </row>
    <row r="10" ht="14.25" customHeight="1">
      <c r="A10" s="59" t="s">
        <v>44</v>
      </c>
      <c r="B10" s="38" t="s">
        <v>45</v>
      </c>
      <c r="C10" s="38" t="s">
        <v>46</v>
      </c>
      <c r="D10" s="53">
        <v>1.1654</v>
      </c>
      <c r="E10" s="53" t="s">
        <v>47</v>
      </c>
      <c r="F10" s="38">
        <v>0.28</v>
      </c>
      <c r="G10" s="53" t="s">
        <v>48</v>
      </c>
      <c r="H10" s="53">
        <v>62.0</v>
      </c>
      <c r="I10" s="56"/>
      <c r="J10" s="63">
        <f>(('indice Carburant'!D10-'Indexation Client 2026'!$D$10)*'Indexation Client 2026'!$F$10)*'Indexation Client 2026'!$H$10</f>
        <v>3.00328</v>
      </c>
      <c r="K10" s="63">
        <f>(('indice Carburant'!E10-'Indexation Client 2026'!$D$10)*'Indexation Client 2026'!$F$10)*'Indexation Client 2026'!$H$10</f>
        <v>3.412976</v>
      </c>
      <c r="L10" s="63">
        <f>(('indice Carburant'!F10-'Indexation Client 2026'!$D$10)*'Indexation Client 2026'!$F$10)*'Indexation Client 2026'!$H$10</f>
        <v>3.963288</v>
      </c>
      <c r="M10" s="64">
        <f>(('indice Carburant'!G10-'Indexation Client 2026'!$D$10)*'Indexation Client 2026'!$F$10)*'Indexation Client 2026'!$H$10</f>
        <v>9.66952</v>
      </c>
      <c r="N10" s="64">
        <f>(('indice Carburant'!H10-'Indexation Client 2026'!$D$10)*'Indexation Client 2026'!$F$10)*'Indexation Client 2026'!$H$10</f>
        <v>-20.231344</v>
      </c>
      <c r="O10" s="64">
        <f>(('indice Carburant'!I10-'Indexation Client 2026'!$D$10)*'Indexation Client 2026'!$F$10)*'Indexation Client 2026'!$H$10</f>
        <v>-20.231344</v>
      </c>
      <c r="P10" s="64">
        <f>(('indice Carburant'!J10-'Indexation Client 2026'!$D$10)*'Indexation Client 2026'!$F$10)*'Indexation Client 2026'!$H$10</f>
        <v>-20.231344</v>
      </c>
      <c r="Q10" s="64">
        <f>(('indice Carburant'!K10-'Indexation Client 2026'!$D$10)*'Indexation Client 2026'!$F$10)*'Indexation Client 2026'!$H$10</f>
        <v>-20.231344</v>
      </c>
      <c r="R10" s="64">
        <f>(('indice Carburant'!L10-'Indexation Client 2026'!$D$10)*'Indexation Client 2026'!$F$10)*'Indexation Client 2026'!$H$10</f>
        <v>-20.231344</v>
      </c>
      <c r="S10" s="64">
        <f>(('indice Carburant'!M10-'Indexation Client 2026'!$D$10)*'Indexation Client 2026'!$F$10)*'Indexation Client 2026'!$H$10</f>
        <v>-20.231344</v>
      </c>
      <c r="T10" s="64">
        <f>(('indice Carburant'!N10-'Indexation Client 2026'!$D$10)*'Indexation Client 2026'!$F$10)*'Indexation Client 2026'!$H$10</f>
        <v>-20.231344</v>
      </c>
      <c r="U10" s="64">
        <f>(('indice Carburant'!O10-'Indexation Client 2026'!$D$10)*'Indexation Client 2026'!$F$10)*'Indexation Client 2026'!$H$10</f>
        <v>-20.231344</v>
      </c>
    </row>
    <row r="11" ht="14.25" customHeight="1">
      <c r="A11" s="59" t="s">
        <v>44</v>
      </c>
      <c r="B11" s="38" t="s">
        <v>49</v>
      </c>
      <c r="C11" s="38" t="s">
        <v>46</v>
      </c>
      <c r="D11" s="53">
        <v>1.6915</v>
      </c>
      <c r="E11" s="53" t="s">
        <v>47</v>
      </c>
      <c r="F11" s="53">
        <v>0.28</v>
      </c>
      <c r="G11" s="53" t="s">
        <v>48</v>
      </c>
      <c r="H11" s="53">
        <v>129.0</v>
      </c>
      <c r="I11" s="56"/>
      <c r="J11" s="65">
        <f>(('indice Carburant'!D10-'Indexation Client 2026'!$D$11)*'Indexation Client 2026'!$F$11)*'Indexation Client 2026'!$H$11</f>
        <v>-12.753972</v>
      </c>
      <c r="K11" s="65">
        <f>(('indice Carburant'!E10-'Indexation Client 2026'!$D$11)*'Indexation Client 2026'!$F$11)*'Indexation Client 2026'!$H$11</f>
        <v>-11.90154</v>
      </c>
      <c r="L11" s="65">
        <f>(('indice Carburant'!F10-'Indexation Client 2026'!$D$11)*'Indexation Client 2026'!$F$11)*'Indexation Client 2026'!$H$11</f>
        <v>-10.756536</v>
      </c>
      <c r="M11" s="66">
        <f>(('indice Carburant'!G10-'Indexation Client 2026'!$D$11)*'Indexation Client 2026'!$F$11)*'Indexation Client 2026'!$H$11</f>
        <v>1.116108</v>
      </c>
      <c r="N11" s="66">
        <f>(('indice Carburant'!H10-'Indexation Client 2026'!$D$11)*'Indexation Client 2026'!$F$11)*'Indexation Client 2026'!$H$11</f>
        <v>-61.09698</v>
      </c>
      <c r="O11" s="66">
        <f>(('indice Carburant'!I10-'Indexation Client 2026'!$D$11)*'Indexation Client 2026'!$F$11)*'Indexation Client 2026'!$H$11</f>
        <v>-61.09698</v>
      </c>
      <c r="P11" s="66">
        <f>(('indice Carburant'!J10-'Indexation Client 2026'!$D$11)*'Indexation Client 2026'!$F$11)*'Indexation Client 2026'!$H$11</f>
        <v>-61.09698</v>
      </c>
      <c r="Q11" s="66">
        <f>(('indice Carburant'!K10-'Indexation Client 2026'!$D$11)*'Indexation Client 2026'!$F$11)*'Indexation Client 2026'!$H$11</f>
        <v>-61.09698</v>
      </c>
      <c r="R11" s="66">
        <f>(('indice Carburant'!L10-'Indexation Client 2026'!$D$11)*'Indexation Client 2026'!$F$11)*'Indexation Client 2026'!$H$11</f>
        <v>-61.09698</v>
      </c>
      <c r="S11" s="66">
        <f>(('indice Carburant'!M10-'Indexation Client 2026'!$D$11)*'Indexation Client 2026'!$F$11)*'Indexation Client 2026'!$H$11</f>
        <v>-61.09698</v>
      </c>
      <c r="T11" s="66">
        <f>(('indice Carburant'!N10-'Indexation Client 2026'!$D$11)*'Indexation Client 2026'!$F$11)*'Indexation Client 2026'!$H$11</f>
        <v>-61.09698</v>
      </c>
      <c r="U11" s="66">
        <f>(('indice Carburant'!O10-'Indexation Client 2026'!$D$11)*'Indexation Client 2026'!$F$11)*'Indexation Client 2026'!$H$11</f>
        <v>-61.09698</v>
      </c>
    </row>
    <row r="12" ht="14.25" customHeight="1">
      <c r="A12" s="59" t="s">
        <v>44</v>
      </c>
      <c r="B12" s="38" t="s">
        <v>50</v>
      </c>
      <c r="C12" s="38" t="s">
        <v>46</v>
      </c>
      <c r="D12" s="53">
        <v>1.2187</v>
      </c>
      <c r="E12" s="53" t="s">
        <v>47</v>
      </c>
      <c r="F12" s="53">
        <v>0.28</v>
      </c>
      <c r="G12" s="53" t="s">
        <v>48</v>
      </c>
      <c r="H12" s="53">
        <v>129.0</v>
      </c>
      <c r="I12" s="56"/>
      <c r="J12" s="65">
        <f>(('indice Carburant'!D10-'Indexation Client 2026'!$D$12)*'Indexation Client 2026'!$F$12)*'Indexation Client 2026'!$H$12</f>
        <v>4.323564</v>
      </c>
      <c r="K12" s="65">
        <f>(('indice Carburant'!E10-'Indexation Client 2026'!$D$12)*'Indexation Client 2026'!$F$12)*'Indexation Client 2026'!$H$12</f>
        <v>5.175996</v>
      </c>
      <c r="L12" s="65">
        <f>(('indice Carburant'!F10-'Indexation Client 2026'!$D$12)*'Indexation Client 2026'!$F$12)*'Indexation Client 2026'!$H$12</f>
        <v>6.321</v>
      </c>
      <c r="M12" s="66">
        <f>(('indice Carburant'!G10-'Indexation Client 2026'!$D$12)*'Indexation Client 2026'!$F$12)*'Indexation Client 2026'!$H$12</f>
        <v>18.193644</v>
      </c>
      <c r="N12" s="66">
        <f>(('indice Carburant'!H10-'Indexation Client 2026'!$D$12)*'Indexation Client 2026'!$F$12)*'Indexation Client 2026'!$H$12</f>
        <v>-44.019444</v>
      </c>
      <c r="O12" s="66">
        <f>(('indice Carburant'!I10-'Indexation Client 2026'!$D$12)*'Indexation Client 2026'!$F$12)*'Indexation Client 2026'!$H$12</f>
        <v>-44.019444</v>
      </c>
      <c r="P12" s="66">
        <f>(('indice Carburant'!J10-'Indexation Client 2026'!$D$12)*'Indexation Client 2026'!$F$12)*'Indexation Client 2026'!$H$12</f>
        <v>-44.019444</v>
      </c>
      <c r="Q12" s="66">
        <f>(('indice Carburant'!K10-'Indexation Client 2026'!$D$12)*'Indexation Client 2026'!$F$12)*'Indexation Client 2026'!$H$12</f>
        <v>-44.019444</v>
      </c>
      <c r="R12" s="66">
        <f>(('indice Carburant'!L10-'Indexation Client 2026'!$D$12)*'Indexation Client 2026'!$F$12)*'Indexation Client 2026'!$H$12</f>
        <v>-44.019444</v>
      </c>
      <c r="S12" s="66">
        <f>(('indice Carburant'!M10-'Indexation Client 2026'!$D$12)*'Indexation Client 2026'!$F$12)*'Indexation Client 2026'!$H$12</f>
        <v>-44.019444</v>
      </c>
      <c r="T12" s="66">
        <f>(('indice Carburant'!N10-'Indexation Client 2026'!$D$12)*'Indexation Client 2026'!$F$12)*'Indexation Client 2026'!$H$12</f>
        <v>-44.019444</v>
      </c>
      <c r="U12" s="66">
        <f>(('indice Carburant'!O10-'Indexation Client 2026'!$D$12)*'Indexation Client 2026'!$F$12)*'Indexation Client 2026'!$H$12</f>
        <v>-44.019444</v>
      </c>
    </row>
    <row r="13" ht="14.25" customHeight="1">
      <c r="A13" s="59" t="s">
        <v>44</v>
      </c>
      <c r="B13" s="38" t="s">
        <v>51</v>
      </c>
      <c r="C13" s="38" t="s">
        <v>46</v>
      </c>
      <c r="D13" s="53">
        <v>1.376</v>
      </c>
      <c r="E13" s="53" t="s">
        <v>47</v>
      </c>
      <c r="F13" s="53">
        <v>0.28</v>
      </c>
      <c r="G13" s="53" t="s">
        <v>48</v>
      </c>
      <c r="H13" s="53">
        <v>64.0</v>
      </c>
      <c r="I13" s="56"/>
      <c r="J13" s="65">
        <f>(('indice Carburant'!D10-'Indexation Client 2026'!$D$13)*'Indexation Client 2026'!$F$13)*'Indexation Client 2026'!$H$13</f>
        <v>-0.673792</v>
      </c>
      <c r="K13" s="65">
        <f>(('indice Carburant'!E10-'Indexation Client 2026'!$D$13)*'Indexation Client 2026'!$F$13)*'Indexation Client 2026'!$H$13</f>
        <v>-0.25088</v>
      </c>
      <c r="L13" s="65">
        <f>(('indice Carburant'!F10-'Indexation Client 2026'!$D$13)*'Indexation Client 2026'!$F$13)*'Indexation Client 2026'!$H$13</f>
        <v>0.317184</v>
      </c>
      <c r="M13" s="66">
        <f>(('indice Carburant'!G10-'Indexation Client 2026'!$D$13)*'Indexation Client 2026'!$F$13)*'Indexation Client 2026'!$H$13</f>
        <v>6.207488</v>
      </c>
      <c r="N13" s="66">
        <f>(('indice Carburant'!H10-'Indexation Client 2026'!$D$13)*'Indexation Client 2026'!$F$13)*'Indexation Client 2026'!$H$13</f>
        <v>-24.65792</v>
      </c>
      <c r="O13" s="66">
        <f>(('indice Carburant'!I10-'Indexation Client 2026'!$D$13)*'Indexation Client 2026'!$F$13)*'Indexation Client 2026'!$H$13</f>
        <v>-24.65792</v>
      </c>
      <c r="P13" s="66">
        <f>(('indice Carburant'!J10-'Indexation Client 2026'!$D$13)*'Indexation Client 2026'!$F$13)*'Indexation Client 2026'!$H$13</f>
        <v>-24.65792</v>
      </c>
      <c r="Q13" s="66">
        <f>(('indice Carburant'!K10-'Indexation Client 2026'!$D$13)*'Indexation Client 2026'!$F$13)*'Indexation Client 2026'!$H$13</f>
        <v>-24.65792</v>
      </c>
      <c r="R13" s="66">
        <f>(('indice Carburant'!L10-'Indexation Client 2026'!$D$13)*'Indexation Client 2026'!$F$13)*'Indexation Client 2026'!$H$13</f>
        <v>-24.65792</v>
      </c>
      <c r="S13" s="66">
        <f>(('indice Carburant'!M10-'Indexation Client 2026'!$D$13)*'Indexation Client 2026'!$F$13)*'Indexation Client 2026'!$H$13</f>
        <v>-24.65792</v>
      </c>
      <c r="T13" s="66">
        <f>(('indice Carburant'!N10-'Indexation Client 2026'!$D$13)*'Indexation Client 2026'!$F$13)*'Indexation Client 2026'!$H$13</f>
        <v>-24.65792</v>
      </c>
      <c r="U13" s="66">
        <f>(('indice Carburant'!O10-'Indexation Client 2026'!$D$13)*'Indexation Client 2026'!$F$13)*'Indexation Client 2026'!$H$13</f>
        <v>-24.65792</v>
      </c>
    </row>
    <row r="14" ht="14.25" customHeight="1">
      <c r="A14" s="59" t="s">
        <v>44</v>
      </c>
      <c r="B14" s="38" t="s">
        <v>52</v>
      </c>
      <c r="C14" s="38" t="s">
        <v>46</v>
      </c>
      <c r="D14" s="53">
        <v>1.376</v>
      </c>
      <c r="E14" s="53" t="s">
        <v>47</v>
      </c>
      <c r="F14" s="53">
        <v>0.28</v>
      </c>
      <c r="G14" s="53" t="s">
        <v>48</v>
      </c>
      <c r="H14" s="53">
        <v>34.0</v>
      </c>
      <c r="I14" s="56"/>
      <c r="J14" s="65">
        <f>(('indice Carburant'!D10-'Indexation Client 2026'!$D$14)*'Indexation Client 2026'!$F$14)*'Indexation Client 2026'!$H$14</f>
        <v>-0.357952</v>
      </c>
      <c r="K14" s="65">
        <f>(('indice Carburant'!E10-'Indexation Client 2026'!$D$14)*'Indexation Client 2026'!$F$14)*'Indexation Client 2026'!$H$14</f>
        <v>-0.13328</v>
      </c>
      <c r="L14" s="65">
        <f>(('indice Carburant'!F10-'Indexation Client 2026'!$D$14)*'Indexation Client 2026'!$F$14)*'Indexation Client 2026'!$H$14</f>
        <v>0.168504</v>
      </c>
      <c r="M14" s="66">
        <f>(('indice Carburant'!G10-'Indexation Client 2026'!$D$14)*'Indexation Client 2026'!$F$14)*'Indexation Client 2026'!$H$14</f>
        <v>3.297728</v>
      </c>
      <c r="N14" s="66">
        <f>(('indice Carburant'!H10-'Indexation Client 2026'!$D$14)*'Indexation Client 2026'!$F$14)*'Indexation Client 2026'!$H$14</f>
        <v>-13.09952</v>
      </c>
      <c r="O14" s="66">
        <f>(('indice Carburant'!I10-'Indexation Client 2026'!$D$14)*'Indexation Client 2026'!$F$14)*'Indexation Client 2026'!$H$14</f>
        <v>-13.09952</v>
      </c>
      <c r="P14" s="66">
        <f>(('indice Carburant'!J10-'Indexation Client 2026'!$D$14)*'Indexation Client 2026'!$F$14)*'Indexation Client 2026'!$H$14</f>
        <v>-13.09952</v>
      </c>
      <c r="Q14" s="66">
        <f>(('indice Carburant'!K10-'Indexation Client 2026'!$D$14)*'Indexation Client 2026'!$F$14)*'Indexation Client 2026'!$H$14</f>
        <v>-13.09952</v>
      </c>
      <c r="R14" s="66">
        <f>(('indice Carburant'!L10-'Indexation Client 2026'!$D$14)*'Indexation Client 2026'!$F$14)*'Indexation Client 2026'!$H$14</f>
        <v>-13.09952</v>
      </c>
      <c r="S14" s="66">
        <f>(('indice Carburant'!M10-'Indexation Client 2026'!$D$14)*'Indexation Client 2026'!$F$14)*'Indexation Client 2026'!$H$14</f>
        <v>-13.09952</v>
      </c>
      <c r="T14" s="66">
        <f>(('indice Carburant'!N10-'Indexation Client 2026'!$D$14)*'Indexation Client 2026'!$F$14)*'Indexation Client 2026'!$H$14</f>
        <v>-13.09952</v>
      </c>
      <c r="U14" s="66">
        <f>(('indice Carburant'!O10-'Indexation Client 2026'!$D$14)*'Indexation Client 2026'!$F$14)*'Indexation Client 2026'!$H$14</f>
        <v>-13.09952</v>
      </c>
    </row>
    <row r="15" ht="14.25" customHeight="1">
      <c r="A15" s="59" t="s">
        <v>44</v>
      </c>
      <c r="B15" s="38" t="s">
        <v>53</v>
      </c>
      <c r="C15" s="38" t="s">
        <v>46</v>
      </c>
      <c r="D15" s="67">
        <v>1.1431</v>
      </c>
      <c r="E15" s="53" t="s">
        <v>47</v>
      </c>
      <c r="F15" s="53">
        <v>0.28</v>
      </c>
      <c r="G15" s="53" t="s">
        <v>48</v>
      </c>
      <c r="H15" s="53">
        <v>35.0</v>
      </c>
      <c r="I15" s="56"/>
      <c r="J15" s="65">
        <f>(('indice Carburant'!D10-'Indexation Client 2026'!$D$15)*'Indexation Client 2026'!$F$15)*'Indexation Client 2026'!$H$15</f>
        <v>1.91394</v>
      </c>
      <c r="K15" s="65">
        <f>(('indice Carburant'!E10-'Indexation Client 2026'!$D$15)*'Indexation Client 2026'!$F$15)*'Indexation Client 2026'!$H$15</f>
        <v>2.14522</v>
      </c>
      <c r="L15" s="65">
        <f>(('indice Carburant'!F10-'Indexation Client 2026'!$D$15)*'Indexation Client 2026'!$F$15)*'Indexation Client 2026'!$H$15</f>
        <v>2.45588</v>
      </c>
      <c r="M15" s="66">
        <f>(('indice Carburant'!G10-'Indexation Client 2026'!$D$15)*'Indexation Client 2026'!$F$15)*'Indexation Client 2026'!$H$15</f>
        <v>5.67714</v>
      </c>
      <c r="N15" s="66">
        <f>(('indice Carburant'!H10-'Indexation Client 2026'!$D$15)*'Indexation Client 2026'!$F$15)*'Indexation Client 2026'!$H$15</f>
        <v>-11.20238</v>
      </c>
      <c r="O15" s="66">
        <f>(('indice Carburant'!I10-'Indexation Client 2026'!$D$15)*'Indexation Client 2026'!$F$15)*'Indexation Client 2026'!$H$15</f>
        <v>-11.20238</v>
      </c>
      <c r="P15" s="66">
        <f>(('indice Carburant'!J10-'Indexation Client 2026'!$D$15)*'Indexation Client 2026'!$F$15)*'Indexation Client 2026'!$H$15</f>
        <v>-11.20238</v>
      </c>
      <c r="Q15" s="66">
        <f>(('indice Carburant'!K10-'Indexation Client 2026'!$D$15)*'Indexation Client 2026'!$F$15)*'Indexation Client 2026'!$H$15</f>
        <v>-11.20238</v>
      </c>
      <c r="R15" s="66">
        <f>(('indice Carburant'!L10-'Indexation Client 2026'!$D$15)*'Indexation Client 2026'!$F$15)*'Indexation Client 2026'!$H$15</f>
        <v>-11.20238</v>
      </c>
      <c r="S15" s="66">
        <f>(('indice Carburant'!M10-'Indexation Client 2026'!$D$15)*'Indexation Client 2026'!$F$15)*'Indexation Client 2026'!$H$15</f>
        <v>-11.20238</v>
      </c>
      <c r="T15" s="66">
        <f>(('indice Carburant'!N10-'Indexation Client 2026'!$D$15)*'Indexation Client 2026'!$F$15)*'Indexation Client 2026'!$H$15</f>
        <v>-11.20238</v>
      </c>
      <c r="U15" s="66">
        <f>(('indice Carburant'!O10-'Indexation Client 2026'!$D$15)*'Indexation Client 2026'!$F$15)*'Indexation Client 2026'!$H$15</f>
        <v>-11.20238</v>
      </c>
    </row>
    <row r="16" ht="14.25" customHeight="1">
      <c r="A16" s="59" t="s">
        <v>44</v>
      </c>
      <c r="B16" s="38" t="s">
        <v>54</v>
      </c>
      <c r="C16" s="38" t="s">
        <v>46</v>
      </c>
      <c r="D16" s="67">
        <v>1.1431</v>
      </c>
      <c r="E16" s="53" t="s">
        <v>47</v>
      </c>
      <c r="F16" s="53">
        <v>0.28</v>
      </c>
      <c r="G16" s="53" t="s">
        <v>48</v>
      </c>
      <c r="H16" s="53">
        <v>54.0</v>
      </c>
      <c r="I16" s="56"/>
      <c r="J16" s="65">
        <f>(('indice Carburant'!D10-'Indexation Client 2026'!$D$16)*'Indexation Client 2026'!$F$16)*'Indexation Client 2026'!$H$16</f>
        <v>2.952936</v>
      </c>
      <c r="K16" s="65">
        <f>(('indice Carburant'!E10-'Indexation Client 2026'!$D$16)*'Indexation Client 2026'!$F$16)*'Indexation Client 2026'!$H$16</f>
        <v>3.309768</v>
      </c>
      <c r="L16" s="65">
        <f>(('indice Carburant'!F10-'Indexation Client 2026'!$D$16)*'Indexation Client 2026'!$F$16)*'Indexation Client 2026'!$H$16</f>
        <v>3.789072</v>
      </c>
      <c r="M16" s="66">
        <f>(('indice Carburant'!G10-'Indexation Client 2026'!$D$16)*'Indexation Client 2026'!$F$16)*'Indexation Client 2026'!$H$16</f>
        <v>8.759016</v>
      </c>
      <c r="N16" s="66">
        <f>(('indice Carburant'!H10-'Indexation Client 2026'!$D$16)*'Indexation Client 2026'!$F$16)*'Indexation Client 2026'!$H$16</f>
        <v>-17.283672</v>
      </c>
      <c r="O16" s="66">
        <f>(('indice Carburant'!I10-'Indexation Client 2026'!$D$16)*'Indexation Client 2026'!$F$16)*'Indexation Client 2026'!$H$16</f>
        <v>-17.283672</v>
      </c>
      <c r="P16" s="66">
        <f>(('indice Carburant'!J10-'Indexation Client 2026'!$D$16)*'Indexation Client 2026'!$F$16)*'Indexation Client 2026'!$H$16</f>
        <v>-17.283672</v>
      </c>
      <c r="Q16" s="66">
        <f>(('indice Carburant'!K10-'Indexation Client 2026'!$D$16)*'Indexation Client 2026'!$F$16)*'Indexation Client 2026'!$H$16</f>
        <v>-17.283672</v>
      </c>
      <c r="R16" s="66">
        <f>(('indice Carburant'!L10-'Indexation Client 2026'!$D$16)*'Indexation Client 2026'!$F$16)*'Indexation Client 2026'!$H$16</f>
        <v>-17.283672</v>
      </c>
      <c r="S16" s="66">
        <f>(('indice Carburant'!M10-'Indexation Client 2026'!$D$16)*'Indexation Client 2026'!$F$16)*'Indexation Client 2026'!$H$16</f>
        <v>-17.283672</v>
      </c>
      <c r="T16" s="66">
        <f>(('indice Carburant'!N10-'Indexation Client 2026'!$D$16)*'Indexation Client 2026'!$F$16)*'Indexation Client 2026'!$H$16</f>
        <v>-17.283672</v>
      </c>
      <c r="U16" s="66">
        <f>(('indice Carburant'!O10-'Indexation Client 2026'!$D$16)*'Indexation Client 2026'!$F$16)*'Indexation Client 2026'!$H$16</f>
        <v>-17.283672</v>
      </c>
    </row>
    <row r="17" ht="14.25" customHeight="1">
      <c r="A17" s="59" t="s">
        <v>44</v>
      </c>
      <c r="B17" s="38" t="s">
        <v>55</v>
      </c>
      <c r="C17" s="38" t="s">
        <v>46</v>
      </c>
      <c r="D17" s="53">
        <v>1.1431</v>
      </c>
      <c r="E17" s="53" t="s">
        <v>47</v>
      </c>
      <c r="F17" s="53">
        <v>0.28</v>
      </c>
      <c r="G17" s="53" t="s">
        <v>48</v>
      </c>
      <c r="H17" s="53">
        <v>4.0</v>
      </c>
      <c r="I17" s="56"/>
      <c r="J17" s="65">
        <f>(('indice Carburant'!D10-'Indexation Client 2026'!$D$17)*'Indexation Client 2026'!$F$17)*'Indexation Client 2026'!$H$17</f>
        <v>0.218736</v>
      </c>
      <c r="K17" s="65">
        <f>(('indice Carburant'!E10-'Indexation Client 2026'!$D$17)*'Indexation Client 2026'!$F$17)*'Indexation Client 2026'!$H$17</f>
        <v>0.245168</v>
      </c>
      <c r="L17" s="65">
        <f>(('indice Carburant'!F10-'Indexation Client 2026'!$D$17)*'Indexation Client 2026'!$F$17)*'Indexation Client 2026'!$H$17</f>
        <v>0.280672</v>
      </c>
      <c r="M17" s="66">
        <f>(('indice Carburant'!G10-'Indexation Client 2026'!$D$17)*'Indexation Client 2026'!$F$17)*'Indexation Client 2026'!$H$17</f>
        <v>0.648816</v>
      </c>
      <c r="N17" s="66">
        <f>(('indice Carburant'!H10-'Indexation Client 2026'!$D$17)*'Indexation Client 2026'!$F$17)*'Indexation Client 2026'!$H$17</f>
        <v>-1.280272</v>
      </c>
      <c r="O17" s="66">
        <f>(('indice Carburant'!I10-'Indexation Client 2026'!$D$17)*'Indexation Client 2026'!$F$17)*'Indexation Client 2026'!$H$17</f>
        <v>-1.280272</v>
      </c>
      <c r="P17" s="66">
        <f>(('indice Carburant'!J10-'Indexation Client 2026'!$D$17)*'Indexation Client 2026'!$F$17)*'Indexation Client 2026'!$H$17</f>
        <v>-1.280272</v>
      </c>
      <c r="Q17" s="66">
        <f>(('indice Carburant'!K10-'Indexation Client 2026'!$D$17)*'Indexation Client 2026'!$F$17)*'Indexation Client 2026'!$H$17</f>
        <v>-1.280272</v>
      </c>
      <c r="R17" s="68">
        <f>(('indice Carburant'!L10-'Indexation Client 2026'!$D$17)*'Indexation Client 2026'!$F$17)*'Indexation Client 2026'!$H$17</f>
        <v>-1.280272</v>
      </c>
      <c r="S17" s="66">
        <f>(('indice Carburant'!M10-'Indexation Client 2026'!$D$17)*'Indexation Client 2026'!$F$17)*'Indexation Client 2026'!$H$17</f>
        <v>-1.280272</v>
      </c>
      <c r="T17" s="66">
        <f>(('indice Carburant'!N10-'Indexation Client 2026'!$D$17)*'Indexation Client 2026'!$F$17)*'Indexation Client 2026'!$H$17</f>
        <v>-1.280272</v>
      </c>
      <c r="U17" s="66">
        <f>(('indice Carburant'!O10-'Indexation Client 2026'!$D$17)*'Indexation Client 2026'!$F$17)*'Indexation Client 2026'!$H$17</f>
        <v>-1.280272</v>
      </c>
    </row>
    <row r="18" ht="14.25" customHeight="1">
      <c r="A18" s="69" t="s">
        <v>56</v>
      </c>
      <c r="B18" s="70" t="s">
        <v>57</v>
      </c>
      <c r="C18" s="38" t="s">
        <v>58</v>
      </c>
      <c r="D18" s="53">
        <v>1.6994</v>
      </c>
      <c r="E18" s="53" t="s">
        <v>47</v>
      </c>
      <c r="F18" s="53">
        <v>0.28</v>
      </c>
      <c r="G18" s="53" t="s">
        <v>48</v>
      </c>
      <c r="H18" s="53">
        <v>55.6</v>
      </c>
      <c r="I18" s="56"/>
      <c r="J18" s="63">
        <f>(('indice Carburant'!D10-'Indexation Client 2026'!$D$18)*'Indexation Client 2026'!$F$18)*'Indexation Client 2026'!$H$18</f>
        <v>-5.620048</v>
      </c>
      <c r="K18" s="63">
        <f>(('indice Carburant'!E10-'Indexation Client 2026'!$D$18)*'Indexation Client 2026'!$F$18)*'Indexation Client 2026'!$H$18</f>
        <v>-5.2526432</v>
      </c>
      <c r="L18" s="63">
        <f>(('indice Carburant'!F10-'Indexation Client 2026'!$D$18)*'Indexation Client 2026'!$F$18)*'Indexation Client 2026'!$H$18</f>
        <v>-4.7591376</v>
      </c>
      <c r="M18" s="64">
        <f>(('indice Carburant'!G10-'Indexation Client 2026'!$D$18)*'Indexation Client 2026'!$F$18)*'Indexation Client 2026'!$H$18</f>
        <v>0.358064</v>
      </c>
      <c r="N18" s="64">
        <f>(('indice Carburant'!H10-'Indexation Client 2026'!$D$18)*'Indexation Client 2026'!$F$18)*'Indexation Client 2026'!$H$18</f>
        <v>-26.4562592</v>
      </c>
      <c r="O18" s="64">
        <f>(('indice Carburant'!I10-'Indexation Client 2026'!$D$18)*'Indexation Client 2026'!$F$18)*'Indexation Client 2026'!$H$18</f>
        <v>-26.4562592</v>
      </c>
      <c r="P18" s="64">
        <f>(('indice Carburant'!J10-'Indexation Client 2026'!$D$18)*'Indexation Client 2026'!$F$18)*'Indexation Client 2026'!$H$18</f>
        <v>-26.4562592</v>
      </c>
      <c r="Q18" s="64">
        <f>(('indice Carburant'!K10-'Indexation Client 2026'!$D$18)*'Indexation Client 2026'!$F$18)*'Indexation Client 2026'!$H$18</f>
        <v>-26.4562592</v>
      </c>
      <c r="R18" s="64">
        <f>(('indice Carburant'!L10-'Indexation Client 2026'!$D$18)*'Indexation Client 2026'!$F$18)*'Indexation Client 2026'!$H$18</f>
        <v>-26.4562592</v>
      </c>
      <c r="S18" s="64">
        <f>(('indice Carburant'!M10-'Indexation Client 2026'!$D$18)*'Indexation Client 2026'!$F$18)*'Indexation Client 2026'!$H$18</f>
        <v>-26.4562592</v>
      </c>
      <c r="T18" s="64">
        <f>(('indice Carburant'!N10-'Indexation Client 2026'!$D$18)*'Indexation Client 2026'!$F$18)*'Indexation Client 2026'!$H$18</f>
        <v>-26.4562592</v>
      </c>
      <c r="U18" s="64">
        <f>(('indice Carburant'!O10-'Indexation Client 2026'!$D$18)*'Indexation Client 2026'!$F$18)*'Indexation Client 2026'!$H$18</f>
        <v>-26.4562592</v>
      </c>
    </row>
    <row r="19" ht="14.25" customHeight="1">
      <c r="A19" s="59" t="s">
        <v>56</v>
      </c>
      <c r="B19" s="71" t="s">
        <v>59</v>
      </c>
      <c r="C19" s="38" t="s">
        <v>58</v>
      </c>
      <c r="D19" s="72">
        <v>1.6908</v>
      </c>
      <c r="E19" s="53" t="s">
        <v>47</v>
      </c>
      <c r="F19" s="53">
        <v>0.3</v>
      </c>
      <c r="G19" s="53" t="s">
        <v>48</v>
      </c>
      <c r="H19" s="53">
        <v>169.5</v>
      </c>
      <c r="I19" s="56"/>
      <c r="J19" s="63">
        <f>(('indice Carburant'!D10-'Indexation Client 2026'!$D$19)*'Indexation Client 2026'!$F$19)*'Indexation Client 2026'!$H$19</f>
        <v>-17.91954</v>
      </c>
      <c r="K19" s="63">
        <f>(('indice Carburant'!E10-'Indexation Client 2026'!$D$19)*'Indexation Client 2026'!$F$19)*'Indexation Client 2026'!$H$19</f>
        <v>-16.71948</v>
      </c>
      <c r="L19" s="63">
        <f>(('indice Carburant'!F10-'Indexation Client 2026'!$D$19)*'Indexation Client 2026'!$F$19)*'Indexation Client 2026'!$H$19</f>
        <v>-15.107535</v>
      </c>
      <c r="M19" s="64">
        <f>(('indice Carburant'!G10-'Indexation Client 2026'!$D$19)*'Indexation Client 2026'!$F$19)*'Indexation Client 2026'!$H$19</f>
        <v>1.60686</v>
      </c>
      <c r="N19" s="64">
        <f>(('indice Carburant'!H10-'Indexation Client 2026'!$D$19)*'Indexation Client 2026'!$F$19)*'Indexation Client 2026'!$H$19</f>
        <v>-85.97718</v>
      </c>
      <c r="O19" s="64">
        <f>(('indice Carburant'!I10-'Indexation Client 2026'!$D$19)*'Indexation Client 2026'!$F$19)*'Indexation Client 2026'!$H$19</f>
        <v>-85.97718</v>
      </c>
      <c r="P19" s="64">
        <f>(('indice Carburant'!J10-'Indexation Client 2026'!$D$19)*'Indexation Client 2026'!$F$19)*'Indexation Client 2026'!$H$19</f>
        <v>-85.97718</v>
      </c>
      <c r="Q19" s="64">
        <f>(('indice Carburant'!K10-'Indexation Client 2026'!$D$19)*'Indexation Client 2026'!$F$19)*'Indexation Client 2026'!$H$19</f>
        <v>-85.97718</v>
      </c>
      <c r="R19" s="64">
        <f>(('indice Carburant'!L10-'Indexation Client 2026'!$D$19)*'Indexation Client 2026'!$F$19)*'Indexation Client 2026'!$H$19</f>
        <v>-85.97718</v>
      </c>
      <c r="S19" s="64">
        <f>(('indice Carburant'!M10-'Indexation Client 2026'!$D$19)*'Indexation Client 2026'!$F$19)*'Indexation Client 2026'!$H$19</f>
        <v>-85.97718</v>
      </c>
      <c r="T19" s="64">
        <f>(('indice Carburant'!N10-'Indexation Client 2026'!$D$19)*'Indexation Client 2026'!$F$19)*'Indexation Client 2026'!$H$19</f>
        <v>-85.97718</v>
      </c>
      <c r="U19" s="64">
        <f>(('indice Carburant'!O10-'Indexation Client 2026'!$D$19)*'Indexation Client 2026'!$F$19)*'Indexation Client 2026'!$H$19</f>
        <v>-85.97718</v>
      </c>
    </row>
    <row r="20" ht="14.25" customHeight="1">
      <c r="A20" s="59" t="s">
        <v>56</v>
      </c>
      <c r="B20" s="71" t="s">
        <v>59</v>
      </c>
      <c r="C20" s="38" t="s">
        <v>58</v>
      </c>
      <c r="D20" s="72">
        <v>1.6908</v>
      </c>
      <c r="E20" s="53" t="s">
        <v>47</v>
      </c>
      <c r="F20" s="53">
        <v>0.3</v>
      </c>
      <c r="G20" s="53" t="s">
        <v>48</v>
      </c>
      <c r="H20" s="53">
        <v>56.7</v>
      </c>
      <c r="I20" s="56"/>
      <c r="J20" s="63">
        <f>(('indice Carburant'!D10-'Indexation Client 2026'!$D$20)*'Indexation Client 2026'!$F$20)*'Indexation Client 2026'!$H$20</f>
        <v>-5.994324</v>
      </c>
      <c r="K20" s="63">
        <f>(('indice Carburant'!E10-'Indexation Client 2026'!$D$20)*'Indexation Client 2026'!$F$20)*'Indexation Client 2026'!$H$20</f>
        <v>-5.592888</v>
      </c>
      <c r="L20" s="63">
        <f>(('indice Carburant'!F10-'Indexation Client 2026'!$D$20)*'Indexation Client 2026'!$F$20)*'Indexation Client 2026'!$H$20</f>
        <v>-5.053671</v>
      </c>
      <c r="M20" s="64">
        <f>(('indice Carburant'!G10-'Indexation Client 2026'!$D$20)*'Indexation Client 2026'!$F$20)*'Indexation Client 2026'!$H$20</f>
        <v>0.537516</v>
      </c>
      <c r="N20" s="64">
        <f>(('indice Carburant'!H10-'Indexation Client 2026'!$D$20)*'Indexation Client 2026'!$F$20)*'Indexation Client 2026'!$H$20</f>
        <v>-28.760508</v>
      </c>
      <c r="O20" s="64">
        <f>(('indice Carburant'!I10-'Indexation Client 2026'!$D$20)*'Indexation Client 2026'!$F$20)*'Indexation Client 2026'!$H$20</f>
        <v>-28.760508</v>
      </c>
      <c r="P20" s="64">
        <f>(('indice Carburant'!J10-'Indexation Client 2026'!$D$20)*'Indexation Client 2026'!$F$20)*'Indexation Client 2026'!$H$20</f>
        <v>-28.760508</v>
      </c>
      <c r="Q20" s="64">
        <f>(('indice Carburant'!K10-'Indexation Client 2026'!$D$20)*'Indexation Client 2026'!$F$20)*'Indexation Client 2026'!$H$20</f>
        <v>-28.760508</v>
      </c>
      <c r="R20" s="64">
        <f>(('indice Carburant'!L10-'Indexation Client 2026'!$D$20)*'Indexation Client 2026'!$F$20)*'Indexation Client 2026'!$H$20</f>
        <v>-28.760508</v>
      </c>
      <c r="S20" s="64">
        <f>(('indice Carburant'!M10-'Indexation Client 2026'!$D$20)*'Indexation Client 2026'!$F$20)*'Indexation Client 2026'!$H$20</f>
        <v>-28.760508</v>
      </c>
      <c r="T20" s="64">
        <f>(('indice Carburant'!N10-'Indexation Client 2026'!$D$20)*'Indexation Client 2026'!$F$20)*'Indexation Client 2026'!$H$20</f>
        <v>-28.760508</v>
      </c>
      <c r="U20" s="64">
        <f>(('indice Carburant'!O10-'Indexation Client 2026'!$D$20)*'Indexation Client 2026'!$F$20)*'Indexation Client 2026'!$H$20</f>
        <v>-28.760508</v>
      </c>
    </row>
    <row r="21" ht="14.25" customHeight="1">
      <c r="A21" s="59" t="s">
        <v>56</v>
      </c>
      <c r="B21" s="71" t="s">
        <v>60</v>
      </c>
      <c r="C21" s="38" t="s">
        <v>58</v>
      </c>
      <c r="D21" s="72">
        <v>1.1784</v>
      </c>
      <c r="E21" s="53" t="s">
        <v>47</v>
      </c>
      <c r="F21" s="53">
        <v>0.3</v>
      </c>
      <c r="G21" s="53" t="s">
        <v>48</v>
      </c>
      <c r="H21" s="53">
        <v>49.4</v>
      </c>
      <c r="I21" s="56"/>
      <c r="J21" s="63">
        <f>(('indice Carburant'!D10-'Indexation Client 2026'!$D$21)*'Indexation Client 2026'!$F$21)*'Indexation Client 2026'!$H$21</f>
        <v>2.3712</v>
      </c>
      <c r="K21" s="63">
        <f>(('indice Carburant'!E10-'Indexation Client 2026'!$D$21)*'Indexation Client 2026'!$F$21)*'Indexation Client 2026'!$H$21</f>
        <v>2.720952</v>
      </c>
      <c r="L21" s="63">
        <f>(('indice Carburant'!F10-'Indexation Client 2026'!$D$21)*'Indexation Client 2026'!$F$21)*'Indexation Client 2026'!$H$21</f>
        <v>3.190746</v>
      </c>
      <c r="M21" s="64">
        <f>(('indice Carburant'!G10-'Indexation Client 2026'!$D$21)*'Indexation Client 2026'!$F$21)*'Indexation Client 2026'!$H$21</f>
        <v>8.06208</v>
      </c>
      <c r="N21" s="64">
        <f>(('indice Carburant'!H10-'Indexation Client 2026'!$D$21)*'Indexation Client 2026'!$F$21)*'Indexation Client 2026'!$H$21</f>
        <v>-17.463888</v>
      </c>
      <c r="O21" s="64">
        <f>(('indice Carburant'!I10-'Indexation Client 2026'!$D$21)*'Indexation Client 2026'!$F$21)*'Indexation Client 2026'!$H$21</f>
        <v>-17.463888</v>
      </c>
      <c r="P21" s="64">
        <f>(('indice Carburant'!J10-'Indexation Client 2026'!$D$21)*'Indexation Client 2026'!$F$21)*'Indexation Client 2026'!$H$21</f>
        <v>-17.463888</v>
      </c>
      <c r="Q21" s="64">
        <f>(('indice Carburant'!K10-'Indexation Client 2026'!$D$21)*'Indexation Client 2026'!$F$21)*'Indexation Client 2026'!$H$21</f>
        <v>-17.463888</v>
      </c>
      <c r="R21" s="64">
        <f>(('indice Carburant'!L10-'Indexation Client 2026'!$D$21)*'Indexation Client 2026'!$F$21)*'Indexation Client 2026'!$H$21</f>
        <v>-17.463888</v>
      </c>
      <c r="S21" s="64">
        <f>(('indice Carburant'!M10-'Indexation Client 2026'!$D$21)*'Indexation Client 2026'!$F$21)*'Indexation Client 2026'!$H$21</f>
        <v>-17.463888</v>
      </c>
      <c r="T21" s="64">
        <f>(('indice Carburant'!N10-'Indexation Client 2026'!$D$21)*'Indexation Client 2026'!$F$21)*'Indexation Client 2026'!$H$21</f>
        <v>-17.463888</v>
      </c>
      <c r="U21" s="64">
        <f>(('indice Carburant'!O10-'Indexation Client 2026'!$D$21)*'Indexation Client 2026'!$F$21)*'Indexation Client 2026'!$H$21</f>
        <v>-17.463888</v>
      </c>
    </row>
    <row r="22" ht="14.25" customHeight="1">
      <c r="A22" s="59" t="s">
        <v>61</v>
      </c>
      <c r="B22" s="71" t="s">
        <v>62</v>
      </c>
      <c r="C22" s="73" t="s">
        <v>63</v>
      </c>
      <c r="D22" s="53">
        <v>0.94</v>
      </c>
      <c r="E22" s="53" t="s">
        <v>64</v>
      </c>
      <c r="F22" s="53">
        <v>0.29</v>
      </c>
      <c r="G22" s="53" t="s">
        <v>48</v>
      </c>
      <c r="H22" s="53"/>
      <c r="I22" s="56"/>
      <c r="J22" s="74">
        <f>((('indice Carburant'!D13/100)-'Indexation Client 2026'!$D$22)*'Indexation Client 2026'!$F$22)</f>
        <v>0.195547</v>
      </c>
      <c r="K22" s="74">
        <f>((('indice Carburant'!E13/100)-'Indexation Client 2026'!$D$22)*'Indexation Client 2026'!$F$22)</f>
        <v>0.190269</v>
      </c>
      <c r="L22" s="74">
        <f>((('indice Carburant'!F13/100)-'Indexation Client 2026'!$D$22)*'Indexation Client 2026'!$F$22)</f>
        <v>0.242672</v>
      </c>
      <c r="M22" s="75">
        <f>((('indice Carburant'!G13/100)-'Indexation Client 2026'!$D$22)*'Indexation Client 2026'!$F$22)</f>
        <v>-0.2726</v>
      </c>
      <c r="N22" s="75">
        <f>((('indice Carburant'!H13/100)-'Indexation Client 2026'!$D$22)*'Indexation Client 2026'!$F$22)</f>
        <v>-0.2726</v>
      </c>
      <c r="O22" s="75">
        <f>((('indice Carburant'!I13/100)-'Indexation Client 2026'!$D$22)*'Indexation Client 2026'!$F$22)</f>
        <v>-0.2726</v>
      </c>
      <c r="P22" s="75">
        <f>((('indice Carburant'!J13/100)-'Indexation Client 2026'!$D$22)*'Indexation Client 2026'!$F$22)</f>
        <v>-0.2726</v>
      </c>
      <c r="Q22" s="75">
        <f>((('indice Carburant'!K13/100)-'Indexation Client 2026'!$D$22)*'Indexation Client 2026'!$F$22)</f>
        <v>-0.2726</v>
      </c>
      <c r="R22" s="75">
        <f>((('indice Carburant'!L13/100)-'Indexation Client 2026'!$D$22)*'Indexation Client 2026'!$F$22)</f>
        <v>-0.2726</v>
      </c>
      <c r="S22" s="75">
        <f>((('indice Carburant'!M13/100)-'Indexation Client 2026'!$D$22)*'Indexation Client 2026'!$F$22)</f>
        <v>-0.2726</v>
      </c>
      <c r="T22" s="75">
        <f>((('indice Carburant'!N13/100)-'Indexation Client 2026'!$D$22)*'Indexation Client 2026'!$F$22)</f>
        <v>-0.2726</v>
      </c>
      <c r="U22" s="75">
        <f>((('indice Carburant'!O13/100)-'Indexation Client 2026'!$D$22)*'Indexation Client 2026'!$F$22)</f>
        <v>-0.2726</v>
      </c>
    </row>
    <row r="23" ht="14.25" customHeight="1">
      <c r="A23" s="59" t="s">
        <v>61</v>
      </c>
      <c r="B23" s="53" t="s">
        <v>65</v>
      </c>
      <c r="C23" s="73" t="s">
        <v>63</v>
      </c>
      <c r="D23" s="53">
        <v>0.8318</v>
      </c>
      <c r="E23" s="53" t="s">
        <v>47</v>
      </c>
      <c r="F23" s="53">
        <v>0.29</v>
      </c>
      <c r="G23" s="53" t="s">
        <v>48</v>
      </c>
      <c r="H23" s="53"/>
      <c r="I23" s="56"/>
      <c r="J23" s="74">
        <f>(('indice Carburant'!D10-'Indexation Client 2026'!$D$23)*'Indexation Client 2026'!$F$23)</f>
        <v>0.146914</v>
      </c>
      <c r="K23" s="74">
        <f>(('indice Carburant'!E10-'Indexation Client 2026'!$D$23)*'Indexation Client 2026'!$F$23)</f>
        <v>0.153758</v>
      </c>
      <c r="L23" s="74">
        <f>(('indice Carburant'!F10-'Indexation Client 2026'!$D$23)*'Indexation Client 2026'!$F$23)</f>
        <v>0.162951</v>
      </c>
      <c r="M23" s="75">
        <f>(('indice Carburant'!G10-'Indexation Client 2026'!$D$23)*'Indexation Client 2026'!$F$23)</f>
        <v>0.258274</v>
      </c>
      <c r="N23" s="75">
        <f>(('indice Carburant'!H10-'Indexation Client 2026'!$D$23)*'Indexation Client 2026'!$F$23)</f>
        <v>-0.241222</v>
      </c>
      <c r="O23" s="75">
        <f>(('indice Carburant'!I10-'Indexation Client 2026'!$D$23)*'Indexation Client 2026'!$F$23)</f>
        <v>-0.241222</v>
      </c>
      <c r="P23" s="75">
        <f>(('indice Carburant'!J10-'Indexation Client 2026'!$D$23)*'Indexation Client 2026'!$F$23)</f>
        <v>-0.241222</v>
      </c>
      <c r="Q23" s="75">
        <f>(('indice Carburant'!K10-'Indexation Client 2026'!$D$23)*'Indexation Client 2026'!$F$23)</f>
        <v>-0.241222</v>
      </c>
      <c r="R23" s="75">
        <f>(('indice Carburant'!L10-'Indexation Client 2026'!$D$23)*'Indexation Client 2026'!$F$23)</f>
        <v>-0.241222</v>
      </c>
      <c r="S23" s="75">
        <f>(('indice Carburant'!M10-'Indexation Client 2026'!$D$23)*'Indexation Client 2026'!$F$23)</f>
        <v>-0.241222</v>
      </c>
      <c r="T23" s="75">
        <f>(('indice Carburant'!N10-'Indexation Client 2026'!$D$23)*'Indexation Client 2026'!$F$23)</f>
        <v>-0.241222</v>
      </c>
      <c r="U23" s="75">
        <f>(('indice Carburant'!O10-'Indexation Client 2026'!$D$23)*'Indexation Client 2026'!$F$23)</f>
        <v>-0.241222</v>
      </c>
    </row>
    <row r="24" ht="14.25" customHeight="1">
      <c r="A24" s="59" t="s">
        <v>61</v>
      </c>
      <c r="B24" s="71" t="s">
        <v>66</v>
      </c>
      <c r="C24" s="73" t="s">
        <v>63</v>
      </c>
      <c r="D24" s="53">
        <v>0.94</v>
      </c>
      <c r="E24" s="53" t="s">
        <v>64</v>
      </c>
      <c r="F24" s="53">
        <v>0.26</v>
      </c>
      <c r="G24" s="53" t="s">
        <v>48</v>
      </c>
      <c r="H24" s="53"/>
      <c r="I24" s="56"/>
      <c r="J24" s="74">
        <f>((('indice Carburant'!D13/100)-'Indexation Client 2026'!$D$24)*'Indexation Client 2026'!$F$24)</f>
        <v>0.175318</v>
      </c>
      <c r="K24" s="74">
        <f>((('indice Carburant'!E13/100)-'Indexation Client 2026'!$D$24)*'Indexation Client 2026'!$F$24)</f>
        <v>0.170586</v>
      </c>
      <c r="L24" s="74">
        <f>((('indice Carburant'!F13/100)-'Indexation Client 2026'!$D$24)*'Indexation Client 2026'!$F$24)</f>
        <v>0.217568</v>
      </c>
      <c r="M24" s="75">
        <f>((('indice Carburant'!G13/100)-'Indexation Client 2026'!$D$24)*'Indexation Client 2026'!$F$24)</f>
        <v>-0.2444</v>
      </c>
      <c r="N24" s="75">
        <f>((('indice Carburant'!H13/100)-'Indexation Client 2026'!$D$24)*'Indexation Client 2026'!$F$24)</f>
        <v>-0.2444</v>
      </c>
      <c r="O24" s="75">
        <f>((('indice Carburant'!I13/100)-'Indexation Client 2026'!$D$24)*'Indexation Client 2026'!$F$24)</f>
        <v>-0.2444</v>
      </c>
      <c r="P24" s="75">
        <f>((('indice Carburant'!J13/100)-'Indexation Client 2026'!$D$24)*'Indexation Client 2026'!$F$24)</f>
        <v>-0.2444</v>
      </c>
      <c r="Q24" s="75">
        <f>((('indice Carburant'!K13/100)-'Indexation Client 2026'!$D$24)*'Indexation Client 2026'!$F$24)</f>
        <v>-0.2444</v>
      </c>
      <c r="R24" s="75">
        <f>((('indice Carburant'!L13/100)-'Indexation Client 2026'!$D$24)*'Indexation Client 2026'!$F$24)</f>
        <v>-0.2444</v>
      </c>
      <c r="S24" s="75">
        <f>((('indice Carburant'!M13/100)-'Indexation Client 2026'!$D$24)*'Indexation Client 2026'!$F$24)</f>
        <v>-0.2444</v>
      </c>
      <c r="T24" s="75">
        <f>((('indice Carburant'!N13/100)-'Indexation Client 2026'!$D$24)*'Indexation Client 2026'!$F$24)</f>
        <v>-0.2444</v>
      </c>
      <c r="U24" s="75">
        <f>((('indice Carburant'!O13/100)-'Indexation Client 2026'!$D$24)*'Indexation Client 2026'!$F$24)</f>
        <v>-0.2444</v>
      </c>
    </row>
    <row r="25" ht="14.25" customHeight="1">
      <c r="A25" s="59" t="s">
        <v>61</v>
      </c>
      <c r="B25" s="53" t="s">
        <v>67</v>
      </c>
      <c r="C25" s="73" t="s">
        <v>63</v>
      </c>
      <c r="D25" s="53">
        <v>0.8318</v>
      </c>
      <c r="E25" s="53" t="s">
        <v>47</v>
      </c>
      <c r="F25" s="53">
        <v>0.15</v>
      </c>
      <c r="G25" s="53" t="s">
        <v>48</v>
      </c>
      <c r="H25" s="53"/>
      <c r="I25" s="56"/>
      <c r="J25" s="74">
        <f>(('indice Carburant'!D10-'Indexation Client 2026'!$D$25)*'Indexation Client 2026'!$F$25)</f>
        <v>0.07599</v>
      </c>
      <c r="K25" s="74">
        <f>(('indice Carburant'!E10-'Indexation Client 2026'!$D$25)*'Indexation Client 2026'!$F$25)</f>
        <v>0.07953</v>
      </c>
      <c r="L25" s="74">
        <f>(('indice Carburant'!F10-'Indexation Client 2026'!$D$25)*'Indexation Client 2026'!$F$25)</f>
        <v>0.084285</v>
      </c>
      <c r="M25" s="75">
        <f>(('indice Carburant'!G10-'Indexation Client 2026'!$D$25)*'Indexation Client 2026'!$F$25)</f>
        <v>0.13359</v>
      </c>
      <c r="N25" s="75">
        <f>(('indice Carburant'!H10-'Indexation Client 2026'!$D$25)*'Indexation Client 2026'!$F$25)</f>
        <v>-0.12477</v>
      </c>
      <c r="O25" s="75">
        <f>(('indice Carburant'!I10-'Indexation Client 2026'!$D$25)*'Indexation Client 2026'!$F$25)</f>
        <v>-0.12477</v>
      </c>
      <c r="P25" s="75">
        <f>(('indice Carburant'!J10-'Indexation Client 2026'!$D$25)*'Indexation Client 2026'!$F$25)</f>
        <v>-0.12477</v>
      </c>
      <c r="Q25" s="75">
        <f>(('indice Carburant'!K10-'Indexation Client 2026'!$D$25)*'Indexation Client 2026'!$F$25)</f>
        <v>-0.12477</v>
      </c>
      <c r="R25" s="75">
        <f>(('indice Carburant'!L10-'Indexation Client 2026'!$D$25)*'Indexation Client 2026'!$F$25)</f>
        <v>-0.12477</v>
      </c>
      <c r="S25" s="75">
        <f>(('indice Carburant'!M10-'Indexation Client 2026'!$D$25)*'Indexation Client 2026'!$F$25)</f>
        <v>-0.12477</v>
      </c>
      <c r="T25" s="75">
        <f>(('indice Carburant'!N10-'Indexation Client 2026'!$D$25)*'Indexation Client 2026'!$F$25)</f>
        <v>-0.12477</v>
      </c>
      <c r="U25" s="75">
        <f>(('indice Carburant'!O10-'Indexation Client 2026'!$D$25)*'Indexation Client 2026'!$F$25)</f>
        <v>-0.12477</v>
      </c>
    </row>
    <row r="26" ht="14.25" customHeight="1">
      <c r="A26" s="59" t="s">
        <v>61</v>
      </c>
      <c r="B26" s="53" t="s">
        <v>68</v>
      </c>
      <c r="C26" s="73" t="s">
        <v>63</v>
      </c>
      <c r="D26" s="53">
        <v>0.8318</v>
      </c>
      <c r="E26" s="53" t="s">
        <v>47</v>
      </c>
      <c r="F26" s="53">
        <v>0.26</v>
      </c>
      <c r="G26" s="53" t="s">
        <v>48</v>
      </c>
      <c r="H26" s="53"/>
      <c r="I26" s="56"/>
      <c r="J26" s="74">
        <f>(('indice Carburant'!D10-'Indexation Client 2026'!$D$26)*'Indexation Client 2026'!$F$26)</f>
        <v>0.131716</v>
      </c>
      <c r="K26" s="74">
        <f>(('indice Carburant'!E10-'Indexation Client 2026'!$D$26)*'Indexation Client 2026'!$F$26)</f>
        <v>0.137852</v>
      </c>
      <c r="L26" s="74">
        <f>(('indice Carburant'!F10-'Indexation Client 2026'!$D$26)*'Indexation Client 2026'!$F$26)</f>
        <v>0.146094</v>
      </c>
      <c r="M26" s="75">
        <f>(('indice Carburant'!G10-'Indexation Client 2026'!$D$26)*'Indexation Client 2026'!$F$26)</f>
        <v>0.231556</v>
      </c>
      <c r="N26" s="75">
        <f>(('indice Carburant'!H10-'Indexation Client 2026'!$D$26)*'Indexation Client 2026'!$F$26)</f>
        <v>-0.216268</v>
      </c>
      <c r="O26" s="75">
        <f>(('indice Carburant'!I10-'Indexation Client 2026'!$D$26)*'Indexation Client 2026'!$F$26)</f>
        <v>-0.216268</v>
      </c>
      <c r="P26" s="75">
        <f>(('indice Carburant'!J10-'Indexation Client 2026'!$D$26)*'Indexation Client 2026'!$F$26)</f>
        <v>-0.216268</v>
      </c>
      <c r="Q26" s="75">
        <f>(('indice Carburant'!K10-'Indexation Client 2026'!$D$26)*'Indexation Client 2026'!$F$26)</f>
        <v>-0.216268</v>
      </c>
      <c r="R26" s="75">
        <f>(('indice Carburant'!L10-'Indexation Client 2026'!$D$26)*'Indexation Client 2026'!$F$26)</f>
        <v>-0.216268</v>
      </c>
      <c r="S26" s="75">
        <f>(('indice Carburant'!M10-'Indexation Client 2026'!$D$26)*'Indexation Client 2026'!$F$26)</f>
        <v>-0.216268</v>
      </c>
      <c r="T26" s="75">
        <f>(('indice Carburant'!N10-'Indexation Client 2026'!$D$26)*'Indexation Client 2026'!$F$26)</f>
        <v>-0.216268</v>
      </c>
      <c r="U26" s="75">
        <f>(('indice Carburant'!O10-'Indexation Client 2026'!$D$26)*'Indexation Client 2026'!$F$26)</f>
        <v>-0.216268</v>
      </c>
    </row>
    <row r="27" ht="14.25" customHeight="1">
      <c r="A27" s="59" t="s">
        <v>69</v>
      </c>
      <c r="B27" s="53" t="s">
        <v>70</v>
      </c>
      <c r="C27" s="73" t="s">
        <v>71</v>
      </c>
      <c r="D27" s="76">
        <v>1.3384</v>
      </c>
      <c r="E27" s="53" t="s">
        <v>47</v>
      </c>
      <c r="F27" s="53">
        <v>0.26</v>
      </c>
      <c r="G27" s="53" t="s">
        <v>48</v>
      </c>
      <c r="H27" s="53">
        <v>44.0</v>
      </c>
      <c r="I27" s="56"/>
      <c r="J27" s="65">
        <f>(('indice Carburant'!D10-'Indexation Client 2026'!$D$27)*'Indexation Client 2026'!$F$27)*'Indexation Client 2026'!$H$27</f>
        <v>0</v>
      </c>
      <c r="K27" s="65">
        <f>(('indice Carburant'!E10-'Indexation Client 2026'!$D$27)*'Indexation Client 2026'!$F$27)*'Indexation Client 2026'!$H$27</f>
        <v>0.269984</v>
      </c>
      <c r="L27" s="65">
        <f>(('indice Carburant'!F10-'Indexation Client 2026'!$D$27)*'Indexation Client 2026'!$F$27)*'Indexation Client 2026'!$H$27</f>
        <v>0.632632</v>
      </c>
      <c r="M27" s="66">
        <f>(('indice Carburant'!G10-'Indexation Client 2026'!$D$27)*'Indexation Client 2026'!$F$27)*'Indexation Client 2026'!$H$27</f>
        <v>4.39296</v>
      </c>
      <c r="N27" s="66">
        <f>(('indice Carburant'!H10-'Indexation Client 2026'!$D$27)*'Indexation Client 2026'!$F$27)*'Indexation Client 2026'!$H$27</f>
        <v>-15.311296</v>
      </c>
      <c r="O27" s="66">
        <f>(('indice Carburant'!I10-'Indexation Client 2026'!$D$27)*'Indexation Client 2026'!$F$27)*'Indexation Client 2026'!$H$27</f>
        <v>-15.311296</v>
      </c>
      <c r="P27" s="66">
        <f>(('indice Carburant'!J10-'Indexation Client 2026'!$D$27)*'Indexation Client 2026'!$F$27)*'Indexation Client 2026'!$H$27</f>
        <v>-15.311296</v>
      </c>
      <c r="Q27" s="66">
        <f>(('indice Carburant'!K10-'Indexation Client 2026'!$D$27)*'Indexation Client 2026'!$F$27)*'Indexation Client 2026'!$H$27</f>
        <v>-15.311296</v>
      </c>
      <c r="R27" s="66">
        <f>(('indice Carburant'!L10-'Indexation Client 2026'!$D$27)*'Indexation Client 2026'!$F$27)*'Indexation Client 2026'!$H$27</f>
        <v>-15.311296</v>
      </c>
      <c r="S27" s="66">
        <f>(('indice Carburant'!M10-'Indexation Client 2026'!$D$27)*'Indexation Client 2026'!$F$27)*'Indexation Client 2026'!$H$27</f>
        <v>-15.311296</v>
      </c>
      <c r="T27" s="66">
        <f>(('indice Carburant'!N10-'Indexation Client 2026'!$D$27)*'Indexation Client 2026'!$F$27)*'Indexation Client 2026'!$H$27</f>
        <v>-15.311296</v>
      </c>
      <c r="U27" s="66">
        <f>(('indice Carburant'!O10-'Indexation Client 2026'!$D$27)*'Indexation Client 2026'!$F$27)*'Indexation Client 2026'!$H$27</f>
        <v>-15.311296</v>
      </c>
    </row>
    <row r="28" ht="14.25" customHeight="1">
      <c r="A28" s="59" t="s">
        <v>69</v>
      </c>
      <c r="B28" s="53" t="s">
        <v>72</v>
      </c>
      <c r="C28" s="73" t="s">
        <v>71</v>
      </c>
      <c r="D28" s="76">
        <v>1.3384</v>
      </c>
      <c r="E28" s="53" t="s">
        <v>47</v>
      </c>
      <c r="F28" s="53">
        <v>0.26</v>
      </c>
      <c r="G28" s="53" t="s">
        <v>48</v>
      </c>
      <c r="H28" s="53">
        <v>44.0</v>
      </c>
      <c r="I28" s="56"/>
      <c r="J28" s="65">
        <f>(('indice Carburant'!D10-'Indexation Client 2026'!$D$28)*'Indexation Client 2026'!$F$28)*'Indexation Client 2026'!$H$28</f>
        <v>0</v>
      </c>
      <c r="K28" s="65">
        <f>(('indice Carburant'!E10-'Indexation Client 2026'!$D$28)*'Indexation Client 2026'!$F$28)*'Indexation Client 2026'!$H$28</f>
        <v>0.269984</v>
      </c>
      <c r="L28" s="65">
        <f>(('indice Carburant'!F10-'Indexation Client 2026'!$D$28)*'Indexation Client 2026'!$F$28)*'Indexation Client 2026'!$H$28</f>
        <v>0.632632</v>
      </c>
      <c r="M28" s="66">
        <f>(('indice Carburant'!G10-'Indexation Client 2026'!$D$28)*'Indexation Client 2026'!$F$28)*'Indexation Client 2026'!$H$28</f>
        <v>4.39296</v>
      </c>
      <c r="N28" s="66">
        <f>(('indice Carburant'!H10-'Indexation Client 2026'!$D$28)*'Indexation Client 2026'!$F$28)*'Indexation Client 2026'!$H$28</f>
        <v>-15.311296</v>
      </c>
      <c r="O28" s="66">
        <f>(('indice Carburant'!I10-'Indexation Client 2026'!$D$28)*'Indexation Client 2026'!$F$28)*'Indexation Client 2026'!$H$28</f>
        <v>-15.311296</v>
      </c>
      <c r="P28" s="66">
        <f>(('indice Carburant'!J10-'Indexation Client 2026'!$D$28)*'Indexation Client 2026'!$F$28)*'Indexation Client 2026'!$H$28</f>
        <v>-15.311296</v>
      </c>
      <c r="Q28" s="66">
        <f>(('indice Carburant'!K10-'Indexation Client 2026'!$D$28)*'Indexation Client 2026'!$F$28)*'Indexation Client 2026'!$H$28</f>
        <v>-15.311296</v>
      </c>
      <c r="R28" s="66">
        <f>(('indice Carburant'!L10-'Indexation Client 2026'!$D$28)*'Indexation Client 2026'!$F$28)*'Indexation Client 2026'!$H$28</f>
        <v>-15.311296</v>
      </c>
      <c r="S28" s="66">
        <f>(('indice Carburant'!M10-'Indexation Client 2026'!$D$28)*'Indexation Client 2026'!$F$28)*'Indexation Client 2026'!$H$28</f>
        <v>-15.311296</v>
      </c>
      <c r="T28" s="66">
        <f>(('indice Carburant'!N10-'Indexation Client 2026'!$D$28)*'Indexation Client 2026'!$F$28)*'Indexation Client 2026'!$H$28</f>
        <v>-15.311296</v>
      </c>
      <c r="U28" s="66">
        <f>(('indice Carburant'!O10-'Indexation Client 2026'!$D$28)*'Indexation Client 2026'!$F$28)*'Indexation Client 2026'!$H$28</f>
        <v>-15.311296</v>
      </c>
    </row>
    <row r="29" ht="14.25" customHeight="1">
      <c r="A29" s="59" t="s">
        <v>73</v>
      </c>
      <c r="B29" s="53" t="s">
        <v>74</v>
      </c>
      <c r="C29" s="73" t="s">
        <v>75</v>
      </c>
      <c r="D29" s="53" t="s">
        <v>76</v>
      </c>
      <c r="E29" s="53"/>
      <c r="F29" s="53"/>
      <c r="G29" s="53"/>
      <c r="H29" s="53"/>
      <c r="I29" s="56"/>
      <c r="J29" s="62"/>
      <c r="K29" s="62"/>
      <c r="L29" s="62"/>
      <c r="M29" s="55"/>
      <c r="N29" s="55"/>
      <c r="O29" s="55"/>
      <c r="P29" s="55"/>
      <c r="Q29" s="55"/>
      <c r="R29" s="55"/>
      <c r="S29" s="55"/>
      <c r="T29" s="55"/>
      <c r="U29" s="55"/>
    </row>
    <row r="30" ht="14.25" customHeight="1">
      <c r="A30" s="59" t="s">
        <v>73</v>
      </c>
      <c r="B30" s="53" t="s">
        <v>77</v>
      </c>
      <c r="C30" s="73" t="s">
        <v>75</v>
      </c>
      <c r="D30" s="53">
        <v>180.42</v>
      </c>
      <c r="E30" s="53" t="s">
        <v>35</v>
      </c>
      <c r="F30" s="58">
        <v>0.1398</v>
      </c>
      <c r="G30" s="53" t="s">
        <v>78</v>
      </c>
      <c r="H30" s="75">
        <v>3.4</v>
      </c>
      <c r="I30" s="56"/>
      <c r="J30" s="74">
        <f>((('indice Carburant'!D6/'Indexation Client 2026'!$D$30)-1)*'Indexation Client 2026'!$F$30)*'Indexation Client 2026'!$H$30+$H$30</f>
        <v>3.402897971</v>
      </c>
      <c r="K30" s="74">
        <f>((('indice Carburant'!E6/'Indexation Client 2026'!$D$30)-1)*'Indexation Client 2026'!$F$30)*'Indexation Client 2026'!$H$30+$H$30</f>
        <v>3.419073921</v>
      </c>
      <c r="L30" s="74">
        <f>((('indice Carburant'!F6/'Indexation Client 2026'!$D$30)-1)*'Indexation Client 2026'!$F$30)*'Indexation Client 2026'!$H$30+$H$30</f>
        <v>3.434037991</v>
      </c>
      <c r="M30" s="77">
        <f>((('indice Carburant'!G6/'Indexation Client 2026'!$D$30)-1)*'Indexation Client 2026'!$F$30)*'Indexation Client 2026'!$H$30+$H$30</f>
        <v>3.578251586</v>
      </c>
      <c r="N30" s="75">
        <f>((('indice Carburant'!H6/'Indexation Client 2026'!$D$30)-1)*'Indexation Client 2026'!$F$30)*'Indexation Client 2026'!$H$30+$H$30</f>
        <v>2.92468</v>
      </c>
      <c r="O30" s="75">
        <f>((('indice Carburant'!I6/'Indexation Client 2026'!$D$30)-1)*'Indexation Client 2026'!$F$30)*'Indexation Client 2026'!$H$30+$H$30</f>
        <v>2.92468</v>
      </c>
      <c r="P30" s="75">
        <f>((('indice Carburant'!J6/'Indexation Client 2026'!$D$30)-1)*'Indexation Client 2026'!$F$30)*'Indexation Client 2026'!$H$30+$H$30</f>
        <v>2.92468</v>
      </c>
      <c r="Q30" s="75">
        <f>((('indice Carburant'!K6/'Indexation Client 2026'!$D$30)-1)*'Indexation Client 2026'!$F$30)*'Indexation Client 2026'!$H$30+$H$30</f>
        <v>2.92468</v>
      </c>
      <c r="R30" s="75">
        <f>((('indice Carburant'!L6/'Indexation Client 2026'!$D$30)-1)*'Indexation Client 2026'!$F$30)*'Indexation Client 2026'!$H$30+$H$30</f>
        <v>2.92468</v>
      </c>
      <c r="S30" s="75">
        <f>((('indice Carburant'!M6/'Indexation Client 2026'!$D$30)-1)*'Indexation Client 2026'!$F$30)*'Indexation Client 2026'!$H$30+$H$30</f>
        <v>2.92468</v>
      </c>
      <c r="T30" s="75">
        <f>((('indice Carburant'!N6/'Indexation Client 2026'!$D$30)-1)*'Indexation Client 2026'!$F$30)*'Indexation Client 2026'!$H$30+$H$30</f>
        <v>2.92468</v>
      </c>
      <c r="U30" s="75">
        <f>((('indice Carburant'!O6/'Indexation Client 2026'!$D$30)-1)*'Indexation Client 2026'!$F$30)*'Indexation Client 2026'!$H$30+$H$30</f>
        <v>2.92468</v>
      </c>
    </row>
    <row r="31" ht="14.25" customHeight="1">
      <c r="A31" s="59" t="s">
        <v>73</v>
      </c>
      <c r="B31" s="53" t="s">
        <v>79</v>
      </c>
      <c r="C31" s="73" t="s">
        <v>75</v>
      </c>
      <c r="D31" s="53">
        <v>273.99</v>
      </c>
      <c r="E31" s="53" t="s">
        <v>35</v>
      </c>
      <c r="F31" s="58">
        <v>0.2137</v>
      </c>
      <c r="G31" s="53" t="s">
        <v>78</v>
      </c>
      <c r="H31" s="75">
        <v>2.5021</v>
      </c>
      <c r="I31" s="56"/>
      <c r="J31" s="74">
        <f>((('indice Carburant'!D6/'Indexation Client 2026'!$D$31)-1)*'Indexation Client 2026'!$F$31)*'Indexation Client 2026'!$H$31+$H$31</f>
        <v>2.321642336</v>
      </c>
      <c r="K31" s="74">
        <f>((('indice Carburant'!E6/'Indexation Client 2026'!$D$31)-1)*'Indexation Client 2026'!$F$31)*'Indexation Client 2026'!$H$31+$H$31</f>
        <v>2.33362471</v>
      </c>
      <c r="L31" s="74">
        <f>((('indice Carburant'!F6/'Indexation Client 2026'!$D$31)-1)*'Indexation Client 2026'!$F$31)*'Indexation Client 2026'!$H$31+$H$31</f>
        <v>2.344709381</v>
      </c>
      <c r="M31" s="77">
        <f>((('indice Carburant'!G6/'Indexation Client 2026'!$D$31)-1)*'Indexation Client 2026'!$F$31)*'Indexation Client 2026'!$H$31+$H$31</f>
        <v>2.451535946</v>
      </c>
      <c r="N31" s="75">
        <f>((('indice Carburant'!H6/'Indexation Client 2026'!$D$31)-1)*'Indexation Client 2026'!$F$31)*'Indexation Client 2026'!$H$31+$H$31</f>
        <v>1.96740123</v>
      </c>
      <c r="O31" s="75">
        <f>((('indice Carburant'!I6/'Indexation Client 2026'!$D$31)-1)*'Indexation Client 2026'!$F$31)*'Indexation Client 2026'!$H$31+$H$31</f>
        <v>1.96740123</v>
      </c>
      <c r="P31" s="75">
        <f>((('indice Carburant'!J6/'Indexation Client 2026'!$D$31)-1)*'Indexation Client 2026'!$F$31)*'Indexation Client 2026'!$H$31+$H$31</f>
        <v>1.96740123</v>
      </c>
      <c r="Q31" s="75">
        <f>((('indice Carburant'!K6/'Indexation Client 2026'!$D$31)-1)*'Indexation Client 2026'!$F$31)*'Indexation Client 2026'!$H$31+$H$31</f>
        <v>1.96740123</v>
      </c>
      <c r="R31" s="75">
        <f>((('indice Carburant'!L6/'Indexation Client 2026'!$D$31)-1)*'Indexation Client 2026'!$F$31)*'Indexation Client 2026'!$H$31+$H$31</f>
        <v>1.96740123</v>
      </c>
      <c r="S31" s="75">
        <f>((('indice Carburant'!M6/'Indexation Client 2026'!$D$31)-1)*'Indexation Client 2026'!$F$31)*'Indexation Client 2026'!$H$31+$H$31</f>
        <v>1.96740123</v>
      </c>
      <c r="T31" s="75">
        <f>((('indice Carburant'!N6/'Indexation Client 2026'!$D$31)-1)*'Indexation Client 2026'!$F$31)*'Indexation Client 2026'!$H$31+$H$31</f>
        <v>1.96740123</v>
      </c>
      <c r="U31" s="75">
        <f>((('indice Carburant'!O6/'Indexation Client 2026'!$D$31)-1)*'Indexation Client 2026'!$F$31)*'Indexation Client 2026'!$H$31+$H$31</f>
        <v>1.96740123</v>
      </c>
    </row>
    <row r="32" ht="14.25" customHeight="1">
      <c r="A32" s="59" t="s">
        <v>73</v>
      </c>
      <c r="B32" s="71" t="s">
        <v>80</v>
      </c>
      <c r="C32" s="73" t="s">
        <v>75</v>
      </c>
      <c r="D32" s="53">
        <v>182.15</v>
      </c>
      <c r="E32" s="53" t="s">
        <v>81</v>
      </c>
      <c r="F32" s="58">
        <v>0.1684</v>
      </c>
      <c r="G32" s="53" t="s">
        <v>78</v>
      </c>
      <c r="H32" s="75">
        <v>2.413</v>
      </c>
      <c r="I32" s="56"/>
      <c r="J32" s="74">
        <f>((('indice Carburant'!D13/'Indexation Client 2026'!$D$32)-1)*'Indexation Client 2026'!$F$32)*'Indexation Client 2026'!$H$32+$H$32</f>
        <v>2.366776803</v>
      </c>
      <c r="K32" s="74">
        <f>((('indice Carburant'!E13/'Indexation Client 2026'!$D$32)-1)*'Indexation Client 2026'!$F$32)*'Indexation Client 2026'!$H$32+$H$32</f>
        <v>2.362716657</v>
      </c>
      <c r="L32" s="74">
        <f>((('indice Carburant'!F13/'Indexation Client 2026'!$D$32)-1)*'Indexation Client 2026'!$F$32)*'Indexation Client 2026'!$H$32+$H$32</f>
        <v>2.403028104</v>
      </c>
      <c r="M32" s="77">
        <f>((('indice Carburant'!G13/'Indexation Client 2026'!$D$32)-1)*'Indexation Client 2026'!$F$32)*'Indexation Client 2026'!$H$32+$H$32</f>
        <v>2.0066508</v>
      </c>
      <c r="N32" s="75">
        <f>((('indice Carburant'!H13/'Indexation Client 2026'!$D$32)-1)*'Indexation Client 2026'!$F$32)*'Indexation Client 2026'!$H$32+$H$32</f>
        <v>2.0066508</v>
      </c>
      <c r="O32" s="75">
        <f>((('indice Carburant'!I13/'Indexation Client 2026'!$D$32)-1)*'Indexation Client 2026'!$F$32)*'Indexation Client 2026'!$H$32+$H$32</f>
        <v>2.0066508</v>
      </c>
      <c r="P32" s="75">
        <f>((('indice Carburant'!J13/'Indexation Client 2026'!$D$32)-1)*'Indexation Client 2026'!$F$32)*'Indexation Client 2026'!$H$32+$H$32</f>
        <v>2.0066508</v>
      </c>
      <c r="Q32" s="75">
        <f>((('indice Carburant'!K13/'Indexation Client 2026'!$D$32)-1)*'Indexation Client 2026'!$F$32)*'Indexation Client 2026'!$H$32+$H$32</f>
        <v>2.0066508</v>
      </c>
      <c r="R32" s="75">
        <f>((('indice Carburant'!L13/'Indexation Client 2026'!$D$32)-1)*'Indexation Client 2026'!$F$32)*'Indexation Client 2026'!$H$32+$H$32</f>
        <v>2.0066508</v>
      </c>
      <c r="S32" s="75">
        <f>((('indice Carburant'!M13/'Indexation Client 2026'!$D$32)-1)*'Indexation Client 2026'!$F$32)*'Indexation Client 2026'!$H$32+$H$32</f>
        <v>2.0066508</v>
      </c>
      <c r="T32" s="75">
        <f>((('indice Carburant'!N13/'Indexation Client 2026'!$D$32)-1)*'Indexation Client 2026'!$F$32)*'Indexation Client 2026'!$H$32+$H$32</f>
        <v>2.0066508</v>
      </c>
      <c r="U32" s="75">
        <f>((('indice Carburant'!O13/'Indexation Client 2026'!$D$32)-1)*'Indexation Client 2026'!$F$32)*'Indexation Client 2026'!$H$32+$H$32</f>
        <v>2.0066508</v>
      </c>
    </row>
    <row r="33" ht="14.25" customHeight="1">
      <c r="A33" s="59" t="s">
        <v>73</v>
      </c>
      <c r="B33" s="71" t="s">
        <v>82</v>
      </c>
      <c r="C33" s="73" t="s">
        <v>75</v>
      </c>
      <c r="D33" s="53">
        <v>182.15</v>
      </c>
      <c r="E33" s="53" t="s">
        <v>81</v>
      </c>
      <c r="F33" s="58">
        <v>0.0983</v>
      </c>
      <c r="G33" s="53" t="s">
        <v>78</v>
      </c>
      <c r="H33" s="75">
        <v>4.135</v>
      </c>
      <c r="I33" s="56"/>
      <c r="J33" s="74">
        <f>((('indice Carburant'!D13/'Indexation Client 2026'!$D$33)-1)*'Indexation Client 2026'!$F$33)*'Indexation Client 2026'!$H$33+$H$33</f>
        <v>4.088763004</v>
      </c>
      <c r="K33" s="74">
        <f>((('indice Carburant'!E13/'Indexation Client 2026'!$D$33)-1)*'Indexation Client 2026'!$F$33)*'Indexation Client 2026'!$H$33+$H$33</f>
        <v>4.084701647</v>
      </c>
      <c r="L33" s="74">
        <f>((('indice Carburant'!F13/'Indexation Client 2026'!$D$33)-1)*'Indexation Client 2026'!$F$33)*'Indexation Client 2026'!$H$33+$H$33</f>
        <v>4.125025127</v>
      </c>
      <c r="M33" s="77">
        <f>((('indice Carburant'!G13/'Indexation Client 2026'!$D$33)-1)*'Indexation Client 2026'!$F$33)*'Indexation Client 2026'!$H$33+$H$33</f>
        <v>3.7285295</v>
      </c>
      <c r="N33" s="75">
        <f>((('indice Carburant'!H13/'Indexation Client 2026'!$D$33)-1)*'Indexation Client 2026'!$F$33)*'Indexation Client 2026'!$H$33+$H$33</f>
        <v>3.7285295</v>
      </c>
      <c r="O33" s="75">
        <f>((('indice Carburant'!I13/'Indexation Client 2026'!$D$33)-1)*'Indexation Client 2026'!$F$33)*'Indexation Client 2026'!$H$33+$H$33</f>
        <v>3.7285295</v>
      </c>
      <c r="P33" s="75">
        <f>((('indice Carburant'!J13/'Indexation Client 2026'!$D$33)-1)*'Indexation Client 2026'!$F$33)*'Indexation Client 2026'!$H$33+$H$33</f>
        <v>3.7285295</v>
      </c>
      <c r="Q33" s="75">
        <f>((('indice Carburant'!K13/'Indexation Client 2026'!$D$33)-1)*'Indexation Client 2026'!$F$33)*'Indexation Client 2026'!$H$33+$H$33</f>
        <v>3.7285295</v>
      </c>
      <c r="R33" s="75">
        <f>((('indice Carburant'!L13/'Indexation Client 2026'!$D$33)-1)*'Indexation Client 2026'!$F$33)*'Indexation Client 2026'!$H$33+$H$33</f>
        <v>3.7285295</v>
      </c>
      <c r="S33" s="75">
        <f>((('indice Carburant'!M13/'Indexation Client 2026'!$D$33)-1)*'Indexation Client 2026'!$F$33)*'Indexation Client 2026'!$H$33+$H$33</f>
        <v>3.7285295</v>
      </c>
      <c r="T33" s="75">
        <f>((('indice Carburant'!N13/'Indexation Client 2026'!$D$33)-1)*'Indexation Client 2026'!$F$33)*'Indexation Client 2026'!$H$33+$H$33</f>
        <v>3.7285295</v>
      </c>
      <c r="U33" s="75">
        <f>((('indice Carburant'!O13/'Indexation Client 2026'!$D$33)-1)*'Indexation Client 2026'!$F$33)*'Indexation Client 2026'!$H$33+$H$33</f>
        <v>3.7285295</v>
      </c>
    </row>
    <row r="34" ht="14.25" customHeight="1">
      <c r="A34" s="59" t="s">
        <v>73</v>
      </c>
      <c r="B34" s="71" t="s">
        <v>83</v>
      </c>
      <c r="C34" s="73" t="s">
        <v>75</v>
      </c>
      <c r="D34" s="53">
        <v>182.15</v>
      </c>
      <c r="E34" s="53" t="s">
        <v>81</v>
      </c>
      <c r="F34" s="58">
        <v>0.169</v>
      </c>
      <c r="G34" s="53" t="s">
        <v>78</v>
      </c>
      <c r="H34" s="75">
        <v>2.2548</v>
      </c>
      <c r="I34" s="56"/>
      <c r="J34" s="74">
        <f>((('indice Carburant'!D13/'Indexation Client 2026'!$D$34)-1)*'Indexation Client 2026'!$F$34)*'Indexation Client 2026'!$H$34+$H$34</f>
        <v>2.211453373</v>
      </c>
      <c r="K34" s="74">
        <f>((('indice Carburant'!E13/'Indexation Client 2026'!$D$34)-1)*'Indexation Client 2026'!$F$34)*'Indexation Client 2026'!$H$34+$H$34</f>
        <v>2.207645899</v>
      </c>
      <c r="L34" s="74">
        <f>((('indice Carburant'!F13/'Indexation Client 2026'!$D$34)-1)*'Indexation Client 2026'!$F$34)*'Indexation Client 2026'!$H$34+$H$34</f>
        <v>2.245448677</v>
      </c>
      <c r="M34" s="77">
        <f>((('indice Carburant'!G13/'Indexation Client 2026'!$D$34)-1)*'Indexation Client 2026'!$F$34)*'Indexation Client 2026'!$H$34+$H$34</f>
        <v>1.8737388</v>
      </c>
      <c r="N34" s="75">
        <f>((('indice Carburant'!H13/'Indexation Client 2026'!$D$34)-1)*'Indexation Client 2026'!$F$34)*'Indexation Client 2026'!$H$34+$H$34</f>
        <v>1.8737388</v>
      </c>
      <c r="O34" s="75">
        <f>((('indice Carburant'!I13/'Indexation Client 2026'!$D$34)-1)*'Indexation Client 2026'!$F$34)*'Indexation Client 2026'!$H$34+$H$34</f>
        <v>1.8737388</v>
      </c>
      <c r="P34" s="75">
        <f>((('indice Carburant'!J13/'Indexation Client 2026'!$D$34)-1)*'Indexation Client 2026'!$F$34)*'Indexation Client 2026'!$H$34+$H$34</f>
        <v>1.8737388</v>
      </c>
      <c r="Q34" s="75">
        <f>((('indice Carburant'!K13/'Indexation Client 2026'!$D$34)-1)*'Indexation Client 2026'!$F$34)*'Indexation Client 2026'!$H$34+$H$34</f>
        <v>1.8737388</v>
      </c>
      <c r="R34" s="75">
        <f>((('indice Carburant'!L13/'Indexation Client 2026'!$D$34)-1)*'Indexation Client 2026'!$F$34)*'Indexation Client 2026'!$H$34+$H$34</f>
        <v>1.8737388</v>
      </c>
      <c r="S34" s="75">
        <f>((('indice Carburant'!M13/'Indexation Client 2026'!$D$34)-1)*'Indexation Client 2026'!$F$34)*'Indexation Client 2026'!$H$34+$H$34</f>
        <v>1.8737388</v>
      </c>
      <c r="T34" s="75">
        <f>((('indice Carburant'!N13/'Indexation Client 2026'!$D$34)-1)*'Indexation Client 2026'!$F$34)*'Indexation Client 2026'!$H$34+$H$34</f>
        <v>1.8737388</v>
      </c>
      <c r="U34" s="75">
        <f>((('indice Carburant'!O13/'Indexation Client 2026'!$D$34)-1)*'Indexation Client 2026'!$F$34)*'Indexation Client 2026'!$H$34+$H$34</f>
        <v>1.8737388</v>
      </c>
    </row>
    <row r="35" ht="14.25" customHeight="1">
      <c r="A35" s="59" t="s">
        <v>73</v>
      </c>
      <c r="B35" s="71" t="s">
        <v>84</v>
      </c>
      <c r="C35" s="73" t="s">
        <v>75</v>
      </c>
      <c r="D35" s="53">
        <v>182.15</v>
      </c>
      <c r="E35" s="53" t="s">
        <v>81</v>
      </c>
      <c r="F35" s="58">
        <v>0.1942</v>
      </c>
      <c r="G35" s="53" t="s">
        <v>78</v>
      </c>
      <c r="H35" s="75">
        <v>2.0315</v>
      </c>
      <c r="I35" s="56"/>
      <c r="J35" s="74">
        <f>((('indice Carburant'!D13/'Indexation Client 2026'!$D$35)-1)*'Indexation Client 2026'!$F$35)*'Indexation Client 2026'!$H$35+$H$35</f>
        <v>1.98662271</v>
      </c>
      <c r="K35" s="74">
        <f>((('indice Carburant'!E13/'Indexation Client 2026'!$D$35)-1)*'Indexation Client 2026'!$F$35)*'Indexation Client 2026'!$H$35+$H$35</f>
        <v>1.982680785</v>
      </c>
      <c r="L35" s="74">
        <f>((('indice Carburant'!F13/'Indexation Client 2026'!$D$35)-1)*'Indexation Client 2026'!$F$35)*'Indexation Client 2026'!$H$35+$H$35</f>
        <v>2.021818461</v>
      </c>
      <c r="M35" s="77">
        <f>((('indice Carburant'!G13/'Indexation Client 2026'!$D$35)-1)*'Indexation Client 2026'!$F$35)*'Indexation Client 2026'!$H$35+$H$35</f>
        <v>1.6369827</v>
      </c>
      <c r="N35" s="75">
        <f>((('indice Carburant'!H13/'Indexation Client 2026'!$D$35)-1)*'Indexation Client 2026'!$F$35)*'Indexation Client 2026'!$H$35+$H$35</f>
        <v>1.6369827</v>
      </c>
      <c r="O35" s="75">
        <f>((('indice Carburant'!I13/'Indexation Client 2026'!$D$35)-1)*'Indexation Client 2026'!$F$35)*'Indexation Client 2026'!$H$35+$H$35</f>
        <v>1.6369827</v>
      </c>
      <c r="P35" s="75">
        <f>((('indice Carburant'!J13/'Indexation Client 2026'!$D$35)-1)*'Indexation Client 2026'!$F$35)*'Indexation Client 2026'!$H$35+$H$35</f>
        <v>1.6369827</v>
      </c>
      <c r="Q35" s="75">
        <f>((('indice Carburant'!K13/'Indexation Client 2026'!$D$35)-1)*'Indexation Client 2026'!$F$35)*'Indexation Client 2026'!$H$35+$H$35</f>
        <v>1.6369827</v>
      </c>
      <c r="R35" s="75">
        <f>((('indice Carburant'!L13/'Indexation Client 2026'!$D$35)-1)*'Indexation Client 2026'!$F$35)*'Indexation Client 2026'!$H$35+$H$35</f>
        <v>1.6369827</v>
      </c>
      <c r="S35" s="75">
        <f>((('indice Carburant'!M13/'Indexation Client 2026'!$D$35)-1)*'Indexation Client 2026'!$F$35)*'Indexation Client 2026'!$H$35+$H$35</f>
        <v>1.6369827</v>
      </c>
      <c r="T35" s="75">
        <f>((('indice Carburant'!N13/'Indexation Client 2026'!$D$35)-1)*'Indexation Client 2026'!$F$35)*'Indexation Client 2026'!$H$35+$H$35</f>
        <v>1.6369827</v>
      </c>
      <c r="U35" s="75">
        <f>((('indice Carburant'!O13/'Indexation Client 2026'!$D$35)-1)*'Indexation Client 2026'!$F$35)*'Indexation Client 2026'!$H$35+$H$35</f>
        <v>1.6369827</v>
      </c>
    </row>
    <row r="36" ht="14.25" customHeight="1">
      <c r="A36" s="59" t="s">
        <v>73</v>
      </c>
      <c r="B36" s="71" t="s">
        <v>85</v>
      </c>
      <c r="C36" s="73" t="s">
        <v>75</v>
      </c>
      <c r="D36" s="53">
        <v>182.15</v>
      </c>
      <c r="E36" s="53" t="s">
        <v>81</v>
      </c>
      <c r="F36" s="58">
        <v>0.238</v>
      </c>
      <c r="G36" s="53" t="s">
        <v>78</v>
      </c>
      <c r="H36" s="75">
        <v>1.7074</v>
      </c>
      <c r="I36" s="56"/>
      <c r="J36" s="74">
        <f>((('indice Carburant'!D13/'Indexation Client 2026'!$D$36)-1)*'Indexation Client 2026'!$F$36)*'Indexation Client 2026'!$H$36+$H$36</f>
        <v>1.661175437</v>
      </c>
      <c r="K36" s="74">
        <f>((('indice Carburant'!E13/'Indexation Client 2026'!$D$36)-1)*'Indexation Client 2026'!$F$36)*'Indexation Client 2026'!$H$36+$H$36</f>
        <v>1.657115172</v>
      </c>
      <c r="L36" s="74">
        <f>((('indice Carburant'!F13/'Indexation Client 2026'!$D$36)-1)*'Indexation Client 2026'!$F$36)*'Indexation Client 2026'!$H$36+$H$36</f>
        <v>1.697427809</v>
      </c>
      <c r="M36" s="77">
        <f>((('indice Carburant'!G13/'Indexation Client 2026'!$D$36)-1)*'Indexation Client 2026'!$F$36)*'Indexation Client 2026'!$H$36+$H$36</f>
        <v>1.3010388</v>
      </c>
      <c r="N36" s="75">
        <f>((('indice Carburant'!H13/'Indexation Client 2026'!$D$36)-1)*'Indexation Client 2026'!$F$36)*'Indexation Client 2026'!$H$36+$H$36</f>
        <v>1.3010388</v>
      </c>
      <c r="O36" s="75">
        <f>((('indice Carburant'!I13/'Indexation Client 2026'!$D$36)-1)*'Indexation Client 2026'!$F$36)*'Indexation Client 2026'!$H$36+$H$36</f>
        <v>1.3010388</v>
      </c>
      <c r="P36" s="75">
        <f>((('indice Carburant'!J13/'Indexation Client 2026'!$D$36)-1)*'Indexation Client 2026'!$F$36)*'Indexation Client 2026'!$H$36+$H$36</f>
        <v>1.3010388</v>
      </c>
      <c r="Q36" s="75">
        <f>((('indice Carburant'!K13/'Indexation Client 2026'!$D$36)-1)*'Indexation Client 2026'!$F$36)*'Indexation Client 2026'!$H$36+$H$36</f>
        <v>1.3010388</v>
      </c>
      <c r="R36" s="75">
        <f>((('indice Carburant'!L13/'Indexation Client 2026'!$D$36)-1)*'Indexation Client 2026'!$F$36)*'Indexation Client 2026'!$H$36+$H$36</f>
        <v>1.3010388</v>
      </c>
      <c r="S36" s="75">
        <f>((('indice Carburant'!M13/'Indexation Client 2026'!$D$36)-1)*'Indexation Client 2026'!$F$36)*'Indexation Client 2026'!$H$36+$H$36</f>
        <v>1.3010388</v>
      </c>
      <c r="T36" s="75">
        <f>((('indice Carburant'!N13/'Indexation Client 2026'!$D$36)-1)*'Indexation Client 2026'!$F$36)*'Indexation Client 2026'!$H$36+$H$36</f>
        <v>1.3010388</v>
      </c>
      <c r="U36" s="75">
        <f>((('indice Carburant'!O13/'Indexation Client 2026'!$D$36)-1)*'Indexation Client 2026'!$F$36)*'Indexation Client 2026'!$H$36+$H$36</f>
        <v>1.3010388</v>
      </c>
    </row>
    <row r="37" ht="14.25" customHeight="1">
      <c r="A37" s="59" t="s">
        <v>73</v>
      </c>
      <c r="B37" s="71" t="s">
        <v>86</v>
      </c>
      <c r="C37" s="73" t="s">
        <v>75</v>
      </c>
      <c r="D37" s="53">
        <v>182.15</v>
      </c>
      <c r="E37" s="53" t="s">
        <v>81</v>
      </c>
      <c r="F37" s="58">
        <v>0.2003</v>
      </c>
      <c r="G37" s="53" t="s">
        <v>78</v>
      </c>
      <c r="H37" s="75">
        <v>2.47</v>
      </c>
      <c r="I37" s="56"/>
      <c r="J37" s="74">
        <f>((('indice Carburant'!D13/'Indexation Client 2026'!$D$37)-1)*'Indexation Client 2026'!$F$37)*'Indexation Client 2026'!$H$37+$H$37</f>
        <v>2.413722023</v>
      </c>
      <c r="K37" s="74">
        <f>((('indice Carburant'!E13/'Indexation Client 2026'!$D$37)-1)*'Indexation Client 2026'!$F$37)*'Indexation Client 2026'!$H$37+$H$37</f>
        <v>2.408778687</v>
      </c>
      <c r="L37" s="74">
        <f>((('indice Carburant'!F13/'Indexation Client 2026'!$D$37)-1)*'Indexation Client 2026'!$F$37)*'Indexation Client 2026'!$H$37+$H$37</f>
        <v>2.45785895</v>
      </c>
      <c r="M37" s="77">
        <f>((('indice Carburant'!G13/'Indexation Client 2026'!$D$37)-1)*'Indexation Client 2026'!$F$37)*'Indexation Client 2026'!$H$37+$H$37</f>
        <v>1.975259</v>
      </c>
      <c r="N37" s="75">
        <f>((('indice Carburant'!H13/'Indexation Client 2026'!$D$37)-1)*'Indexation Client 2026'!$F$37)*'Indexation Client 2026'!$H$37+$H$37</f>
        <v>1.975259</v>
      </c>
      <c r="O37" s="75">
        <f>((('indice Carburant'!I13/'Indexation Client 2026'!$D$37)-1)*'Indexation Client 2026'!$F$37)*'Indexation Client 2026'!$H$37+$H$37</f>
        <v>1.975259</v>
      </c>
      <c r="P37" s="75">
        <f>((('indice Carburant'!J13/'Indexation Client 2026'!$D$37)-1)*'Indexation Client 2026'!$F$37)*'Indexation Client 2026'!$H$37+$H$37</f>
        <v>1.975259</v>
      </c>
      <c r="Q37" s="75">
        <f>((('indice Carburant'!K13/'Indexation Client 2026'!$D$37)-1)*'Indexation Client 2026'!$F$37)*'Indexation Client 2026'!$H$37+$H$37</f>
        <v>1.975259</v>
      </c>
      <c r="R37" s="75">
        <f>((('indice Carburant'!L13/'Indexation Client 2026'!$D$37)-1)*'Indexation Client 2026'!$F$37)*'Indexation Client 2026'!$H$37+$H$37</f>
        <v>1.975259</v>
      </c>
      <c r="S37" s="75">
        <f>((('indice Carburant'!M13/'Indexation Client 2026'!$D$37)-1)*'Indexation Client 2026'!$F$37)*'Indexation Client 2026'!$H$37+$H$37</f>
        <v>1.975259</v>
      </c>
      <c r="T37" s="75">
        <f>((('indice Carburant'!N13/'Indexation Client 2026'!$D$37)-1)*'Indexation Client 2026'!$F$37)*'Indexation Client 2026'!$H$37+$H$37</f>
        <v>1.975259</v>
      </c>
      <c r="U37" s="75">
        <f>((('indice Carburant'!O13/'Indexation Client 2026'!$D$37)-1)*'Indexation Client 2026'!$F$37)*'Indexation Client 2026'!$H$37+$H$37</f>
        <v>1.975259</v>
      </c>
    </row>
    <row r="38" ht="14.25" customHeight="1">
      <c r="A38" s="59" t="s">
        <v>73</v>
      </c>
      <c r="B38" s="71" t="s">
        <v>87</v>
      </c>
      <c r="C38" s="73" t="s">
        <v>75</v>
      </c>
      <c r="D38" s="53">
        <v>153.94</v>
      </c>
      <c r="E38" s="53" t="s">
        <v>81</v>
      </c>
      <c r="F38" s="58">
        <v>0.1376</v>
      </c>
      <c r="G38" s="53" t="s">
        <v>78</v>
      </c>
      <c r="H38" s="75">
        <v>4.4842</v>
      </c>
      <c r="I38" s="56"/>
      <c r="J38" s="74">
        <f>((('indice Carburant'!D13/'Indexation Client 2026'!$D$38)-1)*'Indexation Client 2026'!$F$38)*'Indexation Client 2026'!$H$38+$H$38</f>
        <v>4.514221594</v>
      </c>
      <c r="K38" s="74">
        <f>((('indice Carburant'!E13/'Indexation Client 2026'!$D$38)-1)*'Indexation Client 2026'!$F$38)*'Indexation Client 2026'!$H$38+$H$38</f>
        <v>4.506926627</v>
      </c>
      <c r="L38" s="74">
        <f>((('indice Carburant'!F13/'Indexation Client 2026'!$D$38)-1)*'Indexation Client 2026'!$F$38)*'Indexation Client 2026'!$H$38+$H$38</f>
        <v>4.579355225</v>
      </c>
      <c r="M38" s="77">
        <f>((('indice Carburant'!G13/'Indexation Client 2026'!$D$38)-1)*'Indexation Client 2026'!$F$38)*'Indexation Client 2026'!$H$38+$H$38</f>
        <v>3.86717408</v>
      </c>
      <c r="N38" s="75">
        <f>((('indice Carburant'!H13/'Indexation Client 2026'!$D$38)-1)*'Indexation Client 2026'!$F$38)*'Indexation Client 2026'!$H$38+$H$38</f>
        <v>3.86717408</v>
      </c>
      <c r="O38" s="75">
        <f>((('indice Carburant'!I13/'Indexation Client 2026'!$D$38)-1)*'Indexation Client 2026'!$F$38)*'Indexation Client 2026'!$H$38+$H$38</f>
        <v>3.86717408</v>
      </c>
      <c r="P38" s="75">
        <f>((('indice Carburant'!J13/'Indexation Client 2026'!$D$38)-1)*'Indexation Client 2026'!$F$38)*'Indexation Client 2026'!$H$38+$H$38</f>
        <v>3.86717408</v>
      </c>
      <c r="Q38" s="75">
        <f>((('indice Carburant'!K13/'Indexation Client 2026'!$D$38)-1)*'Indexation Client 2026'!$F$38)*'Indexation Client 2026'!$H$38+$H$38</f>
        <v>3.86717408</v>
      </c>
      <c r="R38" s="75">
        <f>((('indice Carburant'!L13/'Indexation Client 2026'!$D$38)-1)*'Indexation Client 2026'!$F$38)*'Indexation Client 2026'!$H$38+$H$38</f>
        <v>3.86717408</v>
      </c>
      <c r="S38" s="75">
        <f>((('indice Carburant'!M13/'Indexation Client 2026'!$D$38)-1)*'Indexation Client 2026'!$F$38)*'Indexation Client 2026'!$H$38+$H$38</f>
        <v>3.86717408</v>
      </c>
      <c r="T38" s="75">
        <f>((('indice Carburant'!N13/'Indexation Client 2026'!$D$38)-1)*'Indexation Client 2026'!$F$38)*'Indexation Client 2026'!$H$38+$H$38</f>
        <v>3.86717408</v>
      </c>
      <c r="U38" s="75">
        <f>((('indice Carburant'!O13/'Indexation Client 2026'!$D$38)-1)*'Indexation Client 2026'!$F$38)*'Indexation Client 2026'!$H$38+$H$38</f>
        <v>3.86717408</v>
      </c>
    </row>
    <row r="39" ht="14.25" customHeight="1">
      <c r="A39" s="59" t="s">
        <v>73</v>
      </c>
      <c r="B39" s="71" t="s">
        <v>88</v>
      </c>
      <c r="C39" s="73" t="s">
        <v>75</v>
      </c>
      <c r="D39" s="53">
        <v>153.94</v>
      </c>
      <c r="E39" s="53" t="s">
        <v>81</v>
      </c>
      <c r="F39" s="58">
        <v>0.1564</v>
      </c>
      <c r="G39" s="53" t="s">
        <v>78</v>
      </c>
      <c r="H39" s="75">
        <v>2.4922</v>
      </c>
      <c r="I39" s="56"/>
      <c r="J39" s="74">
        <f>((('indice Carburant'!D13/'Indexation Client 2026'!$D$39)-1)*'Indexation Client 2026'!$F$39)*'Indexation Client 2026'!$H$39+$H$39</f>
        <v>2.511164875</v>
      </c>
      <c r="K39" s="74">
        <f>((('indice Carburant'!E13/'Indexation Client 2026'!$D$39)-1)*'Indexation Client 2026'!$F$39)*'Indexation Client 2026'!$H$39+$H$39</f>
        <v>2.506556587</v>
      </c>
      <c r="L39" s="74">
        <f>((('indice Carburant'!F13/'Indexation Client 2026'!$D$39)-1)*'Indexation Client 2026'!$F$39)*'Indexation Client 2026'!$H$39+$H$39</f>
        <v>2.552310297</v>
      </c>
      <c r="M39" s="77">
        <f>((('indice Carburant'!G13/'Indexation Client 2026'!$D$39)-1)*'Indexation Client 2026'!$F$39)*'Indexation Client 2026'!$H$39+$H$39</f>
        <v>2.10241992</v>
      </c>
      <c r="N39" s="75">
        <f>((('indice Carburant'!H13/'Indexation Client 2026'!$D$39)-1)*'Indexation Client 2026'!$F$39)*'Indexation Client 2026'!$H$39+$H$39</f>
        <v>2.10241992</v>
      </c>
      <c r="O39" s="75">
        <f>((('indice Carburant'!I13/'Indexation Client 2026'!$D$39)-1)*'Indexation Client 2026'!$F$39)*'Indexation Client 2026'!$H$39+$H$39</f>
        <v>2.10241992</v>
      </c>
      <c r="P39" s="75">
        <f>((('indice Carburant'!J13/'Indexation Client 2026'!$D$39)-1)*'Indexation Client 2026'!$F$39)*'Indexation Client 2026'!$H$39+$H$39</f>
        <v>2.10241992</v>
      </c>
      <c r="Q39" s="75">
        <f>((('indice Carburant'!K13/'Indexation Client 2026'!$D$39)-1)*'Indexation Client 2026'!$F$39)*'Indexation Client 2026'!$H$39+$H$39</f>
        <v>2.10241992</v>
      </c>
      <c r="R39" s="75">
        <f>((('indice Carburant'!L13/'Indexation Client 2026'!$D$39)-1)*'Indexation Client 2026'!$F$39)*'Indexation Client 2026'!$H$39+$H$39</f>
        <v>2.10241992</v>
      </c>
      <c r="S39" s="75">
        <f>((('indice Carburant'!M13/'Indexation Client 2026'!$D$39)-1)*'Indexation Client 2026'!$F$39)*'Indexation Client 2026'!$H$39+$H$39</f>
        <v>2.10241992</v>
      </c>
      <c r="T39" s="75">
        <f>((('indice Carburant'!N13/'Indexation Client 2026'!$D$39)-1)*'Indexation Client 2026'!$F$39)*'Indexation Client 2026'!$H$39+$H$39</f>
        <v>2.10241992</v>
      </c>
      <c r="U39" s="75">
        <f>((('indice Carburant'!O13/'Indexation Client 2026'!$D$39)-1)*'Indexation Client 2026'!$F$39)*'Indexation Client 2026'!$H$39+$H$39</f>
        <v>2.10241992</v>
      </c>
    </row>
    <row r="40" ht="14.25" customHeight="1">
      <c r="A40" s="59" t="s">
        <v>73</v>
      </c>
      <c r="B40" s="71" t="s">
        <v>89</v>
      </c>
      <c r="C40" s="73" t="s">
        <v>75</v>
      </c>
      <c r="D40" s="53">
        <v>153.94</v>
      </c>
      <c r="E40" s="53" t="s">
        <v>81</v>
      </c>
      <c r="F40" s="58">
        <v>0.1557</v>
      </c>
      <c r="G40" s="53" t="s">
        <v>78</v>
      </c>
      <c r="H40" s="75">
        <v>2.3944</v>
      </c>
      <c r="I40" s="56"/>
      <c r="J40" s="74">
        <f>((('indice Carburant'!D13/'Indexation Client 2026'!$D$40)-1)*'Indexation Client 2026'!$F$40)*'Indexation Client 2026'!$H$40+$H$40</f>
        <v>2.412539097</v>
      </c>
      <c r="K40" s="74">
        <f>((('indice Carburant'!E13/'Indexation Client 2026'!$D$40)-1)*'Indexation Client 2026'!$F$40)*'Indexation Client 2026'!$H$40+$H$40</f>
        <v>2.408131466</v>
      </c>
      <c r="L40" s="74">
        <f>((('indice Carburant'!F13/'Indexation Client 2026'!$D$40)-1)*'Indexation Client 2026'!$F$40)*'Indexation Client 2026'!$H$40+$H$40</f>
        <v>2.451892944</v>
      </c>
      <c r="M40" s="77">
        <f>((('indice Carburant'!G13/'Indexation Client 2026'!$D$40)-1)*'Indexation Client 2026'!$F$40)*'Indexation Client 2026'!$H$40+$H$40</f>
        <v>2.02159192</v>
      </c>
      <c r="N40" s="75">
        <f>((('indice Carburant'!H13/'Indexation Client 2026'!$D$40)-1)*'Indexation Client 2026'!$F$40)*'Indexation Client 2026'!$H$40+$H$40</f>
        <v>2.02159192</v>
      </c>
      <c r="O40" s="75">
        <f>((('indice Carburant'!I13/'Indexation Client 2026'!$D$40)-1)*'Indexation Client 2026'!$F$40)*'Indexation Client 2026'!$H$40+$H$40</f>
        <v>2.02159192</v>
      </c>
      <c r="P40" s="75">
        <f>((('indice Carburant'!J13/'Indexation Client 2026'!$D$40)-1)*'Indexation Client 2026'!$F$40)*'Indexation Client 2026'!$H$40+$H$40</f>
        <v>2.02159192</v>
      </c>
      <c r="Q40" s="75">
        <f>((('indice Carburant'!K13/'Indexation Client 2026'!$D$40)-1)*'Indexation Client 2026'!$F$40)*'Indexation Client 2026'!$H$40+$H$40</f>
        <v>2.02159192</v>
      </c>
      <c r="R40" s="75">
        <f>((('indice Carburant'!L13/'Indexation Client 2026'!$D$40)-1)*'Indexation Client 2026'!$F$40)*'Indexation Client 2026'!$H$40+$H$40</f>
        <v>2.02159192</v>
      </c>
      <c r="S40" s="75">
        <f>((('indice Carburant'!M13/'Indexation Client 2026'!$D$40)-1)*'Indexation Client 2026'!$F$40)*'Indexation Client 2026'!$H$40+$H$40</f>
        <v>2.02159192</v>
      </c>
      <c r="T40" s="75">
        <f>((('indice Carburant'!N13/'Indexation Client 2026'!$D$40)-1)*'Indexation Client 2026'!$F$40)*'Indexation Client 2026'!$H$40+$H$40</f>
        <v>2.02159192</v>
      </c>
      <c r="U40" s="75">
        <f>((('indice Carburant'!O13/'Indexation Client 2026'!$D$40)-1)*'Indexation Client 2026'!$F$40)*'Indexation Client 2026'!$H$40+$H$40</f>
        <v>2.02159192</v>
      </c>
    </row>
    <row r="41" ht="14.25" customHeight="1">
      <c r="A41" s="59" t="s">
        <v>73</v>
      </c>
      <c r="B41" s="71" t="s">
        <v>90</v>
      </c>
      <c r="C41" s="73" t="s">
        <v>75</v>
      </c>
      <c r="D41" s="53">
        <v>153.94</v>
      </c>
      <c r="E41" s="53" t="s">
        <v>81</v>
      </c>
      <c r="F41" s="58">
        <v>0.2347</v>
      </c>
      <c r="G41" s="53" t="s">
        <v>78</v>
      </c>
      <c r="H41" s="75">
        <v>1.5889</v>
      </c>
      <c r="I41" s="56"/>
      <c r="J41" s="74">
        <f>((('indice Carburant'!D13/'Indexation Client 2026'!$D$41)-1)*'Indexation Client 2026'!$F$41)*'Indexation Client 2026'!$H$41+$H$41</f>
        <v>1.60704429</v>
      </c>
      <c r="K41" s="74">
        <f>((('indice Carburant'!E13/'Indexation Client 2026'!$D$41)-1)*'Indexation Client 2026'!$F$41)*'Indexation Client 2026'!$H$41+$H$41</f>
        <v>1.602635397</v>
      </c>
      <c r="L41" s="74">
        <f>((('indice Carburant'!F13/'Indexation Client 2026'!$D$41)-1)*'Indexation Client 2026'!$F$41)*'Indexation Client 2026'!$H$41+$H$41</f>
        <v>1.646409407</v>
      </c>
      <c r="M41" s="77">
        <f>((('indice Carburant'!G13/'Indexation Client 2026'!$D$41)-1)*'Indexation Client 2026'!$F$41)*'Indexation Client 2026'!$H$41+$H$41</f>
        <v>1.21598517</v>
      </c>
      <c r="N41" s="75">
        <f>((('indice Carburant'!H13/'Indexation Client 2026'!$D$41)-1)*'Indexation Client 2026'!$F$41)*'Indexation Client 2026'!$H$41+$H$41</f>
        <v>1.21598517</v>
      </c>
      <c r="O41" s="75">
        <f>((('indice Carburant'!I13/'Indexation Client 2026'!$D$41)-1)*'Indexation Client 2026'!$F$41)*'Indexation Client 2026'!$H$41+$H$41</f>
        <v>1.21598517</v>
      </c>
      <c r="P41" s="75">
        <f>((('indice Carburant'!J13/'Indexation Client 2026'!$D$41)-1)*'Indexation Client 2026'!$F$41)*'Indexation Client 2026'!$H$41+$H$41</f>
        <v>1.21598517</v>
      </c>
      <c r="Q41" s="75">
        <f>((('indice Carburant'!K13/'Indexation Client 2026'!$D$41)-1)*'Indexation Client 2026'!$F$41)*'Indexation Client 2026'!$H$41+$H$41</f>
        <v>1.21598517</v>
      </c>
      <c r="R41" s="75">
        <f>((('indice Carburant'!L13/'Indexation Client 2026'!$D$41)-1)*'Indexation Client 2026'!$F$41)*'Indexation Client 2026'!$H$41+$H$41</f>
        <v>1.21598517</v>
      </c>
      <c r="S41" s="75">
        <f>((('indice Carburant'!M13/'Indexation Client 2026'!$D$41)-1)*'Indexation Client 2026'!$F$41)*'Indexation Client 2026'!$H$41+$H$41</f>
        <v>1.21598517</v>
      </c>
      <c r="T41" s="75">
        <f>((('indice Carburant'!N13/'Indexation Client 2026'!$D$41)-1)*'Indexation Client 2026'!$F$41)*'Indexation Client 2026'!$H$41+$H$41</f>
        <v>1.21598517</v>
      </c>
      <c r="U41" s="75">
        <f>((('indice Carburant'!O13/'Indexation Client 2026'!$D$41)-1)*'Indexation Client 2026'!$F$41)*'Indexation Client 2026'!$H$41+$H$41</f>
        <v>1.21598517</v>
      </c>
    </row>
    <row r="42" ht="14.25" customHeight="1">
      <c r="A42" s="59" t="s">
        <v>73</v>
      </c>
      <c r="B42" s="71" t="s">
        <v>91</v>
      </c>
      <c r="C42" s="73" t="s">
        <v>75</v>
      </c>
      <c r="D42" s="53">
        <v>153.94</v>
      </c>
      <c r="E42" s="53" t="s">
        <v>81</v>
      </c>
      <c r="F42" s="58">
        <v>0.2898</v>
      </c>
      <c r="G42" s="53" t="s">
        <v>78</v>
      </c>
      <c r="H42" s="75">
        <v>1.5169</v>
      </c>
      <c r="I42" s="56"/>
      <c r="J42" s="74">
        <f>((('indice Carburant'!D13/'Indexation Client 2026'!$D$42)-1)*'Indexation Client 2026'!$F$42)*'Indexation Client 2026'!$H$42+$H$42</f>
        <v>1.538288763</v>
      </c>
      <c r="K42" s="74">
        <f>((('indice Carburant'!E13/'Indexation Client 2026'!$D$42)-1)*'Indexation Client 2026'!$F$42)*'Indexation Client 2026'!$H$42+$H$42</f>
        <v>1.533091493</v>
      </c>
      <c r="L42" s="74">
        <f>((('indice Carburant'!F13/'Indexation Client 2026'!$D$42)-1)*'Indexation Client 2026'!$F$42)*'Indexation Client 2026'!$H$42+$H$42</f>
        <v>1.584692955</v>
      </c>
      <c r="M42" s="77">
        <f>((('indice Carburant'!G13/'Indexation Client 2026'!$D$42)-1)*'Indexation Client 2026'!$F$42)*'Indexation Client 2026'!$H$42+$H$42</f>
        <v>1.07730238</v>
      </c>
      <c r="N42" s="75">
        <f>((('indice Carburant'!H13/'Indexation Client 2026'!$D$42)-1)*'Indexation Client 2026'!$F$42)*'Indexation Client 2026'!$H$42+$H$42</f>
        <v>1.07730238</v>
      </c>
      <c r="O42" s="75">
        <f>((('indice Carburant'!I13/'Indexation Client 2026'!$D$42)-1)*'Indexation Client 2026'!$F$42)*'Indexation Client 2026'!$H$42+$H$42</f>
        <v>1.07730238</v>
      </c>
      <c r="P42" s="75">
        <f>((('indice Carburant'!J13/'Indexation Client 2026'!$D$42)-1)*'Indexation Client 2026'!$F$42)*'Indexation Client 2026'!$H$42+$H$42</f>
        <v>1.07730238</v>
      </c>
      <c r="Q42" s="75">
        <f>((('indice Carburant'!K13/'Indexation Client 2026'!$D$42)-1)*'Indexation Client 2026'!$F$42)*'Indexation Client 2026'!$H$42+$H$42</f>
        <v>1.07730238</v>
      </c>
      <c r="R42" s="75">
        <f>((('indice Carburant'!L13/'Indexation Client 2026'!$D$42)-1)*'Indexation Client 2026'!$F$42)*'Indexation Client 2026'!$H$42+$H$42</f>
        <v>1.07730238</v>
      </c>
      <c r="S42" s="75">
        <f>((('indice Carburant'!M13/'Indexation Client 2026'!$D$42)-1)*'Indexation Client 2026'!$F$42)*'Indexation Client 2026'!$H$42+$H$42</f>
        <v>1.07730238</v>
      </c>
      <c r="T42" s="75">
        <f>((('indice Carburant'!N13/'Indexation Client 2026'!$D$42)-1)*'Indexation Client 2026'!$F$42)*'Indexation Client 2026'!$H$42+$H$42</f>
        <v>1.07730238</v>
      </c>
      <c r="U42" s="75">
        <f>((('indice Carburant'!O13/'Indexation Client 2026'!$D$42)-1)*'Indexation Client 2026'!$F$42)*'Indexation Client 2026'!$H$42+$H$42</f>
        <v>1.07730238</v>
      </c>
    </row>
    <row r="43" ht="14.25" customHeight="1">
      <c r="A43" s="59" t="s">
        <v>73</v>
      </c>
      <c r="B43" s="53" t="s">
        <v>92</v>
      </c>
      <c r="C43" s="73" t="s">
        <v>75</v>
      </c>
      <c r="D43" s="53" t="s">
        <v>93</v>
      </c>
      <c r="E43" s="53"/>
      <c r="F43" s="53"/>
      <c r="G43" s="53"/>
      <c r="H43" s="75"/>
      <c r="I43" s="56"/>
      <c r="J43" s="62"/>
      <c r="K43" s="62"/>
      <c r="L43" s="62"/>
      <c r="M43" s="78"/>
      <c r="N43" s="55"/>
      <c r="O43" s="55"/>
      <c r="P43" s="55"/>
      <c r="Q43" s="55"/>
      <c r="R43" s="55"/>
      <c r="S43" s="55"/>
      <c r="T43" s="55"/>
      <c r="U43" s="55"/>
    </row>
    <row r="44" ht="14.25" customHeight="1">
      <c r="A44" s="59" t="s">
        <v>73</v>
      </c>
      <c r="B44" s="53" t="s">
        <v>94</v>
      </c>
      <c r="C44" s="73" t="s">
        <v>75</v>
      </c>
      <c r="D44" s="53">
        <v>180.42</v>
      </c>
      <c r="E44" s="53" t="s">
        <v>35</v>
      </c>
      <c r="F44" s="58">
        <v>0.3713</v>
      </c>
      <c r="G44" s="53" t="s">
        <v>78</v>
      </c>
      <c r="H44" s="75">
        <v>1.0369</v>
      </c>
      <c r="I44" s="56"/>
      <c r="J44" s="74">
        <f>((('indice Carburant'!D6/'Indexation Client 2026'!$D$44)-1)*'Indexation Client 2026'!$F$44)*'Indexation Client 2026'!$H$44+$H$44</f>
        <v>1.039247307</v>
      </c>
      <c r="K44" s="74">
        <f>((('indice Carburant'!E6/'Indexation Client 2026'!$D$44)-1)*'Indexation Client 2026'!$F$44)*'Indexation Client 2026'!$H$44+$H$44</f>
        <v>1.052349546</v>
      </c>
      <c r="L44" s="74">
        <f>((('indice Carburant'!F6/'Indexation Client 2026'!$D$44)-1)*'Indexation Client 2026'!$F$44)*'Indexation Client 2026'!$H$44+$H$44</f>
        <v>1.064470184</v>
      </c>
      <c r="M44" s="77">
        <f>((('indice Carburant'!G6/'Indexation Client 2026'!$D$44)-1)*'Indexation Client 2026'!$F$44)*'Indexation Client 2026'!$H$44+$H$44</f>
        <v>1.181280699</v>
      </c>
      <c r="N44" s="75">
        <f>((('indice Carburant'!H6/'Indexation Client 2026'!$D$44)-1)*'Indexation Client 2026'!$F$44)*'Indexation Client 2026'!$H$44+$H$44</f>
        <v>0.65189903</v>
      </c>
      <c r="O44" s="75">
        <f>((('indice Carburant'!I6/'Indexation Client 2026'!$D$44)-1)*'Indexation Client 2026'!$F$44)*'Indexation Client 2026'!$H$44+$H$44</f>
        <v>0.65189903</v>
      </c>
      <c r="P44" s="75">
        <f>((('indice Carburant'!J6/'Indexation Client 2026'!$D$44)-1)*'Indexation Client 2026'!$F$44)*'Indexation Client 2026'!$H$44+$H$44</f>
        <v>0.65189903</v>
      </c>
      <c r="Q44" s="75">
        <f>((('indice Carburant'!K6/'Indexation Client 2026'!$D$44)-1)*'Indexation Client 2026'!$F$44)*'Indexation Client 2026'!$H$44+$H$44</f>
        <v>0.65189903</v>
      </c>
      <c r="R44" s="75">
        <f>((('indice Carburant'!L6/'Indexation Client 2026'!$D$44)-1)*'Indexation Client 2026'!$F$44)*'Indexation Client 2026'!$H$44+$H$44</f>
        <v>0.65189903</v>
      </c>
      <c r="S44" s="75">
        <f>((('indice Carburant'!M6/'Indexation Client 2026'!$D$44)-1)*'Indexation Client 2026'!$F$44)*'Indexation Client 2026'!$H$44+$H$44</f>
        <v>0.65189903</v>
      </c>
      <c r="T44" s="75">
        <f>((('indice Carburant'!N6/'Indexation Client 2026'!$D$44)-1)*'Indexation Client 2026'!$F$44)*'Indexation Client 2026'!$H$44+$H$44</f>
        <v>0.65189903</v>
      </c>
      <c r="U44" s="75">
        <f>((('indice Carburant'!O6/'Indexation Client 2026'!$D$44)-1)*'Indexation Client 2026'!$F$44)*'Indexation Client 2026'!$H$44+$H$44</f>
        <v>0.65189903</v>
      </c>
    </row>
    <row r="45" ht="14.25" customHeight="1">
      <c r="A45" s="59" t="s">
        <v>73</v>
      </c>
      <c r="B45" s="71" t="s">
        <v>95</v>
      </c>
      <c r="C45" s="73" t="s">
        <v>75</v>
      </c>
      <c r="D45" s="53">
        <v>167.18</v>
      </c>
      <c r="E45" s="53" t="s">
        <v>81</v>
      </c>
      <c r="F45" s="58">
        <v>0.2523</v>
      </c>
      <c r="G45" s="53" t="s">
        <v>78</v>
      </c>
      <c r="H45" s="75">
        <v>1.51</v>
      </c>
      <c r="I45" s="56"/>
      <c r="J45" s="74">
        <f>((('indice Carburant'!D13/'Indexation Client 2026'!$D$45)-1)*'Indexation Client 2026'!$F$45)*'Indexation Client 2026'!$H$45+$H$45</f>
        <v>1.496896789</v>
      </c>
      <c r="K45" s="74">
        <f>((('indice Carburant'!E13/'Indexation Client 2026'!$D$45)-1)*'Indexation Client 2026'!$F$45)*'Indexation Client 2026'!$H$45+$H$45</f>
        <v>1.492749338</v>
      </c>
      <c r="L45" s="74">
        <f>((('indice Carburant'!F13/'Indexation Client 2026'!$D$45)-1)*'Indexation Client 2026'!$F$45)*'Indexation Client 2026'!$H$45+$H$45</f>
        <v>1.533927602</v>
      </c>
      <c r="M45" s="77">
        <f>((('indice Carburant'!G13/'Indexation Client 2026'!$D$45)-1)*'Indexation Client 2026'!$F$45)*'Indexation Client 2026'!$H$45+$H$45</f>
        <v>1.129027</v>
      </c>
      <c r="N45" s="75">
        <f>((('indice Carburant'!H13/'Indexation Client 2026'!$D$45)-1)*'Indexation Client 2026'!$F$45)*'Indexation Client 2026'!$H$45+$H$45</f>
        <v>1.129027</v>
      </c>
      <c r="O45" s="75">
        <f>((('indice Carburant'!I13/'Indexation Client 2026'!$D$45)-1)*'Indexation Client 2026'!$F$45)*'Indexation Client 2026'!$H$45+$H$45</f>
        <v>1.129027</v>
      </c>
      <c r="P45" s="75">
        <f>((('indice Carburant'!J13/'Indexation Client 2026'!$D$45)-1)*'Indexation Client 2026'!$F$45)*'Indexation Client 2026'!$H$45+$H$45</f>
        <v>1.129027</v>
      </c>
      <c r="Q45" s="75">
        <f>((('indice Carburant'!K13/'Indexation Client 2026'!$D$45)-1)*'Indexation Client 2026'!$F$45)*'Indexation Client 2026'!$H$45+$H$45</f>
        <v>1.129027</v>
      </c>
      <c r="R45" s="75">
        <f>((('indice Carburant'!L13/'Indexation Client 2026'!$D$45)-1)*'Indexation Client 2026'!$F$45)*'Indexation Client 2026'!$H$45+$H$45</f>
        <v>1.129027</v>
      </c>
      <c r="S45" s="75">
        <f>((('indice Carburant'!M13/'Indexation Client 2026'!$D$45)-1)*'Indexation Client 2026'!$F$45)*'Indexation Client 2026'!$H$45+$H$45</f>
        <v>1.129027</v>
      </c>
      <c r="T45" s="75">
        <f>((('indice Carburant'!N13/'Indexation Client 2026'!$D$45)-1)*'Indexation Client 2026'!$F$45)*'Indexation Client 2026'!$H$45+$H$45</f>
        <v>1.129027</v>
      </c>
      <c r="U45" s="75">
        <f>((('indice Carburant'!O13/'Indexation Client 2026'!$D$45)-1)*'Indexation Client 2026'!$F$45)*'Indexation Client 2026'!$H$45+$H$45</f>
        <v>1.129027</v>
      </c>
    </row>
    <row r="46" ht="14.25" customHeight="1">
      <c r="A46" s="59" t="s">
        <v>73</v>
      </c>
      <c r="B46" s="79" t="s">
        <v>96</v>
      </c>
      <c r="C46" s="73" t="s">
        <v>75</v>
      </c>
      <c r="D46" s="79">
        <v>195.67</v>
      </c>
      <c r="E46" s="53" t="s">
        <v>35</v>
      </c>
      <c r="F46" s="80">
        <v>0.3099</v>
      </c>
      <c r="G46" s="53" t="s">
        <v>78</v>
      </c>
      <c r="H46" s="75">
        <v>1.4662</v>
      </c>
      <c r="I46" s="56"/>
      <c r="J46" s="74">
        <f>((('indice Carburant'!D6/'Indexation Client 2026'!$D$46)-1)*'Indexation Client 2026'!$F$46)*'Indexation Client 2026'!$H$46+$H$46</f>
        <v>1.433341557</v>
      </c>
      <c r="K46" s="74">
        <f>((('indice Carburant'!E6/'Indexation Client 2026'!$D$46)-1)*'Indexation Client 2026'!$F$46)*'Indexation Client 2026'!$H$46+$H$46</f>
        <v>1.447599567</v>
      </c>
      <c r="L46" s="74">
        <f>((('indice Carburant'!F6/'Indexation Client 2026'!$D$46)-1)*'Indexation Client 2026'!$F$46)*'Indexation Client 2026'!$H$46+$H$46</f>
        <v>1.460789387</v>
      </c>
      <c r="M46" s="77">
        <f>((('indice Carburant'!G6/'Indexation Client 2026'!$D$46)-1)*'Indexation Client 2026'!$F$46)*'Indexation Client 2026'!$H$46+$H$46</f>
        <v>1.587903959</v>
      </c>
      <c r="N46" s="75">
        <f>((('indice Carburant'!H6/'Indexation Client 2026'!$D$46)-1)*'Indexation Client 2026'!$F$46)*'Indexation Client 2026'!$H$46+$H$46</f>
        <v>1.01182462</v>
      </c>
      <c r="O46" s="75">
        <f>((('indice Carburant'!I6/'Indexation Client 2026'!$D$46)-1)*'Indexation Client 2026'!$F$46)*'Indexation Client 2026'!$H$46+$H$46</f>
        <v>1.01182462</v>
      </c>
      <c r="P46" s="75">
        <f>((('indice Carburant'!J6/'Indexation Client 2026'!$D$46)-1)*'Indexation Client 2026'!$F$46)*'Indexation Client 2026'!$H$46+$H$46</f>
        <v>1.01182462</v>
      </c>
      <c r="Q46" s="75">
        <f>((('indice Carburant'!K6/'Indexation Client 2026'!$D$46)-1)*'Indexation Client 2026'!$F$46)*'Indexation Client 2026'!$H$46+$H$46</f>
        <v>1.01182462</v>
      </c>
      <c r="R46" s="75">
        <f>((('indice Carburant'!L6/'Indexation Client 2026'!$D$46)-1)*'Indexation Client 2026'!$F$46)*'Indexation Client 2026'!$H$46+$H$46</f>
        <v>1.01182462</v>
      </c>
      <c r="S46" s="75">
        <f>((('indice Carburant'!M6/'Indexation Client 2026'!$D$46)-1)*'Indexation Client 2026'!$F$46)*'Indexation Client 2026'!$H$46+$H$46</f>
        <v>1.01182462</v>
      </c>
      <c r="T46" s="75">
        <f>((('indice Carburant'!N6/'Indexation Client 2026'!$D$46)-1)*'Indexation Client 2026'!$F$46)*'Indexation Client 2026'!$H$46+$H$46</f>
        <v>1.01182462</v>
      </c>
      <c r="U46" s="75">
        <f>((('indice Carburant'!O6/'Indexation Client 2026'!$D$46)-1)*'Indexation Client 2026'!$F$46)*'Indexation Client 2026'!$H$46+$H$46</f>
        <v>1.01182462</v>
      </c>
    </row>
    <row r="47" ht="14.25" customHeight="1">
      <c r="A47" s="59" t="s">
        <v>73</v>
      </c>
      <c r="B47" s="53" t="s">
        <v>97</v>
      </c>
      <c r="C47" s="73" t="s">
        <v>75</v>
      </c>
      <c r="D47" s="53">
        <v>204.89</v>
      </c>
      <c r="E47" s="53" t="s">
        <v>35</v>
      </c>
      <c r="F47" s="58">
        <v>0.336</v>
      </c>
      <c r="G47" s="53" t="s">
        <v>78</v>
      </c>
      <c r="H47" s="75">
        <v>1.3298</v>
      </c>
      <c r="I47" s="56"/>
      <c r="J47" s="74">
        <f>((('indice Carburant'!D6/'Indexation Client 2026'!$D$47)-1)*'Indexation Client 2026'!$F$47)*'Indexation Client 2026'!$H$47+$H$47</f>
        <v>1.278835994</v>
      </c>
      <c r="K47" s="74">
        <f>((('indice Carburant'!E6/'Indexation Client 2026'!$D$47)-1)*'Indexation Client 2026'!$F$47)*'Indexation Client 2026'!$H$47+$H$47</f>
        <v>1.292225767</v>
      </c>
      <c r="L47" s="74">
        <f>((('indice Carburant'!F6/'Indexation Client 2026'!$D$47)-1)*'Indexation Client 2026'!$F$47)*'Indexation Client 2026'!$H$47+$H$47</f>
        <v>1.304612398</v>
      </c>
      <c r="M47" s="77">
        <f>((('indice Carburant'!G6/'Indexation Client 2026'!$D$47)-1)*'Indexation Client 2026'!$F$47)*'Indexation Client 2026'!$H$47+$H$47</f>
        <v>1.423986367</v>
      </c>
      <c r="N47" s="75">
        <f>((('indice Carburant'!H6/'Indexation Client 2026'!$D$47)-1)*'Indexation Client 2026'!$F$47)*'Indexation Client 2026'!$H$47+$H$47</f>
        <v>0.8829872</v>
      </c>
      <c r="O47" s="75">
        <f>((('indice Carburant'!I6/'Indexation Client 2026'!$D$47)-1)*'Indexation Client 2026'!$F$47)*'Indexation Client 2026'!$H$47+$H$47</f>
        <v>0.8829872</v>
      </c>
      <c r="P47" s="75">
        <f>((('indice Carburant'!J6/'Indexation Client 2026'!$D$47)-1)*'Indexation Client 2026'!$F$47)*'Indexation Client 2026'!$H$47+$H$47</f>
        <v>0.8829872</v>
      </c>
      <c r="Q47" s="75">
        <f>((('indice Carburant'!K6/'Indexation Client 2026'!$D$47)-1)*'Indexation Client 2026'!$F$47)*'Indexation Client 2026'!$H$47+$H$47</f>
        <v>0.8829872</v>
      </c>
      <c r="R47" s="75">
        <f>((('indice Carburant'!L6/'Indexation Client 2026'!$D$47)-1)*'Indexation Client 2026'!$F$47)*'Indexation Client 2026'!$H$47+$H$47</f>
        <v>0.8829872</v>
      </c>
      <c r="S47" s="75">
        <f>((('indice Carburant'!M6/'Indexation Client 2026'!$D$47)-1)*'Indexation Client 2026'!$F$47)*'Indexation Client 2026'!$H$47+$H$47</f>
        <v>0.8829872</v>
      </c>
      <c r="T47" s="75">
        <f>((('indice Carburant'!N6/'Indexation Client 2026'!$D$47)-1)*'Indexation Client 2026'!$F$47)*'Indexation Client 2026'!$H$47+$H$47</f>
        <v>0.8829872</v>
      </c>
      <c r="U47" s="75">
        <f>((('indice Carburant'!O6/'Indexation Client 2026'!$D$47)-1)*'Indexation Client 2026'!$F$47)*'Indexation Client 2026'!$H$47+$H$47</f>
        <v>0.8829872</v>
      </c>
    </row>
    <row r="48" ht="14.25" customHeight="1">
      <c r="A48" s="59" t="s">
        <v>73</v>
      </c>
      <c r="B48" s="71" t="s">
        <v>98</v>
      </c>
      <c r="C48" s="73" t="s">
        <v>75</v>
      </c>
      <c r="D48" s="53">
        <v>167.18</v>
      </c>
      <c r="E48" s="53" t="s">
        <v>81</v>
      </c>
      <c r="F48" s="58">
        <v>0.2711</v>
      </c>
      <c r="G48" s="53" t="s">
        <v>78</v>
      </c>
      <c r="H48" s="75">
        <v>1.4055</v>
      </c>
      <c r="I48" s="56"/>
      <c r="J48" s="74">
        <f>((('indice Carburant'!D13/'Indexation Client 2026'!$D$48)-1)*'Indexation Client 2026'!$F$48)*'Indexation Client 2026'!$H$48+$H$48</f>
        <v>1.392394793</v>
      </c>
      <c r="K48" s="74">
        <f>((('indice Carburant'!E13/'Indexation Client 2026'!$D$48)-1)*'Indexation Client 2026'!$F$48)*'Indexation Client 2026'!$H$48+$H$48</f>
        <v>1.38824671</v>
      </c>
      <c r="L48" s="74">
        <f>((('indice Carburant'!F13/'Indexation Client 2026'!$D$48)-1)*'Indexation Client 2026'!$F$48)*'Indexation Client 2026'!$H$48+$H$48</f>
        <v>1.429431248</v>
      </c>
      <c r="M48" s="77">
        <f>((('indice Carburant'!G13/'Indexation Client 2026'!$D$48)-1)*'Indexation Client 2026'!$F$48)*'Indexation Client 2026'!$H$48+$H$48</f>
        <v>1.02446895</v>
      </c>
      <c r="N48" s="75">
        <f>((('indice Carburant'!H13/'Indexation Client 2026'!$D$48)-1)*'Indexation Client 2026'!$F$48)*'Indexation Client 2026'!$H$48+$H$48</f>
        <v>1.02446895</v>
      </c>
      <c r="O48" s="75">
        <f>((('indice Carburant'!I13/'Indexation Client 2026'!$D$48)-1)*'Indexation Client 2026'!$F$48)*'Indexation Client 2026'!$H$48+$H$48</f>
        <v>1.02446895</v>
      </c>
      <c r="P48" s="75">
        <f>((('indice Carburant'!J13/'Indexation Client 2026'!$D$48)-1)*'Indexation Client 2026'!$F$48)*'Indexation Client 2026'!$H$48+$H$48</f>
        <v>1.02446895</v>
      </c>
      <c r="Q48" s="75">
        <f>((('indice Carburant'!K13/'Indexation Client 2026'!$D$48)-1)*'Indexation Client 2026'!$F$48)*'Indexation Client 2026'!$H$48+$H$48</f>
        <v>1.02446895</v>
      </c>
      <c r="R48" s="75">
        <f>((('indice Carburant'!L13/'Indexation Client 2026'!$D$48)-1)*'Indexation Client 2026'!$F$48)*'Indexation Client 2026'!$H$48+$H$48</f>
        <v>1.02446895</v>
      </c>
      <c r="S48" s="75">
        <f>((('indice Carburant'!M13/'Indexation Client 2026'!$D$48)-1)*'Indexation Client 2026'!$F$48)*'Indexation Client 2026'!$H$48+$H$48</f>
        <v>1.02446895</v>
      </c>
      <c r="T48" s="75">
        <f>((('indice Carburant'!N13/'Indexation Client 2026'!$D$48)-1)*'Indexation Client 2026'!$F$48)*'Indexation Client 2026'!$H$48+$H$48</f>
        <v>1.02446895</v>
      </c>
      <c r="U48" s="75">
        <f>((('indice Carburant'!O13/'Indexation Client 2026'!$D$48)-1)*'Indexation Client 2026'!$F$48)*'Indexation Client 2026'!$H$48+$H$48</f>
        <v>1.02446895</v>
      </c>
    </row>
    <row r="49" ht="14.25" customHeight="1">
      <c r="A49" s="59" t="s">
        <v>73</v>
      </c>
      <c r="B49" s="71" t="s">
        <v>99</v>
      </c>
      <c r="C49" s="73" t="s">
        <v>75</v>
      </c>
      <c r="D49" s="53">
        <v>167.18</v>
      </c>
      <c r="E49" s="53" t="s">
        <v>81</v>
      </c>
      <c r="F49" s="58">
        <v>0.2634</v>
      </c>
      <c r="G49" s="53" t="s">
        <v>78</v>
      </c>
      <c r="H49" s="75">
        <v>1.4467</v>
      </c>
      <c r="I49" s="56"/>
      <c r="J49" s="74">
        <f>((('indice Carburant'!D13/'Indexation Client 2026'!$D$49)-1)*'Indexation Client 2026'!$F$49)*'Indexation Client 2026'!$H$49+$H$49</f>
        <v>1.43359377</v>
      </c>
      <c r="K49" s="74">
        <f>((('indice Carburant'!E13/'Indexation Client 2026'!$D$49)-1)*'Indexation Client 2026'!$F$49)*'Indexation Client 2026'!$H$49+$H$49</f>
        <v>1.429445364</v>
      </c>
      <c r="L49" s="74">
        <f>((('indice Carburant'!F13/'Indexation Client 2026'!$D$49)-1)*'Indexation Client 2026'!$F$49)*'Indexation Client 2026'!$H$49+$H$49</f>
        <v>1.470633115</v>
      </c>
      <c r="M49" s="77">
        <f>((('indice Carburant'!G13/'Indexation Client 2026'!$D$49)-1)*'Indexation Client 2026'!$F$49)*'Indexation Client 2026'!$H$49+$H$49</f>
        <v>1.06563922</v>
      </c>
      <c r="N49" s="75">
        <f>((('indice Carburant'!H13/'Indexation Client 2026'!$D$49)-1)*'Indexation Client 2026'!$F$49)*'Indexation Client 2026'!$H$49+$H$49</f>
        <v>1.06563922</v>
      </c>
      <c r="O49" s="75">
        <f>((('indice Carburant'!I13/'Indexation Client 2026'!$D$49)-1)*'Indexation Client 2026'!$F$49)*'Indexation Client 2026'!$H$49+$H$49</f>
        <v>1.06563922</v>
      </c>
      <c r="P49" s="75">
        <f>((('indice Carburant'!J13/'Indexation Client 2026'!$D$49)-1)*'Indexation Client 2026'!$F$49)*'Indexation Client 2026'!$H$49+$H$49</f>
        <v>1.06563922</v>
      </c>
      <c r="Q49" s="75">
        <f>((('indice Carburant'!K13/'Indexation Client 2026'!$D$49)-1)*'Indexation Client 2026'!$F$49)*'Indexation Client 2026'!$H$49+$H$49</f>
        <v>1.06563922</v>
      </c>
      <c r="R49" s="75">
        <f>((('indice Carburant'!L13/'Indexation Client 2026'!$D$49)-1)*'Indexation Client 2026'!$F$49)*'Indexation Client 2026'!$H$49+$H$49</f>
        <v>1.06563922</v>
      </c>
      <c r="S49" s="75">
        <f>((('indice Carburant'!M13/'Indexation Client 2026'!$D$49)-1)*'Indexation Client 2026'!$F$49)*'Indexation Client 2026'!$H$49+$H$49</f>
        <v>1.06563922</v>
      </c>
      <c r="T49" s="75">
        <f>((('indice Carburant'!N13/'Indexation Client 2026'!$D$49)-1)*'Indexation Client 2026'!$F$49)*'Indexation Client 2026'!$H$49+$H$49</f>
        <v>1.06563922</v>
      </c>
      <c r="U49" s="75">
        <f>((('indice Carburant'!O13/'Indexation Client 2026'!$D$49)-1)*'Indexation Client 2026'!$F$49)*'Indexation Client 2026'!$H$49+$H$49</f>
        <v>1.06563922</v>
      </c>
    </row>
    <row r="50" ht="14.25" customHeight="1">
      <c r="A50" s="59" t="s">
        <v>73</v>
      </c>
      <c r="B50" s="71" t="s">
        <v>100</v>
      </c>
      <c r="C50" s="73" t="s">
        <v>75</v>
      </c>
      <c r="D50" s="53">
        <v>142.37</v>
      </c>
      <c r="E50" s="53" t="s">
        <v>81</v>
      </c>
      <c r="F50" s="58">
        <v>0.2398</v>
      </c>
      <c r="G50" s="53" t="s">
        <v>78</v>
      </c>
      <c r="H50" s="75">
        <v>1.5548</v>
      </c>
      <c r="I50" s="56"/>
      <c r="J50" s="74">
        <f>((('indice Carburant'!D13/'Indexation Client 2026'!$D$50)-1)*'Indexation Client 2026'!$F$50)*'Indexation Client 2026'!$H$50+$H$50</f>
        <v>1.604714661</v>
      </c>
      <c r="K50" s="74">
        <f>((('indice Carburant'!E13/'Indexation Client 2026'!$D$50)-1)*'Indexation Client 2026'!$F$50)*'Indexation Client 2026'!$H$50+$H$50</f>
        <v>1.599948413</v>
      </c>
      <c r="L50" s="74">
        <f>((('indice Carburant'!F13/'Indexation Client 2026'!$D$50)-1)*'Indexation Client 2026'!$F$50)*'Indexation Client 2026'!$H$50+$H$50</f>
        <v>1.647270444</v>
      </c>
      <c r="M50" s="77">
        <f>((('indice Carburant'!G13/'Indexation Client 2026'!$D$50)-1)*'Indexation Client 2026'!$F$50)*'Indexation Client 2026'!$H$50+$H$50</f>
        <v>1.18195896</v>
      </c>
      <c r="N50" s="75">
        <f>((('indice Carburant'!H13/'Indexation Client 2026'!$D$50)-1)*'Indexation Client 2026'!$F$50)*'Indexation Client 2026'!$H$50+$H$50</f>
        <v>1.18195896</v>
      </c>
      <c r="O50" s="75">
        <f>((('indice Carburant'!I13/'Indexation Client 2026'!$D$50)-1)*'Indexation Client 2026'!$F$50)*'Indexation Client 2026'!$H$50+$H$50</f>
        <v>1.18195896</v>
      </c>
      <c r="P50" s="75">
        <f>((('indice Carburant'!J13/'Indexation Client 2026'!$D$50)-1)*'Indexation Client 2026'!$F$50)*'Indexation Client 2026'!$H$50+$H$50</f>
        <v>1.18195896</v>
      </c>
      <c r="Q50" s="75">
        <f>((('indice Carburant'!K13/'Indexation Client 2026'!$D$50)-1)*'Indexation Client 2026'!$F$50)*'Indexation Client 2026'!$H$50+$H$50</f>
        <v>1.18195896</v>
      </c>
      <c r="R50" s="75">
        <f>((('indice Carburant'!L13/'Indexation Client 2026'!$D$50)-1)*'Indexation Client 2026'!$F$50)*'Indexation Client 2026'!$H$50+$H$50</f>
        <v>1.18195896</v>
      </c>
      <c r="S50" s="75">
        <f>((('indice Carburant'!M13/'Indexation Client 2026'!$D$50)-1)*'Indexation Client 2026'!$F$50)*'Indexation Client 2026'!$H$50+$H$50</f>
        <v>1.18195896</v>
      </c>
      <c r="T50" s="75">
        <f>((('indice Carburant'!N13/'Indexation Client 2026'!$D$50)-1)*'Indexation Client 2026'!$F$50)*'Indexation Client 2026'!$H$50+$H$50</f>
        <v>1.18195896</v>
      </c>
      <c r="U50" s="75">
        <f>((('indice Carburant'!O13/'Indexation Client 2026'!$D$50)-1)*'Indexation Client 2026'!$F$50)*'Indexation Client 2026'!$H$50+$H$50</f>
        <v>1.18195896</v>
      </c>
    </row>
    <row r="51" ht="14.25" customHeight="1">
      <c r="A51" s="59" t="s">
        <v>73</v>
      </c>
      <c r="B51" s="53" t="s">
        <v>101</v>
      </c>
      <c r="C51" s="73" t="s">
        <v>75</v>
      </c>
      <c r="D51" s="53">
        <v>204.89</v>
      </c>
      <c r="E51" s="53" t="s">
        <v>35</v>
      </c>
      <c r="F51" s="58">
        <v>0.3201</v>
      </c>
      <c r="G51" s="53" t="s">
        <v>78</v>
      </c>
      <c r="H51" s="75">
        <v>1.3957</v>
      </c>
      <c r="I51" s="56"/>
      <c r="J51" s="74">
        <f>((('indice Carburant'!D6/'Indexation Client 2026'!$D$51)-1)*'Indexation Client 2026'!$F$51)*'Indexation Client 2026'!$H$51+$H$51</f>
        <v>1.344741609</v>
      </c>
      <c r="K51" s="74">
        <f>((('indice Carburant'!E6/'Indexation Client 2026'!$D$51)-1)*'Indexation Client 2026'!$F$51)*'Indexation Client 2026'!$H$51+$H$51</f>
        <v>1.358129907</v>
      </c>
      <c r="L51" s="74">
        <f>((('indice Carburant'!F6/'Indexation Client 2026'!$D$51)-1)*'Indexation Client 2026'!$F$51)*'Indexation Client 2026'!$H$51+$H$51</f>
        <v>1.370515173</v>
      </c>
      <c r="M51" s="77">
        <f>((('indice Carburant'!G6/'Indexation Client 2026'!$D$51)-1)*'Indexation Client 2026'!$F$51)*'Indexation Client 2026'!$H$51+$H$51</f>
        <v>1.48987599</v>
      </c>
      <c r="N51" s="75">
        <f>((('indice Carburant'!H6/'Indexation Client 2026'!$D$51)-1)*'Indexation Client 2026'!$F$51)*'Indexation Client 2026'!$H$51+$H$51</f>
        <v>0.94893643</v>
      </c>
      <c r="O51" s="75">
        <f>((('indice Carburant'!I6/'Indexation Client 2026'!$D$51)-1)*'Indexation Client 2026'!$F$51)*'Indexation Client 2026'!$H$51+$H$51</f>
        <v>0.94893643</v>
      </c>
      <c r="P51" s="75">
        <f>((('indice Carburant'!J6/'Indexation Client 2026'!$D$51)-1)*'Indexation Client 2026'!$F$51)*'Indexation Client 2026'!$H$51+$H$51</f>
        <v>0.94893643</v>
      </c>
      <c r="Q51" s="75">
        <f>((('indice Carburant'!K6/'Indexation Client 2026'!$D$51)-1)*'Indexation Client 2026'!$F$51)*'Indexation Client 2026'!$H$51+$H$51</f>
        <v>0.94893643</v>
      </c>
      <c r="R51" s="75">
        <f>((('indice Carburant'!L6/'Indexation Client 2026'!$D$51)-1)*'Indexation Client 2026'!$F$51)*'Indexation Client 2026'!$H$51+$H$51</f>
        <v>0.94893643</v>
      </c>
      <c r="S51" s="75">
        <f>((('indice Carburant'!M6/'Indexation Client 2026'!$D$51)-1)*'Indexation Client 2026'!$F$51)*'Indexation Client 2026'!$H$51+$H$51</f>
        <v>0.94893643</v>
      </c>
      <c r="T51" s="75">
        <f>((('indice Carburant'!N6/'Indexation Client 2026'!$D$51)-1)*'Indexation Client 2026'!$F$51)*'Indexation Client 2026'!$H$51+$H$51</f>
        <v>0.94893643</v>
      </c>
      <c r="U51" s="75">
        <f>((('indice Carburant'!O6/'Indexation Client 2026'!$D$51)-1)*'Indexation Client 2026'!$F$51)*'Indexation Client 2026'!$H$51+$H$51</f>
        <v>0.94893643</v>
      </c>
    </row>
    <row r="52" ht="14.25" customHeight="1">
      <c r="A52" s="59" t="s">
        <v>73</v>
      </c>
      <c r="B52" s="53" t="s">
        <v>102</v>
      </c>
      <c r="C52" s="73" t="s">
        <v>75</v>
      </c>
      <c r="D52" s="53">
        <v>180.81</v>
      </c>
      <c r="E52" s="53" t="s">
        <v>35</v>
      </c>
      <c r="F52" s="58">
        <v>0.14</v>
      </c>
      <c r="G52" s="53" t="s">
        <v>103</v>
      </c>
      <c r="H52" s="81">
        <v>38.65</v>
      </c>
      <c r="I52" s="56"/>
      <c r="J52" s="74">
        <f>((('indice Carburant'!D6/'Indexation Client 2026'!$D$52)-1)*'Indexation Client 2026'!$F$52)*'Indexation Client 2026'!$H$52+$H$52</f>
        <v>38.67124777</v>
      </c>
      <c r="K52" s="74">
        <f>((('indice Carburant'!E6/'Indexation Client 2026'!$D$52)-1)*'Indexation Client 2026'!$F$52)*'Indexation Client 2026'!$H$52+$H$52</f>
        <v>38.85499613</v>
      </c>
      <c r="L52" s="74">
        <f>((('indice Carburant'!F6/'Indexation Client 2026'!$D$52)-1)*'Indexation Client 2026'!$F$52)*'Indexation Client 2026'!$H$52+$H$52</f>
        <v>39.02497832</v>
      </c>
      <c r="M52" s="77">
        <f>((('indice Carburant'!G6/'Indexation Client 2026'!$D$52)-1)*'Indexation Client 2026'!$F$52)*'Indexation Client 2026'!$H$52+$H$52</f>
        <v>40.66315176</v>
      </c>
      <c r="N52" s="75">
        <f>((('indice Carburant'!H6/'Indexation Client 2026'!$D$52)-1)*'Indexation Client 2026'!$F$52)*'Indexation Client 2026'!$H$52+$H$52</f>
        <v>33.239</v>
      </c>
      <c r="O52" s="75">
        <f>((('indice Carburant'!I6/'Indexation Client 2026'!$D$52)-1)*'Indexation Client 2026'!$F$52)*'Indexation Client 2026'!$H$52+$H$52</f>
        <v>33.239</v>
      </c>
      <c r="P52" s="75">
        <f>((('indice Carburant'!J6/'Indexation Client 2026'!$D$52)-1)*'Indexation Client 2026'!$F$52)*'Indexation Client 2026'!$H$52+$H$52</f>
        <v>33.239</v>
      </c>
      <c r="Q52" s="75">
        <f>((('indice Carburant'!K6/'Indexation Client 2026'!$D$52)-1)*'Indexation Client 2026'!$F$52)*'Indexation Client 2026'!$H$52+$H$52</f>
        <v>33.239</v>
      </c>
      <c r="R52" s="75">
        <f>((('indice Carburant'!L6/'Indexation Client 2026'!$D$52)-1)*'Indexation Client 2026'!$F$52)*'Indexation Client 2026'!$H$52+$H$52</f>
        <v>33.239</v>
      </c>
      <c r="S52" s="75">
        <f>((('indice Carburant'!M6/'Indexation Client 2026'!$D$52)-1)*'Indexation Client 2026'!$F$52)*'Indexation Client 2026'!$H$52+$H$52</f>
        <v>33.239</v>
      </c>
      <c r="T52" s="75">
        <f>((('indice Carburant'!N6/'Indexation Client 2026'!$D$52)-1)*'Indexation Client 2026'!$F$52)*'Indexation Client 2026'!$H$52+$H$52</f>
        <v>33.239</v>
      </c>
      <c r="U52" s="75">
        <f>((('indice Carburant'!O6/'Indexation Client 2026'!$D$52)-1)*'Indexation Client 2026'!$F$52)*'Indexation Client 2026'!$H$52+$H$52</f>
        <v>33.239</v>
      </c>
    </row>
    <row r="53" ht="14.25" customHeight="1">
      <c r="A53" s="59" t="s">
        <v>73</v>
      </c>
      <c r="B53" s="71" t="s">
        <v>104</v>
      </c>
      <c r="C53" s="73" t="s">
        <v>75</v>
      </c>
      <c r="D53" s="53">
        <v>153.94</v>
      </c>
      <c r="E53" s="53" t="s">
        <v>81</v>
      </c>
      <c r="F53" s="58">
        <v>0.2021</v>
      </c>
      <c r="G53" s="53" t="s">
        <v>78</v>
      </c>
      <c r="H53" s="75">
        <v>2.3748</v>
      </c>
      <c r="I53" s="56"/>
      <c r="J53" s="74">
        <f>((('indice Carburant'!D13/'Indexation Client 2026'!$D$53)-1)*'Indexation Client 2026'!$F$53)*'Indexation Client 2026'!$H$53+$H$53</f>
        <v>2.398151979</v>
      </c>
      <c r="K53" s="74">
        <f>((('indice Carburant'!E13/'Indexation Client 2026'!$D$53)-1)*'Indexation Client 2026'!$F$53)*'Indexation Client 2026'!$H$53+$H$53</f>
        <v>2.392477666</v>
      </c>
      <c r="L53" s="74">
        <f>((('indice Carburant'!F13/'Indexation Client 2026'!$D$53)-1)*'Indexation Client 2026'!$F$53)*'Indexation Client 2026'!$H$53+$H$53</f>
        <v>2.448815484</v>
      </c>
      <c r="M53" s="77">
        <f>((('indice Carburant'!G13/'Indexation Client 2026'!$D$53)-1)*'Indexation Client 2026'!$F$53)*'Indexation Client 2026'!$H$53+$H$53</f>
        <v>1.89485292</v>
      </c>
      <c r="N53" s="75">
        <f>((('indice Carburant'!H13/'Indexation Client 2026'!$D$53)-1)*'Indexation Client 2026'!$F$53)*'Indexation Client 2026'!$H$53+$H$53</f>
        <v>1.89485292</v>
      </c>
      <c r="O53" s="75">
        <f>((('indice Carburant'!I13/'Indexation Client 2026'!$D$53)-1)*'Indexation Client 2026'!$F$53)*'Indexation Client 2026'!$H$53+$H$53</f>
        <v>1.89485292</v>
      </c>
      <c r="P53" s="75">
        <f>((('indice Carburant'!J13/'Indexation Client 2026'!$D$53)-1)*'Indexation Client 2026'!$F$53)*'Indexation Client 2026'!$H$53+$H$53</f>
        <v>1.89485292</v>
      </c>
      <c r="Q53" s="75">
        <f>((('indice Carburant'!K13/'Indexation Client 2026'!$D$53)-1)*'Indexation Client 2026'!$F$53)*'Indexation Client 2026'!$H$53+$H$53</f>
        <v>1.89485292</v>
      </c>
      <c r="R53" s="75">
        <f>((('indice Carburant'!L13/'Indexation Client 2026'!$D$53)-1)*'Indexation Client 2026'!$F$53)*'Indexation Client 2026'!$H$53+$H$53</f>
        <v>1.89485292</v>
      </c>
      <c r="S53" s="75">
        <f>((('indice Carburant'!M13/'Indexation Client 2026'!$D$53)-1)*'Indexation Client 2026'!$F$53)*'Indexation Client 2026'!$H$53+$H$53</f>
        <v>1.89485292</v>
      </c>
      <c r="T53" s="75">
        <f>((('indice Carburant'!N13/'Indexation Client 2026'!$D$53)-1)*'Indexation Client 2026'!$F$53)*'Indexation Client 2026'!$H$53+$H$53</f>
        <v>1.89485292</v>
      </c>
      <c r="U53" s="75">
        <f>((('indice Carburant'!O13/'Indexation Client 2026'!$D$53)-1)*'Indexation Client 2026'!$F$53)*'Indexation Client 2026'!$H$53+$H$53</f>
        <v>1.89485292</v>
      </c>
    </row>
    <row r="54" ht="14.25" customHeight="1">
      <c r="A54" s="59" t="s">
        <v>73</v>
      </c>
      <c r="B54" s="71" t="s">
        <v>105</v>
      </c>
      <c r="C54" s="73" t="s">
        <v>75</v>
      </c>
      <c r="D54" s="53">
        <v>179.54</v>
      </c>
      <c r="E54" s="53" t="s">
        <v>81</v>
      </c>
      <c r="F54" s="58">
        <v>0.2098</v>
      </c>
      <c r="G54" s="53" t="s">
        <v>78</v>
      </c>
      <c r="H54" s="75">
        <v>1.3559</v>
      </c>
      <c r="I54" s="56"/>
      <c r="J54" s="74">
        <f>((('indice Carburant'!D13/'Indexation Client 2026'!$D$54)-1)*'Indexation Client 2026'!$F$54)*'Indexation Client 2026'!$H$53+$H$54</f>
        <v>1.305643788</v>
      </c>
      <c r="K54" s="74">
        <f>((('indice Carburant'!E13/'Indexation Client 2026'!$D$54)-1)*'Indexation Client 2026'!$F$54)*'Indexation Client 2026'!$H$53+$H$54</f>
        <v>1.300593191</v>
      </c>
      <c r="L54" s="74">
        <f>((('indice Carburant'!F13/'Indexation Client 2026'!$D$54)-1)*'Indexation Client 2026'!$F$54)*'Indexation Client 2026'!$H$53+$H$54</f>
        <v>1.350738401</v>
      </c>
      <c r="M54" s="75">
        <f>((('indice Carburant'!G13/'Indexation Client 2026'!$D$54)-1)*'Indexation Client 2026'!$F$54)*'Indexation Client 2026'!$H$53+$H$54</f>
        <v>0.85766696</v>
      </c>
      <c r="N54" s="75">
        <f>((('indice Carburant'!H13/'Indexation Client 2026'!$D$54)-1)*'Indexation Client 2026'!$F$54)*'Indexation Client 2026'!$H$53+$H$54</f>
        <v>0.85766696</v>
      </c>
      <c r="O54" s="75">
        <f>((('indice Carburant'!I13/'Indexation Client 2026'!$D$54)-1)*'Indexation Client 2026'!$F$54)*'Indexation Client 2026'!$H$53+$H$54</f>
        <v>0.85766696</v>
      </c>
      <c r="P54" s="75">
        <f>((('indice Carburant'!J13/'Indexation Client 2026'!$D$54)-1)*'Indexation Client 2026'!$F$54)*'Indexation Client 2026'!$H$53+$H$54</f>
        <v>0.85766696</v>
      </c>
      <c r="Q54" s="75">
        <f>((('indice Carburant'!K13/'Indexation Client 2026'!$D$54)-1)*'Indexation Client 2026'!$F$54)*'Indexation Client 2026'!$H$53+$H$54</f>
        <v>0.85766696</v>
      </c>
      <c r="R54" s="75">
        <f>((('indice Carburant'!L13/'Indexation Client 2026'!$D$54)-1)*'Indexation Client 2026'!$F$54)*'Indexation Client 2026'!$H$53+$H$54</f>
        <v>0.85766696</v>
      </c>
      <c r="S54" s="75">
        <f>((('indice Carburant'!M13/'Indexation Client 2026'!$D$54)-1)*'Indexation Client 2026'!$F$54)*'Indexation Client 2026'!$H$53+$H$54</f>
        <v>0.85766696</v>
      </c>
      <c r="T54" s="75">
        <f>((('indice Carburant'!N13/'Indexation Client 2026'!$D$54)-1)*'Indexation Client 2026'!$F$54)*'Indexation Client 2026'!$H$53+$H$54</f>
        <v>0.85766696</v>
      </c>
      <c r="U54" s="75">
        <f>((('indice Carburant'!O13/'Indexation Client 2026'!$D$54)-1)*'Indexation Client 2026'!$F$54)*'Indexation Client 2026'!$H$53+$H$54</f>
        <v>0.85766696</v>
      </c>
    </row>
    <row r="55" ht="14.25" customHeight="1">
      <c r="A55" s="59" t="s">
        <v>73</v>
      </c>
      <c r="B55" s="71" t="s">
        <v>106</v>
      </c>
      <c r="C55" s="73" t="s">
        <v>75</v>
      </c>
      <c r="D55" s="53">
        <v>179.54</v>
      </c>
      <c r="E55" s="53" t="s">
        <v>81</v>
      </c>
      <c r="F55" s="58">
        <v>0.1869</v>
      </c>
      <c r="G55" s="53" t="s">
        <v>78</v>
      </c>
      <c r="H55" s="75">
        <v>2.3948</v>
      </c>
      <c r="I55" s="56"/>
      <c r="J55" s="74">
        <f>((('indice Carburant'!D13/'Indexation Client 2026'!$D$55)-1)*'Indexation Client 2026'!$F$55)*'Indexation Client 2026'!$H$53+$H$55</f>
        <v>2.350029332</v>
      </c>
      <c r="K55" s="74">
        <f>((('indice Carburant'!E13/'Indexation Client 2026'!$D$55)-1)*'Indexation Client 2026'!$F$55)*'Indexation Client 2026'!$H$53+$H$55</f>
        <v>2.345530016</v>
      </c>
      <c r="L55" s="74">
        <f>((('indice Carburant'!F13/'Indexation Client 2026'!$D$55)-1)*'Indexation Client 2026'!$F$55)*'Indexation Client 2026'!$H$53+$H$55</f>
        <v>2.390201798</v>
      </c>
      <c r="M55" s="75">
        <f>((('indice Carburant'!G13/'Indexation Client 2026'!$D$55)-1)*'Indexation Client 2026'!$F$55)*'Indexation Client 2026'!$H$53+$H$55</f>
        <v>1.95094988</v>
      </c>
      <c r="N55" s="75">
        <f>((('indice Carburant'!H13/'Indexation Client 2026'!$D$55)-1)*'Indexation Client 2026'!$F$55)*'Indexation Client 2026'!$H$53+$H$55</f>
        <v>1.95094988</v>
      </c>
      <c r="O55" s="75">
        <f>((('indice Carburant'!I13/'Indexation Client 2026'!$D$55)-1)*'Indexation Client 2026'!$F$55)*'Indexation Client 2026'!$H$53+$H$55</f>
        <v>1.95094988</v>
      </c>
      <c r="P55" s="75">
        <f>((('indice Carburant'!J13/'Indexation Client 2026'!$D$55)-1)*'Indexation Client 2026'!$F$55)*'Indexation Client 2026'!$H$53+$H$55</f>
        <v>1.95094988</v>
      </c>
      <c r="Q55" s="75">
        <f>((('indice Carburant'!K13/'Indexation Client 2026'!$D$55)-1)*'Indexation Client 2026'!$F$55)*'Indexation Client 2026'!$H$53+$H$55</f>
        <v>1.95094988</v>
      </c>
      <c r="R55" s="75">
        <f>((('indice Carburant'!L13/'Indexation Client 2026'!$D$55)-1)*'Indexation Client 2026'!$F$55)*'Indexation Client 2026'!$H$53+$H$55</f>
        <v>1.95094988</v>
      </c>
      <c r="S55" s="75">
        <f>((('indice Carburant'!M13/'Indexation Client 2026'!$D$55)-1)*'Indexation Client 2026'!$F$55)*'Indexation Client 2026'!$H$53+$H$55</f>
        <v>1.95094988</v>
      </c>
      <c r="T55" s="75">
        <f>((('indice Carburant'!N13/'Indexation Client 2026'!$D$55)-1)*'Indexation Client 2026'!$F$55)*'Indexation Client 2026'!$H$53+$H$55</f>
        <v>1.95094988</v>
      </c>
      <c r="U55" s="75">
        <f>((('indice Carburant'!O13/'Indexation Client 2026'!$D$55)-1)*'Indexation Client 2026'!$F$55)*'Indexation Client 2026'!$H$53+$H$55</f>
        <v>1.95094988</v>
      </c>
    </row>
    <row r="56" ht="14.25" customHeight="1">
      <c r="A56" s="59" t="s">
        <v>73</v>
      </c>
      <c r="B56" s="76" t="s">
        <v>107</v>
      </c>
      <c r="C56" s="73" t="s">
        <v>75</v>
      </c>
      <c r="D56" s="53">
        <v>195.67</v>
      </c>
      <c r="E56" s="53" t="s">
        <v>35</v>
      </c>
      <c r="F56" s="58">
        <v>0.3078</v>
      </c>
      <c r="G56" s="53" t="s">
        <v>78</v>
      </c>
      <c r="H56" s="75">
        <v>1.1937</v>
      </c>
      <c r="I56" s="56"/>
      <c r="J56" s="74">
        <f>((('indice Carburant'!D6/'Indexation Client 2026'!$D$56)-1)*'Indexation Client 2026'!$F$56)*'Indexation Client 2026'!$H$56+$H$56</f>
        <v>1.167129728</v>
      </c>
      <c r="K56" s="74">
        <f>((('indice Carburant'!E6/'Indexation Client 2026'!$D$56)-1)*'Indexation Client 2026'!$F$56)*'Indexation Client 2026'!$H$56+$H$56</f>
        <v>1.17865916</v>
      </c>
      <c r="L56" s="74">
        <f>((('indice Carburant'!F6/'Indexation Client 2026'!$D$56)-1)*'Indexation Client 2026'!$F$56)*'Indexation Client 2026'!$H$56+$H$56</f>
        <v>1.189324824</v>
      </c>
      <c r="M56" s="75">
        <f>((('indice Carburant'!G6/'Indexation Client 2026'!$D$56)-1)*'Indexation Client 2026'!$F$56)*'Indexation Client 2026'!$H$56+$H$56</f>
        <v>1.292113284</v>
      </c>
      <c r="N56" s="75">
        <f>((('indice Carburant'!H6/'Indexation Client 2026'!$D$56)-1)*'Indexation Client 2026'!$F$56)*'Indexation Client 2026'!$H$56+$H$56</f>
        <v>0.82627914</v>
      </c>
      <c r="O56" s="75">
        <f>((('indice Carburant'!I6/'Indexation Client 2026'!$D$56)-1)*'Indexation Client 2026'!$F$56)*'Indexation Client 2026'!$H$56+$H$56</f>
        <v>0.82627914</v>
      </c>
      <c r="P56" s="75">
        <f>((('indice Carburant'!J6/'Indexation Client 2026'!$D$56)-1)*'Indexation Client 2026'!$F$56)*'Indexation Client 2026'!$H$56+$H$56</f>
        <v>0.82627914</v>
      </c>
      <c r="Q56" s="75">
        <f>((('indice Carburant'!K6/'Indexation Client 2026'!$D$56)-1)*'Indexation Client 2026'!$F$56)*'Indexation Client 2026'!$H$56+$H$56</f>
        <v>0.82627914</v>
      </c>
      <c r="R56" s="75">
        <f>((('indice Carburant'!L6/'Indexation Client 2026'!$D$56)-1)*'Indexation Client 2026'!$F$56)*'Indexation Client 2026'!$H$56+$H$56</f>
        <v>0.82627914</v>
      </c>
      <c r="S56" s="75">
        <f>((('indice Carburant'!M6/'Indexation Client 2026'!$D$56)-1)*'Indexation Client 2026'!$F$56)*'Indexation Client 2026'!$H$56+$H$56</f>
        <v>0.82627914</v>
      </c>
      <c r="T56" s="75">
        <f>((('indice Carburant'!N6/'Indexation Client 2026'!$D$56)-1)*'Indexation Client 2026'!$F$56)*'Indexation Client 2026'!$H$56+$H$56</f>
        <v>0.82627914</v>
      </c>
      <c r="U56" s="75">
        <f>((('indice Carburant'!O6/'Indexation Client 2026'!$D$56)-1)*'Indexation Client 2026'!$F$56)*'Indexation Client 2026'!$H$56+$H$56</f>
        <v>0.82627914</v>
      </c>
    </row>
    <row r="57" ht="14.25" customHeight="1">
      <c r="A57" s="59" t="s">
        <v>73</v>
      </c>
      <c r="B57" s="71" t="s">
        <v>108</v>
      </c>
      <c r="C57" s="73" t="s">
        <v>75</v>
      </c>
      <c r="D57" s="53">
        <v>192.18</v>
      </c>
      <c r="E57" s="53" t="s">
        <v>81</v>
      </c>
      <c r="F57" s="58">
        <v>0.2445</v>
      </c>
      <c r="G57" s="53" t="s">
        <v>78</v>
      </c>
      <c r="H57" s="75">
        <v>1.8084</v>
      </c>
      <c r="I57" s="56"/>
      <c r="J57" s="74">
        <f>((('indice Carburant'!D13/'Indexation Client 2026'!$D$57)-1)*'Indexation Client 2026'!$F$57)*'Indexation Client 2026'!$H$57+$H$57</f>
        <v>1.737652631</v>
      </c>
      <c r="K57" s="74">
        <f>((('indice Carburant'!E13/'Indexation Client 2026'!$D$57)-1)*'Indexation Client 2026'!$F$57)*'Indexation Client 2026'!$H$57+$H$57</f>
        <v>1.733465307</v>
      </c>
      <c r="L57" s="74">
        <f>((('indice Carburant'!F13/'Indexation Client 2026'!$D$57)-1)*'Indexation Client 2026'!$F$57)*'Indexation Client 2026'!$H$57+$H$57</f>
        <v>1.775039452</v>
      </c>
      <c r="M57" s="75">
        <f>((('indice Carburant'!G13/'Indexation Client 2026'!$D$57)-1)*'Indexation Client 2026'!$F$57)*'Indexation Client 2026'!$H$57+$H$57</f>
        <v>1.3662462</v>
      </c>
      <c r="N57" s="75">
        <f>((('indice Carburant'!H13/'Indexation Client 2026'!$D$57)-1)*'Indexation Client 2026'!$F$57)*'Indexation Client 2026'!$H$57+$H$57</f>
        <v>1.3662462</v>
      </c>
      <c r="O57" s="75">
        <f>((('indice Carburant'!I13/'Indexation Client 2026'!$D$57)-1)*'Indexation Client 2026'!$F$57)*'Indexation Client 2026'!$H$57+$H$57</f>
        <v>1.3662462</v>
      </c>
      <c r="P57" s="75">
        <f>((('indice Carburant'!J13/'Indexation Client 2026'!$D$57)-1)*'Indexation Client 2026'!$F$57)*'Indexation Client 2026'!$H$57+$H$57</f>
        <v>1.3662462</v>
      </c>
      <c r="Q57" s="75">
        <f>((('indice Carburant'!K13/'Indexation Client 2026'!$D$57)-1)*'Indexation Client 2026'!$F$57)*'Indexation Client 2026'!$H$57+$H$57</f>
        <v>1.3662462</v>
      </c>
      <c r="R57" s="75">
        <f>((('indice Carburant'!L13/'Indexation Client 2026'!$D$57)-1)*'Indexation Client 2026'!$F$57)*'Indexation Client 2026'!$H$57+$H$57</f>
        <v>1.3662462</v>
      </c>
      <c r="S57" s="75">
        <f>((('indice Carburant'!M13/'Indexation Client 2026'!$D$57)-1)*'Indexation Client 2026'!$F$57)*'Indexation Client 2026'!$H$57+$H$57</f>
        <v>1.3662462</v>
      </c>
      <c r="T57" s="75">
        <f>((('indice Carburant'!N13/'Indexation Client 2026'!$D$57)-1)*'Indexation Client 2026'!$F$57)*'Indexation Client 2026'!$H$57+$H$57</f>
        <v>1.3662462</v>
      </c>
      <c r="U57" s="75">
        <f>((('indice Carburant'!O13/'Indexation Client 2026'!$D$57)-1)*'Indexation Client 2026'!$F$57)*'Indexation Client 2026'!$H$57+$H$57</f>
        <v>1.3662462</v>
      </c>
    </row>
    <row r="58" ht="14.25" customHeight="1">
      <c r="A58" s="59" t="s">
        <v>73</v>
      </c>
      <c r="B58" s="71" t="s">
        <v>109</v>
      </c>
      <c r="C58" s="73" t="s">
        <v>75</v>
      </c>
      <c r="D58" s="53">
        <v>170.34</v>
      </c>
      <c r="E58" s="53" t="s">
        <v>81</v>
      </c>
      <c r="F58" s="58">
        <v>0.2501</v>
      </c>
      <c r="G58" s="53" t="s">
        <v>78</v>
      </c>
      <c r="H58" s="75">
        <v>1.6503</v>
      </c>
      <c r="I58" s="56"/>
      <c r="J58" s="74">
        <f>((('indice Carburant'!D13/'Indexation Client 2026'!$D$58)-1)*'Indexation Client 2026'!$F$58)*'Indexation Client 2026'!$H$58+$H$58</f>
        <v>1.628710745</v>
      </c>
      <c r="K58" s="74">
        <f>((('indice Carburant'!E13/'Indexation Client 2026'!$D$58)-1)*'Indexation Client 2026'!$F$58)*'Indexation Client 2026'!$H$58+$H$58</f>
        <v>1.624300819</v>
      </c>
      <c r="L58" s="74">
        <f>((('indice Carburant'!F13/'Indexation Client 2026'!$D$58)-1)*'Indexation Client 2026'!$F$58)*'Indexation Client 2026'!$H$58+$H$58</f>
        <v>1.668085088</v>
      </c>
      <c r="M58" s="75">
        <f>((('indice Carburant'!G13/'Indexation Client 2026'!$D$58)-1)*'Indexation Client 2026'!$F$58)*'Indexation Client 2026'!$H$58+$H$58</f>
        <v>1.23755997</v>
      </c>
      <c r="N58" s="75">
        <f>((('indice Carburant'!H13/'Indexation Client 2026'!$D$58)-1)*'Indexation Client 2026'!$F$58)*'Indexation Client 2026'!$H$58+$H$58</f>
        <v>1.23755997</v>
      </c>
      <c r="O58" s="75">
        <f>((('indice Carburant'!I13/'Indexation Client 2026'!$D$58)-1)*'Indexation Client 2026'!$F$58)*'Indexation Client 2026'!$H$58+$H$58</f>
        <v>1.23755997</v>
      </c>
      <c r="P58" s="75">
        <f>((('indice Carburant'!J13/'Indexation Client 2026'!$D$58)-1)*'Indexation Client 2026'!$F$58)*'Indexation Client 2026'!$H$58+$H$58</f>
        <v>1.23755997</v>
      </c>
      <c r="Q58" s="75">
        <f>((('indice Carburant'!K13/'Indexation Client 2026'!$D$58)-1)*'Indexation Client 2026'!$F$58)*'Indexation Client 2026'!$H$58+$H$58</f>
        <v>1.23755997</v>
      </c>
      <c r="R58" s="75">
        <f>((('indice Carburant'!L13/'Indexation Client 2026'!$D$58)-1)*'Indexation Client 2026'!$F$58)*'Indexation Client 2026'!$H$58+$H$58</f>
        <v>1.23755997</v>
      </c>
      <c r="S58" s="75">
        <f>((('indice Carburant'!M13/'Indexation Client 2026'!$D$58)-1)*'Indexation Client 2026'!$F$58)*'Indexation Client 2026'!$H$58+$H$58</f>
        <v>1.23755997</v>
      </c>
      <c r="T58" s="75">
        <f>((('indice Carburant'!N13/'Indexation Client 2026'!$D$58)-1)*'Indexation Client 2026'!$F$58)*'Indexation Client 2026'!$H$58+$H$58</f>
        <v>1.23755997</v>
      </c>
      <c r="U58" s="75">
        <f>((('indice Carburant'!O13/'Indexation Client 2026'!$D$58)-1)*'Indexation Client 2026'!$F$58)*'Indexation Client 2026'!$H$58+$H$58</f>
        <v>1.23755997</v>
      </c>
    </row>
    <row r="59" ht="14.25" customHeight="1">
      <c r="A59" s="59" t="s">
        <v>73</v>
      </c>
      <c r="B59" s="71" t="s">
        <v>110</v>
      </c>
      <c r="C59" s="73" t="s">
        <v>75</v>
      </c>
      <c r="D59" s="53">
        <v>170.34</v>
      </c>
      <c r="E59" s="53" t="s">
        <v>81</v>
      </c>
      <c r="F59" s="58">
        <v>0.181</v>
      </c>
      <c r="G59" s="53" t="s">
        <v>78</v>
      </c>
      <c r="H59" s="75">
        <v>2.164</v>
      </c>
      <c r="I59" s="56"/>
      <c r="J59" s="74">
        <f>((('indice Carburant'!D13/'Indexation Client 2026'!$D$59)-1)*'Indexation Client 2026'!$F$59)*'Indexation Client 2026'!$H$59+$H$59</f>
        <v>2.143512126</v>
      </c>
      <c r="K59" s="74">
        <f>((('indice Carburant'!E13/'Indexation Client 2026'!$D$59)-1)*'Indexation Client 2026'!$F$59)*'Indexation Client 2026'!$H$59+$H$59</f>
        <v>2.139327173</v>
      </c>
      <c r="L59" s="74">
        <f>((('indice Carburant'!F13/'Indexation Client 2026'!$D$59)-1)*'Indexation Client 2026'!$F$59)*'Indexation Client 2026'!$H$59+$H$59</f>
        <v>2.180877777</v>
      </c>
      <c r="M59" s="75">
        <f>((('indice Carburant'!G13/'Indexation Client 2026'!$D$59)-1)*'Indexation Client 2026'!$F$59)*'Indexation Client 2026'!$H$59+$H$59</f>
        <v>1.772316</v>
      </c>
      <c r="N59" s="75">
        <f>((('indice Carburant'!H13/'Indexation Client 2026'!$D$59)-1)*'Indexation Client 2026'!$F$59)*'Indexation Client 2026'!$H$59+$H$59</f>
        <v>1.772316</v>
      </c>
      <c r="O59" s="75">
        <f>((('indice Carburant'!I13/'Indexation Client 2026'!$D$59)-1)*'Indexation Client 2026'!$F$59)*'Indexation Client 2026'!$H$59+$H$59</f>
        <v>1.772316</v>
      </c>
      <c r="P59" s="75">
        <f>((('indice Carburant'!J13/'Indexation Client 2026'!$D$59)-1)*'Indexation Client 2026'!$F$59)*'Indexation Client 2026'!$H$59+$H$59</f>
        <v>1.772316</v>
      </c>
      <c r="Q59" s="75">
        <f>((('indice Carburant'!K13/'Indexation Client 2026'!$D$59)-1)*'Indexation Client 2026'!$F$59)*'Indexation Client 2026'!$H$59+$H$59</f>
        <v>1.772316</v>
      </c>
      <c r="R59" s="75">
        <f>((('indice Carburant'!L13/'Indexation Client 2026'!$D$59)-1)*'Indexation Client 2026'!$F$59)*'Indexation Client 2026'!$H$59+$H$59</f>
        <v>1.772316</v>
      </c>
      <c r="S59" s="75">
        <f>((('indice Carburant'!M13/'Indexation Client 2026'!$D$59)-1)*'Indexation Client 2026'!$F$59)*'Indexation Client 2026'!$H$59+$H$59</f>
        <v>1.772316</v>
      </c>
      <c r="T59" s="75">
        <f>((('indice Carburant'!N13/'Indexation Client 2026'!$D$59)-1)*'Indexation Client 2026'!$F$59)*'Indexation Client 2026'!$H$59+$H$59</f>
        <v>1.772316</v>
      </c>
      <c r="U59" s="75">
        <f>((('indice Carburant'!O13/'Indexation Client 2026'!$D$59)-1)*'Indexation Client 2026'!$F$59)*'Indexation Client 2026'!$H$59+$H$59</f>
        <v>1.772316</v>
      </c>
    </row>
    <row r="60" ht="14.25" customHeight="1">
      <c r="A60" s="59" t="s">
        <v>73</v>
      </c>
      <c r="B60" s="71" t="s">
        <v>111</v>
      </c>
      <c r="C60" s="73" t="s">
        <v>75</v>
      </c>
      <c r="D60" s="53">
        <v>163.31</v>
      </c>
      <c r="E60" s="53" t="s">
        <v>81</v>
      </c>
      <c r="F60" s="58">
        <v>0.2769</v>
      </c>
      <c r="G60" s="53" t="s">
        <v>78</v>
      </c>
      <c r="H60" s="75">
        <v>1.421</v>
      </c>
      <c r="I60" s="56"/>
      <c r="J60" s="74">
        <f>((('indice Carburant'!D13/'Indexation Client 2026'!$D$60)-1)*'Indexation Client 2026'!$F$60)*'Indexation Client 2026'!$H$60+$H$60</f>
        <v>1.416470377</v>
      </c>
      <c r="K60" s="74">
        <f>((('indice Carburant'!E13/'Indexation Client 2026'!$D$60)-1)*'Indexation Client 2026'!$F$60)*'Indexation Client 2026'!$H$60+$H$60</f>
        <v>1.412085315</v>
      </c>
      <c r="L60" s="74">
        <f>((('indice Carburant'!F13/'Indexation Client 2026'!$D$60)-1)*'Indexation Client 2026'!$F$60)*'Indexation Client 2026'!$H$60+$H$60</f>
        <v>1.455622707</v>
      </c>
      <c r="M60" s="75">
        <f>((('indice Carburant'!G13/'Indexation Client 2026'!$D$60)-1)*'Indexation Client 2026'!$F$60)*'Indexation Client 2026'!$H$60+$H$60</f>
        <v>1.0275251</v>
      </c>
      <c r="N60" s="75">
        <f>((('indice Carburant'!H13/'Indexation Client 2026'!$D$60)-1)*'Indexation Client 2026'!$F$60)*'Indexation Client 2026'!$H$60+$H$60</f>
        <v>1.0275251</v>
      </c>
      <c r="O60" s="75">
        <f>((('indice Carburant'!I13/'Indexation Client 2026'!$D$60)-1)*'Indexation Client 2026'!$F$60)*'Indexation Client 2026'!$H$60+$H$60</f>
        <v>1.0275251</v>
      </c>
      <c r="P60" s="75">
        <f>((('indice Carburant'!J13/'Indexation Client 2026'!$D$60)-1)*'Indexation Client 2026'!$F$60)*'Indexation Client 2026'!$H$60+$H$60</f>
        <v>1.0275251</v>
      </c>
      <c r="Q60" s="75">
        <f>((('indice Carburant'!K13/'Indexation Client 2026'!$D$60)-1)*'Indexation Client 2026'!$F$60)*'Indexation Client 2026'!$H$60+$H$60</f>
        <v>1.0275251</v>
      </c>
      <c r="R60" s="75">
        <f>((('indice Carburant'!L13/'Indexation Client 2026'!$D$60)-1)*'Indexation Client 2026'!$F$60)*'Indexation Client 2026'!$H$60+$H$60</f>
        <v>1.0275251</v>
      </c>
      <c r="S60" s="75">
        <f>((('indice Carburant'!M13/'Indexation Client 2026'!$D$60)-1)*'Indexation Client 2026'!$F$60)*'Indexation Client 2026'!$H$60+$H$60</f>
        <v>1.0275251</v>
      </c>
      <c r="T60" s="75">
        <f>((('indice Carburant'!N13/'Indexation Client 2026'!$D$60)-1)*'Indexation Client 2026'!$F$60)*'Indexation Client 2026'!$H$60+$H$60</f>
        <v>1.0275251</v>
      </c>
      <c r="U60" s="75">
        <f>((('indice Carburant'!O13/'Indexation Client 2026'!$D$60)-1)*'Indexation Client 2026'!$F$60)*'Indexation Client 2026'!$H$60+$H$60</f>
        <v>1.0275251</v>
      </c>
    </row>
    <row r="61" ht="14.25" customHeight="1">
      <c r="A61" s="59" t="s">
        <v>73</v>
      </c>
      <c r="B61" s="71" t="s">
        <v>112</v>
      </c>
      <c r="C61" s="73" t="s">
        <v>75</v>
      </c>
      <c r="D61" s="53">
        <v>163.31</v>
      </c>
      <c r="E61" s="53" t="s">
        <v>81</v>
      </c>
      <c r="F61" s="58">
        <v>0.2798</v>
      </c>
      <c r="G61" s="53" t="s">
        <v>78</v>
      </c>
      <c r="H61" s="75">
        <v>1.452</v>
      </c>
      <c r="I61" s="56"/>
      <c r="J61" s="74">
        <f>((('indice Carburant'!D13/'Indexation Client 2026'!$D$61)-1)*'Indexation Client 2026'!$F$61)*'Indexation Client 2026'!$H$61+$H$61</f>
        <v>1.447323086</v>
      </c>
      <c r="K61" s="74">
        <f>((('indice Carburant'!E13/'Indexation Client 2026'!$D$61)-1)*'Indexation Client 2026'!$F$61)*'Indexation Client 2026'!$H$61+$H$61</f>
        <v>1.442795435</v>
      </c>
      <c r="L61" s="74">
        <f>((('indice Carburant'!F13/'Indexation Client 2026'!$D$61)-1)*'Indexation Client 2026'!$F$61)*'Indexation Client 2026'!$H$61+$H$61</f>
        <v>1.487748541</v>
      </c>
      <c r="M61" s="75">
        <f>((('indice Carburant'!G13/'Indexation Client 2026'!$D$61)-1)*'Indexation Client 2026'!$F$61)*'Indexation Client 2026'!$H$61+$H$61</f>
        <v>1.0457304</v>
      </c>
      <c r="N61" s="75">
        <f>((('indice Carburant'!H13/'Indexation Client 2026'!$D$61)-1)*'Indexation Client 2026'!$F$61)*'Indexation Client 2026'!$H$61+$H$61</f>
        <v>1.0457304</v>
      </c>
      <c r="O61" s="75">
        <f>((('indice Carburant'!I13/'Indexation Client 2026'!$D$61)-1)*'Indexation Client 2026'!$F$61)*'Indexation Client 2026'!$H$61+$H$61</f>
        <v>1.0457304</v>
      </c>
      <c r="P61" s="75">
        <f>((('indice Carburant'!J13/'Indexation Client 2026'!$D$61)-1)*'Indexation Client 2026'!$F$61)*'Indexation Client 2026'!$H$61+$H$61</f>
        <v>1.0457304</v>
      </c>
      <c r="Q61" s="75">
        <f>((('indice Carburant'!K13/'Indexation Client 2026'!$D$61)-1)*'Indexation Client 2026'!$F$61)*'Indexation Client 2026'!$H$61+$H$61</f>
        <v>1.0457304</v>
      </c>
      <c r="R61" s="75">
        <f>((('indice Carburant'!L13/'Indexation Client 2026'!$D$61)-1)*'Indexation Client 2026'!$F$61)*'Indexation Client 2026'!$H$61+$H$61</f>
        <v>1.0457304</v>
      </c>
      <c r="S61" s="75">
        <f>((('indice Carburant'!M13/'Indexation Client 2026'!$D$61)-1)*'Indexation Client 2026'!$F$61)*'Indexation Client 2026'!$H$61+$H$61</f>
        <v>1.0457304</v>
      </c>
      <c r="T61" s="75">
        <f>((('indice Carburant'!N13/'Indexation Client 2026'!$D$61)-1)*'Indexation Client 2026'!$F$61)*'Indexation Client 2026'!$H$61+$H$61</f>
        <v>1.0457304</v>
      </c>
      <c r="U61" s="75">
        <f>((('indice Carburant'!O13/'Indexation Client 2026'!$D$61)-1)*'Indexation Client 2026'!$F$61)*'Indexation Client 2026'!$H$61+$H$61</f>
        <v>1.0457304</v>
      </c>
    </row>
    <row r="62" ht="14.25" customHeight="1">
      <c r="A62" s="82" t="s">
        <v>113</v>
      </c>
      <c r="B62" s="53" t="s">
        <v>114</v>
      </c>
      <c r="C62" s="38" t="s">
        <v>115</v>
      </c>
      <c r="D62" s="53">
        <v>182.05</v>
      </c>
      <c r="E62" s="53" t="s">
        <v>35</v>
      </c>
      <c r="F62" s="58">
        <v>0.265</v>
      </c>
      <c r="G62" s="53" t="s">
        <v>36</v>
      </c>
      <c r="H62" s="53"/>
      <c r="I62" s="56"/>
      <c r="J62" s="57">
        <v>0.044972672446287235</v>
      </c>
      <c r="K62" s="57">
        <f>((('indice Carburant'!E6/'Indexation Client 2026'!$D$62)-1)*'Indexation Client 2026'!$F$62)</f>
        <v>0.008166163142</v>
      </c>
      <c r="L62" s="57">
        <f>((('indice Carburant'!F6/'Indexation Client 2026'!$D$62)-1)*'Indexation Client 2026'!$F$62)</f>
        <v>0.01643422137</v>
      </c>
      <c r="M62" s="58">
        <f>((('indice Carburant'!G6/'Indexation Client 2026'!$D$62)-1)*'Indexation Client 2026'!$F$62)</f>
        <v>0.09611617687</v>
      </c>
      <c r="N62" s="58">
        <f>((('indice Carburant'!H6/'Indexation Client 2026'!$D$62)-1)*'Indexation Client 2026'!$F$62)</f>
        <v>-0.265</v>
      </c>
      <c r="O62" s="58">
        <f>((('indice Carburant'!I6/'Indexation Client 2026'!$D$62)-1)*'Indexation Client 2026'!$F$62)</f>
        <v>-0.265</v>
      </c>
      <c r="P62" s="58">
        <f>((('indice Carburant'!J6/'Indexation Client 2026'!$D$62)-1)*'Indexation Client 2026'!$F$62)</f>
        <v>-0.265</v>
      </c>
      <c r="Q62" s="58">
        <f>((('indice Carburant'!K6/'Indexation Client 2026'!$D$62)-1)*'Indexation Client 2026'!$F$62)</f>
        <v>-0.265</v>
      </c>
      <c r="R62" s="58">
        <f>((('indice Carburant'!L6/'Indexation Client 2026'!$D$62)-1)*'Indexation Client 2026'!$F$62)</f>
        <v>-0.265</v>
      </c>
      <c r="S62" s="58">
        <f>((('indice Carburant'!M6/'Indexation Client 2026'!$D$62)-1)*'Indexation Client 2026'!$F$62)</f>
        <v>-0.265</v>
      </c>
      <c r="T62" s="58">
        <f>((('indice Carburant'!N6/'Indexation Client 2026'!$D$62)-1)*'Indexation Client 2026'!$F$62)</f>
        <v>-0.265</v>
      </c>
      <c r="U62" s="58">
        <f>((('indice Carburant'!O6/'Indexation Client 2026'!$D$62)-1)*'Indexation Client 2026'!$F$62)</f>
        <v>-0.265</v>
      </c>
    </row>
    <row r="63" ht="14.25" customHeight="1">
      <c r="A63" s="82" t="s">
        <v>113</v>
      </c>
      <c r="B63" s="53" t="s">
        <v>116</v>
      </c>
      <c r="C63" s="38" t="s">
        <v>115</v>
      </c>
      <c r="D63" s="53">
        <v>182.05</v>
      </c>
      <c r="E63" s="53" t="s">
        <v>35</v>
      </c>
      <c r="F63" s="58">
        <v>0.265</v>
      </c>
      <c r="G63" s="53" t="s">
        <v>36</v>
      </c>
      <c r="H63" s="53"/>
      <c r="I63" s="56"/>
      <c r="J63" s="57">
        <v>-0.04541913182210996</v>
      </c>
      <c r="K63" s="57">
        <f>((('indice Carburant'!E6/'Indexation Client 2026'!$D$63)-1)*'Indexation Client 2026'!$F$63)</f>
        <v>0.008166163142</v>
      </c>
      <c r="L63" s="57">
        <f>((('indice Carburant'!F6/'Indexation Client 2026'!$D$63)-1)*'Indexation Client 2026'!$F$63)</f>
        <v>0.01643422137</v>
      </c>
      <c r="M63" s="58">
        <f>((('indice Carburant'!G6/'Indexation Client 2026'!$D$63)-1)*'Indexation Client 2026'!$F$63)</f>
        <v>0.09611617687</v>
      </c>
      <c r="N63" s="58">
        <f>((('indice Carburant'!H6/'Indexation Client 2026'!$D$63)-1)*'Indexation Client 2026'!$F$63)</f>
        <v>-0.265</v>
      </c>
      <c r="O63" s="58">
        <f>((('indice Carburant'!I6/'Indexation Client 2026'!$D$63)-1)*'Indexation Client 2026'!$F$63)</f>
        <v>-0.265</v>
      </c>
      <c r="P63" s="58">
        <f>((('indice Carburant'!J6/'Indexation Client 2026'!$D$63)-1)*'Indexation Client 2026'!$F$63)</f>
        <v>-0.265</v>
      </c>
      <c r="Q63" s="58">
        <f>((('indice Carburant'!K6/'Indexation Client 2026'!$D$63)-1)*'Indexation Client 2026'!$F$63)</f>
        <v>-0.265</v>
      </c>
      <c r="R63" s="58">
        <f>((('indice Carburant'!L6/'Indexation Client 2026'!$D$63)-1)*'Indexation Client 2026'!$F$63)</f>
        <v>-0.265</v>
      </c>
      <c r="S63" s="58">
        <f>((('indice Carburant'!M6/'Indexation Client 2026'!$D$63)-1)*'Indexation Client 2026'!$F$63)</f>
        <v>-0.265</v>
      </c>
      <c r="T63" s="58">
        <f>((('indice Carburant'!N6/'Indexation Client 2026'!$D$63)-1)*'Indexation Client 2026'!$F$63)</f>
        <v>-0.265</v>
      </c>
      <c r="U63" s="58">
        <f>((('indice Carburant'!O6/'Indexation Client 2026'!$D$63)-1)*'Indexation Client 2026'!$F$63)</f>
        <v>-0.265</v>
      </c>
    </row>
    <row r="64" ht="14.25" customHeight="1">
      <c r="A64" s="82" t="s">
        <v>113</v>
      </c>
      <c r="B64" s="53" t="s">
        <v>117</v>
      </c>
      <c r="C64" s="38" t="s">
        <v>115</v>
      </c>
      <c r="D64" s="53">
        <v>182.05</v>
      </c>
      <c r="E64" s="53" t="s">
        <v>35</v>
      </c>
      <c r="F64" s="58">
        <v>0.265</v>
      </c>
      <c r="G64" s="53" t="s">
        <v>36</v>
      </c>
      <c r="H64" s="53"/>
      <c r="I64" s="56"/>
      <c r="J64" s="57">
        <v>-0.04698530878149306</v>
      </c>
      <c r="K64" s="57">
        <f>((('indice Carburant'!E6/'Indexation Client 2026'!$D$64)-1)*'Indexation Client 2026'!$F$64)</f>
        <v>0.008166163142</v>
      </c>
      <c r="L64" s="57">
        <f>((('indice Carburant'!F6/'Indexation Client 2026'!$D$64)-1)*'Indexation Client 2026'!$F$64)</f>
        <v>0.01643422137</v>
      </c>
      <c r="M64" s="58">
        <f>((('indice Carburant'!G6/'Indexation Client 2026'!$D$64)-1)*'Indexation Client 2026'!$F$64)</f>
        <v>0.09611617687</v>
      </c>
      <c r="N64" s="58">
        <f>((('indice Carburant'!H6/'Indexation Client 2026'!$D$64)-1)*'Indexation Client 2026'!$F$64)</f>
        <v>-0.265</v>
      </c>
      <c r="O64" s="58">
        <f>((('indice Carburant'!I6/'Indexation Client 2026'!$D$64)-1)*'Indexation Client 2026'!$F$64)</f>
        <v>-0.265</v>
      </c>
      <c r="P64" s="58">
        <f>((('indice Carburant'!J6/'Indexation Client 2026'!$D$64)-1)*'Indexation Client 2026'!$F$64)</f>
        <v>-0.265</v>
      </c>
      <c r="Q64" s="58">
        <f>((('indice Carburant'!K6/'Indexation Client 2026'!$D$64)-1)*'Indexation Client 2026'!$F$64)</f>
        <v>-0.265</v>
      </c>
      <c r="R64" s="58">
        <f>((('indice Carburant'!L6/'Indexation Client 2026'!$D$64)-1)*'Indexation Client 2026'!$F$64)</f>
        <v>-0.265</v>
      </c>
      <c r="S64" s="58">
        <f>((('indice Carburant'!M6/'Indexation Client 2026'!$D$64)-1)*'Indexation Client 2026'!$F$64)</f>
        <v>-0.265</v>
      </c>
      <c r="T64" s="58">
        <f>((('indice Carburant'!N6/'Indexation Client 2026'!$D$64)-1)*'Indexation Client 2026'!$F$64)</f>
        <v>-0.265</v>
      </c>
      <c r="U64" s="58">
        <f>((('indice Carburant'!O6/'Indexation Client 2026'!$D$64)-1)*'Indexation Client 2026'!$F$64)</f>
        <v>-0.265</v>
      </c>
    </row>
    <row r="65" ht="14.25" customHeight="1">
      <c r="A65" s="82" t="s">
        <v>113</v>
      </c>
      <c r="B65" s="53" t="s">
        <v>118</v>
      </c>
      <c r="C65" s="38" t="s">
        <v>115</v>
      </c>
      <c r="D65" s="53">
        <v>182.05</v>
      </c>
      <c r="E65" s="53" t="s">
        <v>35</v>
      </c>
      <c r="F65" s="58">
        <v>0.265</v>
      </c>
      <c r="G65" s="53" t="s">
        <v>36</v>
      </c>
      <c r="H65" s="53"/>
      <c r="I65" s="56"/>
      <c r="J65" s="57">
        <v>-0.04228677790334376</v>
      </c>
      <c r="K65" s="57">
        <f>((('indice Carburant'!E6/'Indexation Client 2026'!$D$65)-1)*'Indexation Client 2026'!$F$65)</f>
        <v>0.008166163142</v>
      </c>
      <c r="L65" s="57">
        <f>((('indice Carburant'!F6/'Indexation Client 2026'!$D$65)-1)*'Indexation Client 2026'!$F$65)</f>
        <v>0.01643422137</v>
      </c>
      <c r="M65" s="58">
        <f>((('indice Carburant'!G6/'Indexation Client 2026'!$D$65)-1)*'Indexation Client 2026'!$F$65)</f>
        <v>0.09611617687</v>
      </c>
      <c r="N65" s="58">
        <f>((('indice Carburant'!H6/'Indexation Client 2026'!$D$65)-1)*'Indexation Client 2026'!$F$65)</f>
        <v>-0.265</v>
      </c>
      <c r="O65" s="58">
        <f>((('indice Carburant'!I6/'Indexation Client 2026'!$D$65)-1)*'Indexation Client 2026'!$F$65)</f>
        <v>-0.265</v>
      </c>
      <c r="P65" s="58">
        <f>((('indice Carburant'!J6/'Indexation Client 2026'!$D$65)-1)*'Indexation Client 2026'!$F$65)</f>
        <v>-0.265</v>
      </c>
      <c r="Q65" s="58">
        <f>((('indice Carburant'!K6/'Indexation Client 2026'!$D$65)-1)*'Indexation Client 2026'!$F$65)</f>
        <v>-0.265</v>
      </c>
      <c r="R65" s="58">
        <f>((('indice Carburant'!L6/'Indexation Client 2026'!$D$65)-1)*'Indexation Client 2026'!$F$65)</f>
        <v>-0.265</v>
      </c>
      <c r="S65" s="58">
        <f>((('indice Carburant'!M6/'Indexation Client 2026'!$D$65)-1)*'Indexation Client 2026'!$F$65)</f>
        <v>-0.265</v>
      </c>
      <c r="T65" s="58">
        <f>((('indice Carburant'!N6/'Indexation Client 2026'!$D$65)-1)*'Indexation Client 2026'!$F$65)</f>
        <v>-0.265</v>
      </c>
      <c r="U65" s="58">
        <f>((('indice Carburant'!O6/'Indexation Client 2026'!$D$65)-1)*'Indexation Client 2026'!$F$65)</f>
        <v>-0.265</v>
      </c>
    </row>
    <row r="66" ht="14.25" customHeight="1">
      <c r="A66" s="82" t="s">
        <v>113</v>
      </c>
      <c r="B66" s="53" t="s">
        <v>119</v>
      </c>
      <c r="C66" s="38" t="s">
        <v>115</v>
      </c>
      <c r="D66" s="53">
        <v>182.05</v>
      </c>
      <c r="E66" s="53" t="s">
        <v>35</v>
      </c>
      <c r="F66" s="58">
        <v>0.265</v>
      </c>
      <c r="G66" s="53" t="s">
        <v>36</v>
      </c>
      <c r="H66" s="53"/>
      <c r="I66" s="56"/>
      <c r="J66" s="57">
        <v>-0.04860140115747793</v>
      </c>
      <c r="K66" s="57">
        <f>((('indice Carburant'!E6/'Indexation Client 2026'!$D$66)-1)*'Indexation Client 2026'!$F$66)</f>
        <v>0.008166163142</v>
      </c>
      <c r="L66" s="57">
        <f>((('indice Carburant'!F6/'Indexation Client 2026'!$D$66)-1)*'Indexation Client 2026'!$F$66)</f>
        <v>0.01643422137</v>
      </c>
      <c r="M66" s="58">
        <f>((('indice Carburant'!G6/'Indexation Client 2026'!$D$66)-1)*'Indexation Client 2026'!$F$66)</f>
        <v>0.09611617687</v>
      </c>
      <c r="N66" s="58">
        <f>((('indice Carburant'!H6/'Indexation Client 2026'!$D$66)-1)*'Indexation Client 2026'!$F$66)</f>
        <v>-0.265</v>
      </c>
      <c r="O66" s="58">
        <f>((('indice Carburant'!I6/'Indexation Client 2026'!$D$66)-1)*'Indexation Client 2026'!$F$66)</f>
        <v>-0.265</v>
      </c>
      <c r="P66" s="58">
        <f>((('indice Carburant'!J6/'Indexation Client 2026'!$D$66)-1)*'Indexation Client 2026'!$F$66)</f>
        <v>-0.265</v>
      </c>
      <c r="Q66" s="58">
        <f>((('indice Carburant'!K6/'Indexation Client 2026'!$D$66)-1)*'Indexation Client 2026'!$F$66)</f>
        <v>-0.265</v>
      </c>
      <c r="R66" s="58">
        <f>((('indice Carburant'!L6/'Indexation Client 2026'!$D$66)-1)*'Indexation Client 2026'!$F$66)</f>
        <v>-0.265</v>
      </c>
      <c r="S66" s="58">
        <f>((('indice Carburant'!M6/'Indexation Client 2026'!$D$66)-1)*'Indexation Client 2026'!$F$66)</f>
        <v>-0.265</v>
      </c>
      <c r="T66" s="58">
        <f>((('indice Carburant'!N6/'Indexation Client 2026'!$D$66)-1)*'Indexation Client 2026'!$F$66)</f>
        <v>-0.265</v>
      </c>
      <c r="U66" s="58">
        <f>((('indice Carburant'!O6/'Indexation Client 2026'!$D$66)-1)*'Indexation Client 2026'!$F$66)</f>
        <v>-0.265</v>
      </c>
    </row>
    <row r="67" ht="14.25" customHeight="1">
      <c r="A67" s="82" t="s">
        <v>113</v>
      </c>
      <c r="B67" s="53" t="s">
        <v>120</v>
      </c>
      <c r="C67" s="38" t="s">
        <v>115</v>
      </c>
      <c r="D67" s="53">
        <v>188.39</v>
      </c>
      <c r="E67" s="53" t="s">
        <v>35</v>
      </c>
      <c r="F67" s="58">
        <v>0.169</v>
      </c>
      <c r="G67" s="53" t="s">
        <v>36</v>
      </c>
      <c r="H67" s="53"/>
      <c r="I67" s="56"/>
      <c r="J67" s="57">
        <f>((('indice Carburant'!D6/'Indexation Client 2026'!$D$67)-1)*'Indexation Client 2026'!$F$67)</f>
        <v>-0.006162906736</v>
      </c>
      <c r="K67" s="57">
        <f>((('indice Carburant'!E6/'Indexation Client 2026'!$D$67)-1)*'Indexation Client 2026'!$F$67)</f>
        <v>-0.0006548649079</v>
      </c>
      <c r="L67" s="57">
        <f>((('indice Carburant'!F6/'Indexation Client 2026'!$D$67)-1)*'Indexation Client 2026'!$F$67)</f>
        <v>0.004440522321</v>
      </c>
      <c r="M67" s="58">
        <f>((('indice Carburant'!G6/'Indexation Client 2026'!$D$67)-1)*'Indexation Client 2026'!$F$67)</f>
        <v>0.05354641966</v>
      </c>
      <c r="N67" s="58">
        <f>((('indice Carburant'!H6/'Indexation Client 2026'!$D$67)-1)*'Indexation Client 2026'!$F$67)</f>
        <v>-0.169</v>
      </c>
      <c r="O67" s="58">
        <f>((('indice Carburant'!I6/'Indexation Client 2026'!$D$67)-1)*'Indexation Client 2026'!$F$67)</f>
        <v>-0.169</v>
      </c>
      <c r="P67" s="58">
        <f>((('indice Carburant'!J6/'Indexation Client 2026'!$D$67)-1)*'Indexation Client 2026'!$F$67)</f>
        <v>-0.169</v>
      </c>
      <c r="Q67" s="58">
        <f>((('indice Carburant'!K6/'Indexation Client 2026'!$D$67)-1)*'Indexation Client 2026'!$F$67)</f>
        <v>-0.169</v>
      </c>
      <c r="R67" s="58">
        <f>((('indice Carburant'!L6/'Indexation Client 2026'!$D$67)-1)*'Indexation Client 2026'!$F$67)</f>
        <v>-0.169</v>
      </c>
      <c r="S67" s="58">
        <f>((('indice Carburant'!M6/'Indexation Client 2026'!$D$67)-1)*'Indexation Client 2026'!$F$67)</f>
        <v>-0.169</v>
      </c>
      <c r="T67" s="58">
        <f>((('indice Carburant'!N6/'Indexation Client 2026'!$D$67)-1)*'Indexation Client 2026'!$F$67)</f>
        <v>-0.169</v>
      </c>
      <c r="U67" s="58">
        <f>((('indice Carburant'!O6/'Indexation Client 2026'!$D$67)-1)*'Indexation Client 2026'!$F$67)</f>
        <v>-0.169</v>
      </c>
    </row>
    <row r="68" ht="14.25" customHeight="1">
      <c r="A68" s="59" t="s">
        <v>121</v>
      </c>
      <c r="B68" s="53" t="s">
        <v>122</v>
      </c>
      <c r="C68" s="38" t="s">
        <v>123</v>
      </c>
      <c r="D68" s="53">
        <v>181.52</v>
      </c>
      <c r="E68" s="53" t="s">
        <v>35</v>
      </c>
      <c r="F68" s="58">
        <v>0.28</v>
      </c>
      <c r="G68" s="53" t="s">
        <v>36</v>
      </c>
      <c r="H68" s="53"/>
      <c r="I68" s="56"/>
      <c r="J68" s="57">
        <f>((('indice Carburant'!D6/'Indexation Client 2026'!$D$68)-1)*'Indexation Client 2026'!$F$68)</f>
        <v>0</v>
      </c>
      <c r="K68" s="57">
        <f>((('indice Carburant'!E6/'Indexation Client 2026'!$D$68)-1)*'Indexation Client 2026'!$F$68)</f>
        <v>0.009471132658</v>
      </c>
      <c r="L68" s="57">
        <f>((('indice Carburant'!F6/'Indexation Client 2026'!$D$68)-1)*'Indexation Client 2026'!$F$68)</f>
        <v>0.01823270163</v>
      </c>
      <c r="M68" s="58">
        <f>((('indice Carburant'!G6/'Indexation Client 2026'!$D$68)-1)*'Indexation Client 2026'!$F$68)</f>
        <v>0.1026707801</v>
      </c>
      <c r="N68" s="58">
        <f>((('indice Carburant'!H6/'Indexation Client 2026'!$D$68)-1)*'Indexation Client 2026'!$F$68)</f>
        <v>-0.28</v>
      </c>
      <c r="O68" s="58">
        <f>((('indice Carburant'!I6/'Indexation Client 2026'!$D$68)-1)*'Indexation Client 2026'!$F$68)</f>
        <v>-0.28</v>
      </c>
      <c r="P68" s="58">
        <f>((('indice Carburant'!J6/'Indexation Client 2026'!$D$68)-1)*'Indexation Client 2026'!$F$68)</f>
        <v>-0.28</v>
      </c>
      <c r="Q68" s="58">
        <f>((('indice Carburant'!K6/'Indexation Client 2026'!$D$68)-1)*'Indexation Client 2026'!$F$68)</f>
        <v>-0.28</v>
      </c>
      <c r="R68" s="58">
        <f>((('indice Carburant'!L6/'Indexation Client 2026'!$D$68)-1)*'Indexation Client 2026'!$F$68)</f>
        <v>-0.28</v>
      </c>
      <c r="S68" s="58">
        <f>((('indice Carburant'!M6/'Indexation Client 2026'!$D$68)-1)*'Indexation Client 2026'!$F$68)</f>
        <v>-0.28</v>
      </c>
      <c r="T68" s="58">
        <f>((('indice Carburant'!N6/'Indexation Client 2026'!$D$68)-1)*'Indexation Client 2026'!$F$68)</f>
        <v>-0.28</v>
      </c>
      <c r="U68" s="58">
        <f>((('indice Carburant'!O6/'Indexation Client 2026'!$D$68)-1)*'Indexation Client 2026'!$F$68)</f>
        <v>-0.28</v>
      </c>
    </row>
    <row r="69" ht="14.25" customHeight="1">
      <c r="A69" s="59" t="s">
        <v>121</v>
      </c>
      <c r="B69" s="53" t="s">
        <v>124</v>
      </c>
      <c r="C69" s="38" t="s">
        <v>123</v>
      </c>
      <c r="D69" s="53">
        <v>181.52</v>
      </c>
      <c r="E69" s="53" t="s">
        <v>35</v>
      </c>
      <c r="F69" s="58">
        <v>0.28</v>
      </c>
      <c r="G69" s="53" t="s">
        <v>36</v>
      </c>
      <c r="H69" s="53"/>
      <c r="I69" s="56"/>
      <c r="J69" s="57">
        <f>((('indice Carburant'!D6/'Indexation Client 2026'!$D$68)-1)*'Indexation Client 2026'!$F$68)</f>
        <v>0</v>
      </c>
      <c r="K69" s="57">
        <f>((('indice Carburant'!E6/'Indexation Client 2026'!$D$68)-1)*'Indexation Client 2026'!$F$68)</f>
        <v>0.009471132658</v>
      </c>
      <c r="L69" s="57">
        <f>((('indice Carburant'!F6/'Indexation Client 2026'!$D$68)-1)*'Indexation Client 2026'!$F$68)</f>
        <v>0.01823270163</v>
      </c>
      <c r="M69" s="58">
        <f>((('indice Carburant'!G6/'Indexation Client 2026'!$D$68)-1)*'Indexation Client 2026'!$F$68)</f>
        <v>0.1026707801</v>
      </c>
      <c r="N69" s="58">
        <f>((('indice Carburant'!H6/'Indexation Client 2026'!$D$68)-1)*'Indexation Client 2026'!$F$68)</f>
        <v>-0.28</v>
      </c>
      <c r="O69" s="58">
        <f>((('indice Carburant'!I6/'Indexation Client 2026'!$D$68)-1)*'Indexation Client 2026'!$F$68)</f>
        <v>-0.28</v>
      </c>
      <c r="P69" s="58">
        <f>((('indice Carburant'!J6/'Indexation Client 2026'!$D$68)-1)*'Indexation Client 2026'!$F$68)</f>
        <v>-0.28</v>
      </c>
      <c r="Q69" s="58">
        <f>((('indice Carburant'!K6/'Indexation Client 2026'!$D$68)-1)*'Indexation Client 2026'!$F$68)</f>
        <v>-0.28</v>
      </c>
      <c r="R69" s="58">
        <f>((('indice Carburant'!L6/'Indexation Client 2026'!$D$68)-1)*'Indexation Client 2026'!$F$68)</f>
        <v>-0.28</v>
      </c>
      <c r="S69" s="58">
        <f>((('indice Carburant'!M6/'Indexation Client 2026'!$D$68)-1)*'Indexation Client 2026'!$F$68)</f>
        <v>-0.28</v>
      </c>
      <c r="T69" s="58">
        <f>((('indice Carburant'!N6/'Indexation Client 2026'!$D$68)-1)*'Indexation Client 2026'!$F$68)</f>
        <v>-0.28</v>
      </c>
      <c r="U69" s="58">
        <f>((('indice Carburant'!O6/'Indexation Client 2026'!$D$68)-1)*'Indexation Client 2026'!$F$68)</f>
        <v>-0.28</v>
      </c>
    </row>
    <row r="70" ht="14.25" customHeight="1">
      <c r="A70" s="59" t="s">
        <v>125</v>
      </c>
      <c r="B70" s="71" t="s">
        <v>126</v>
      </c>
      <c r="C70" s="38" t="s">
        <v>127</v>
      </c>
      <c r="D70" s="53">
        <v>142.37</v>
      </c>
      <c r="E70" s="53" t="s">
        <v>81</v>
      </c>
      <c r="F70" s="58">
        <v>0.257</v>
      </c>
      <c r="G70" s="53" t="s">
        <v>36</v>
      </c>
      <c r="H70" s="53"/>
      <c r="I70" s="56"/>
      <c r="J70" s="57">
        <f>((('indice Carburant'!D13/'Indexation Client 2026'!$D$70)-1)*'Indexation Client 2026'!$F$70)</f>
        <v>0.03440626536</v>
      </c>
      <c r="K70" s="57">
        <f>((('indice Carburant'!E13/'Indexation Client 2026'!$D$70)-1)*'Indexation Client 2026'!$F$70)</f>
        <v>0.03112088221</v>
      </c>
      <c r="L70" s="57">
        <f>((('indice Carburant'!F13/'Indexation Client 2026'!$D$70)-1)*'Indexation Client 2026'!$F$70)</f>
        <v>0.06374004355</v>
      </c>
      <c r="M70" s="58">
        <f>((('indice Carburant'!G13/'Indexation Client 2026'!$D$70)-1)*'Indexation Client 2026'!$F$70)</f>
        <v>-0.257</v>
      </c>
      <c r="N70" s="58">
        <f>((('indice Carburant'!H13/'Indexation Client 2026'!$D$70)-1)*'Indexation Client 2026'!$F$70)</f>
        <v>-0.257</v>
      </c>
      <c r="O70" s="58">
        <f>((('indice Carburant'!I13/'Indexation Client 2026'!$D$70)-1)*'Indexation Client 2026'!$F$70)</f>
        <v>-0.257</v>
      </c>
      <c r="P70" s="58">
        <f>((('indice Carburant'!J13/'Indexation Client 2026'!$D$70)-1)*'Indexation Client 2026'!$F$70)</f>
        <v>-0.257</v>
      </c>
      <c r="Q70" s="58">
        <f>((('indice Carburant'!K13/'Indexation Client 2026'!$D$70)-1)*'Indexation Client 2026'!$F$70)</f>
        <v>-0.257</v>
      </c>
      <c r="R70" s="58">
        <f>((('indice Carburant'!L13/'Indexation Client 2026'!$D$70)-1)*'Indexation Client 2026'!$F$70)</f>
        <v>-0.257</v>
      </c>
      <c r="S70" s="58">
        <f>((('indice Carburant'!M13/'Indexation Client 2026'!$D$70)-1)*'Indexation Client 2026'!$F$70)</f>
        <v>-0.257</v>
      </c>
      <c r="T70" s="58">
        <f>((('indice Carburant'!N13/'Indexation Client 2026'!$D$70)-1)*'Indexation Client 2026'!$F$70)</f>
        <v>-0.257</v>
      </c>
      <c r="U70" s="58">
        <f>((('indice Carburant'!O13/'Indexation Client 2026'!$D$70)-1)*'Indexation Client 2026'!$F$70)</f>
        <v>-0.257</v>
      </c>
    </row>
    <row r="71" ht="14.25" customHeight="1">
      <c r="A71" s="59" t="s">
        <v>128</v>
      </c>
      <c r="B71" s="53" t="s">
        <v>129</v>
      </c>
      <c r="C71" s="38" t="s">
        <v>130</v>
      </c>
      <c r="D71" s="53">
        <v>1.1549</v>
      </c>
      <c r="E71" s="76" t="s">
        <v>131</v>
      </c>
      <c r="F71" s="58">
        <v>0.28</v>
      </c>
      <c r="G71" s="53" t="s">
        <v>36</v>
      </c>
      <c r="H71" s="53"/>
      <c r="I71" s="56"/>
      <c r="J71" s="57">
        <v>0.0275902675556325</v>
      </c>
      <c r="K71" s="57">
        <f>((('indice Carburant'!E8/'Indexation Client 2026'!$D$71)-1)*'Indexation Client 2026'!$F$71)</f>
        <v>0.04046410945</v>
      </c>
      <c r="L71" s="57">
        <f>((('indice Carburant'!F8/'Indexation Client 2026'!$D$71)-1)*'Indexation Client 2026'!$F$71)</f>
        <v>0.04844055762</v>
      </c>
      <c r="M71" s="58">
        <f>((('indice Carburant'!G8/'Indexation Client 2026'!$D$71)-1)*'Indexation Client 2026'!$F$71)</f>
        <v>0.1460974976</v>
      </c>
      <c r="N71" s="58">
        <f>((('indice Carburant'!H8/'Indexation Client 2026'!$D$71)-1)*'Indexation Client 2026'!$F$71)</f>
        <v>-0.28</v>
      </c>
      <c r="O71" s="58">
        <f>((('indice Carburant'!I8/'Indexation Client 2026'!$D$71)-1)*'Indexation Client 2026'!$F$71)</f>
        <v>-0.28</v>
      </c>
      <c r="P71" s="58">
        <f>((('indice Carburant'!J8/'Indexation Client 2026'!$D$71)-1)*'Indexation Client 2026'!$F$71)</f>
        <v>-0.28</v>
      </c>
      <c r="Q71" s="58">
        <f>((('indice Carburant'!K8/'Indexation Client 2026'!$D$71)-1)*'Indexation Client 2026'!$F$71)</f>
        <v>-0.28</v>
      </c>
      <c r="R71" s="58">
        <f>((('indice Carburant'!L8/'Indexation Client 2026'!$D$71)-1)*'Indexation Client 2026'!$F$71)</f>
        <v>-0.28</v>
      </c>
      <c r="S71" s="58">
        <f>((('indice Carburant'!M8/'Indexation Client 2026'!$D$71)-1)*'Indexation Client 2026'!$F$71)</f>
        <v>-0.28</v>
      </c>
      <c r="T71" s="58">
        <f>((('indice Carburant'!N8/'Indexation Client 2026'!$D$71)-1)*'Indexation Client 2026'!$F$71)</f>
        <v>-0.28</v>
      </c>
      <c r="U71" s="58">
        <f>((('indice Carburant'!O8/'Indexation Client 2026'!$D$71)-1)*'Indexation Client 2026'!$F$71)</f>
        <v>-0.28</v>
      </c>
    </row>
    <row r="72" ht="14.25" customHeight="1">
      <c r="A72" s="59" t="s">
        <v>132</v>
      </c>
      <c r="B72" s="53" t="s">
        <v>133</v>
      </c>
      <c r="C72" s="38" t="s">
        <v>134</v>
      </c>
      <c r="D72" s="53">
        <v>182.05</v>
      </c>
      <c r="E72" s="53" t="s">
        <v>35</v>
      </c>
      <c r="F72" s="58">
        <v>0.265</v>
      </c>
      <c r="G72" s="53" t="s">
        <v>36</v>
      </c>
      <c r="H72" s="53"/>
      <c r="I72" s="56"/>
      <c r="J72" s="57">
        <v>0.053408076009501156</v>
      </c>
      <c r="K72" s="57">
        <f>((('indice Carburant'!E6/'Indexation Client 2026'!$D$72)-1)*'Indexation Client 2026'!$F$72)</f>
        <v>0.008166163142</v>
      </c>
      <c r="L72" s="57">
        <f>((('indice Carburant'!F6/'Indexation Client 2026'!$D$72)-1)*'Indexation Client 2026'!$F$72)</f>
        <v>0.01643422137</v>
      </c>
      <c r="M72" s="58">
        <f>((('indice Carburant'!G6/'Indexation Client 2026'!$D$72)-1)*'Indexation Client 2026'!$F$72)</f>
        <v>0.09611617687</v>
      </c>
      <c r="N72" s="58">
        <f>((('indice Carburant'!H6/'Indexation Client 2026'!$D$72)-1)*'Indexation Client 2026'!$F$72)</f>
        <v>-0.265</v>
      </c>
      <c r="O72" s="58">
        <f>((('indice Carburant'!I6/'Indexation Client 2026'!$D$72)-1)*'Indexation Client 2026'!$F$72)</f>
        <v>-0.265</v>
      </c>
      <c r="P72" s="58">
        <f>((('indice Carburant'!J6/'Indexation Client 2026'!$D$72)-1)*'Indexation Client 2026'!$F$72)</f>
        <v>-0.265</v>
      </c>
      <c r="Q72" s="58">
        <f>((('indice Carburant'!K6/'Indexation Client 2026'!$D$72)-1)*'Indexation Client 2026'!$F$72)</f>
        <v>-0.265</v>
      </c>
      <c r="R72" s="58">
        <f>((('indice Carburant'!L6/'Indexation Client 2026'!$D$72)-1)*'Indexation Client 2026'!$F$72)</f>
        <v>-0.265</v>
      </c>
      <c r="S72" s="58">
        <f>((('indice Carburant'!M6/'Indexation Client 2026'!$D$72)-1)*'Indexation Client 2026'!$F$72)</f>
        <v>-0.265</v>
      </c>
      <c r="T72" s="58">
        <f>((('indice Carburant'!N6/'Indexation Client 2026'!$D$72)-1)*'Indexation Client 2026'!$F$72)</f>
        <v>-0.265</v>
      </c>
      <c r="U72" s="58">
        <f>((('indice Carburant'!O6/'Indexation Client 2026'!$D$72)-1)*'Indexation Client 2026'!$F$72)</f>
        <v>-0.265</v>
      </c>
    </row>
    <row r="73" ht="14.25" customHeight="1">
      <c r="A73" s="59" t="s">
        <v>132</v>
      </c>
      <c r="B73" s="53" t="s">
        <v>135</v>
      </c>
      <c r="C73" s="38" t="s">
        <v>134</v>
      </c>
      <c r="D73" s="53">
        <v>182.05</v>
      </c>
      <c r="E73" s="53" t="s">
        <v>35</v>
      </c>
      <c r="F73" s="58">
        <v>0.265</v>
      </c>
      <c r="G73" s="53" t="s">
        <v>36</v>
      </c>
      <c r="H73" s="53"/>
      <c r="I73" s="56"/>
      <c r="J73" s="57">
        <v>0.0991311921611323</v>
      </c>
      <c r="K73" s="57">
        <f>((('indice Carburant'!E6/'Indexation Client 2026'!$D$73)-1)*'Indexation Client 2026'!$F$73)</f>
        <v>0.008166163142</v>
      </c>
      <c r="L73" s="57">
        <f>((('indice Carburant'!F6/'Indexation Client 2026'!$D$73)-1)*'Indexation Client 2026'!$F$73)</f>
        <v>0.01643422137</v>
      </c>
      <c r="M73" s="58">
        <f>((('indice Carburant'!G6/'Indexation Client 2026'!$D$73)-1)*'Indexation Client 2026'!$F$73)</f>
        <v>0.09611617687</v>
      </c>
      <c r="N73" s="58">
        <f>((('indice Carburant'!H6/'Indexation Client 2026'!$D$73)-1)*'Indexation Client 2026'!$F$73)</f>
        <v>-0.265</v>
      </c>
      <c r="O73" s="58">
        <f>((('indice Carburant'!I6/'Indexation Client 2026'!$D$73)-1)*'Indexation Client 2026'!$F$73)</f>
        <v>-0.265</v>
      </c>
      <c r="P73" s="58">
        <f>((('indice Carburant'!J6/'Indexation Client 2026'!$D$73)-1)*'Indexation Client 2026'!$F$73)</f>
        <v>-0.265</v>
      </c>
      <c r="Q73" s="58">
        <f>((('indice Carburant'!K6/'Indexation Client 2026'!$D$73)-1)*'Indexation Client 2026'!$F$73)</f>
        <v>-0.265</v>
      </c>
      <c r="R73" s="58">
        <f>((('indice Carburant'!L6/'Indexation Client 2026'!$D$73)-1)*'Indexation Client 2026'!$F$73)</f>
        <v>-0.265</v>
      </c>
      <c r="S73" s="58">
        <f>((('indice Carburant'!M6/'Indexation Client 2026'!$D$73)-1)*'Indexation Client 2026'!$F$73)</f>
        <v>-0.265</v>
      </c>
      <c r="T73" s="58">
        <f>((('indice Carburant'!N6/'Indexation Client 2026'!$D$73)-1)*'Indexation Client 2026'!$F$73)</f>
        <v>-0.265</v>
      </c>
      <c r="U73" s="58">
        <f>((('indice Carburant'!O6/'Indexation Client 2026'!$D$73)-1)*'Indexation Client 2026'!$F$73)</f>
        <v>-0.265</v>
      </c>
    </row>
    <row r="74" ht="14.25" customHeight="1">
      <c r="A74" s="59" t="s">
        <v>132</v>
      </c>
      <c r="B74" s="53" t="s">
        <v>136</v>
      </c>
      <c r="C74" s="38" t="s">
        <v>134</v>
      </c>
      <c r="D74" s="53">
        <v>182.05</v>
      </c>
      <c r="E74" s="53" t="s">
        <v>35</v>
      </c>
      <c r="F74" s="58">
        <v>0.265</v>
      </c>
      <c r="G74" s="53" t="s">
        <v>36</v>
      </c>
      <c r="H74" s="53"/>
      <c r="I74" s="56"/>
      <c r="J74" s="57">
        <v>0.09897852028639616</v>
      </c>
      <c r="K74" s="57">
        <f>((('indice Carburant'!E6/'Indexation Client 2026'!$D$74)-1)*'Indexation Client 2026'!$F$74)</f>
        <v>0.008166163142</v>
      </c>
      <c r="L74" s="57">
        <f>((('indice Carburant'!F6/'Indexation Client 2026'!$D$74)-1)*'Indexation Client 2026'!$F$74)</f>
        <v>0.01643422137</v>
      </c>
      <c r="M74" s="58">
        <f>((('indice Carburant'!G6/'Indexation Client 2026'!$D$74)-1)*'Indexation Client 2026'!$F$74)</f>
        <v>0.09611617687</v>
      </c>
      <c r="N74" s="58">
        <f>((('indice Carburant'!H6/'Indexation Client 2026'!$D$74)-1)*'Indexation Client 2026'!$F$74)</f>
        <v>-0.265</v>
      </c>
      <c r="O74" s="58">
        <f>((('indice Carburant'!I6/'Indexation Client 2026'!$D$74)-1)*'Indexation Client 2026'!$F$74)</f>
        <v>-0.265</v>
      </c>
      <c r="P74" s="58">
        <f>((('indice Carburant'!J6/'Indexation Client 2026'!$D$74)-1)*'Indexation Client 2026'!$F$74)</f>
        <v>-0.265</v>
      </c>
      <c r="Q74" s="58">
        <f>((('indice Carburant'!K6/'Indexation Client 2026'!$D$74)-1)*'Indexation Client 2026'!$F$74)</f>
        <v>-0.265</v>
      </c>
      <c r="R74" s="58">
        <f>((('indice Carburant'!L6/'Indexation Client 2026'!$D$74)-1)*'Indexation Client 2026'!$F$74)</f>
        <v>-0.265</v>
      </c>
      <c r="S74" s="58">
        <f>((('indice Carburant'!M6/'Indexation Client 2026'!$D$74)-1)*'Indexation Client 2026'!$F$74)</f>
        <v>-0.265</v>
      </c>
      <c r="T74" s="58">
        <f>((('indice Carburant'!N6/'Indexation Client 2026'!$D$74)-1)*'Indexation Client 2026'!$F$74)</f>
        <v>-0.265</v>
      </c>
      <c r="U74" s="58">
        <f>((('indice Carburant'!O6/'Indexation Client 2026'!$D$74)-1)*'Indexation Client 2026'!$F$74)</f>
        <v>-0.265</v>
      </c>
    </row>
    <row r="75" ht="14.25" customHeight="1">
      <c r="A75" s="59" t="s">
        <v>132</v>
      </c>
      <c r="B75" s="53" t="s">
        <v>137</v>
      </c>
      <c r="C75" s="38" t="s">
        <v>134</v>
      </c>
      <c r="D75" s="53">
        <v>187.15</v>
      </c>
      <c r="E75" s="53" t="s">
        <v>138</v>
      </c>
      <c r="F75" s="58">
        <v>0.17</v>
      </c>
      <c r="G75" s="53" t="s">
        <v>36</v>
      </c>
      <c r="H75" s="53"/>
      <c r="I75" s="56"/>
      <c r="J75" s="57">
        <v>0.0690486147412441</v>
      </c>
      <c r="K75" s="57">
        <f>((('indice Carburant'!D6/'Indexation Client 2026'!$D$75)-1)*'Indexation Client 2026'!$F$75)</f>
        <v>-0.005114079615</v>
      </c>
      <c r="L75" s="57">
        <f>((('indice Carburant'!E6/'Indexation Client 2026'!$D$75)-1)*'Indexation Client 2026'!$F$75)</f>
        <v>0.0004632647609</v>
      </c>
      <c r="M75" s="58">
        <f>((('indice Carburant'!F6/'Indexation Client 2026'!$D$75)-1)*'Indexation Client 2026'!$F$75)</f>
        <v>0.00562276249</v>
      </c>
      <c r="N75" s="58">
        <f>((('indice Carburant'!G6/'Indexation Client 2026'!$D$75)-1)*'Indexation Client 2026'!$F$75)</f>
        <v>0.05534651349</v>
      </c>
      <c r="O75" s="58">
        <f>((('indice Carburant'!H6/'Indexation Client 2026'!$D$75)-1)*'Indexation Client 2026'!$F$75)</f>
        <v>-0.17</v>
      </c>
      <c r="P75" s="58">
        <f>((('indice Carburant'!I6/'Indexation Client 2026'!$D$75)-1)*'Indexation Client 2026'!$F$75)</f>
        <v>-0.17</v>
      </c>
      <c r="Q75" s="58">
        <f>((('indice Carburant'!J6/'Indexation Client 2026'!$D$75)-1)*'Indexation Client 2026'!$F$75)</f>
        <v>-0.17</v>
      </c>
      <c r="R75" s="58">
        <f>((('indice Carburant'!K6/'Indexation Client 2026'!$D$75)-1)*'Indexation Client 2026'!$F$75)</f>
        <v>-0.17</v>
      </c>
      <c r="S75" s="58">
        <f>((('indice Carburant'!L6/'Indexation Client 2026'!$D$75)-1)*'Indexation Client 2026'!$F$75)</f>
        <v>-0.17</v>
      </c>
      <c r="T75" s="58">
        <f>((('indice Carburant'!M6/'Indexation Client 2026'!$D$75)-1)*'Indexation Client 2026'!$F$75)</f>
        <v>-0.17</v>
      </c>
      <c r="U75" s="58">
        <f>((('indice Carburant'!N6/'Indexation Client 2026'!$D$75)-1)*'Indexation Client 2026'!$F$75)</f>
        <v>-0.17</v>
      </c>
    </row>
    <row r="76" ht="14.25" customHeight="1">
      <c r="A76" s="59" t="s">
        <v>132</v>
      </c>
      <c r="B76" s="53" t="s">
        <v>139</v>
      </c>
      <c r="C76" s="38" t="s">
        <v>134</v>
      </c>
      <c r="D76" s="53">
        <v>187.15</v>
      </c>
      <c r="E76" s="53" t="s">
        <v>138</v>
      </c>
      <c r="F76" s="58">
        <v>0.17</v>
      </c>
      <c r="G76" s="53" t="s">
        <v>36</v>
      </c>
      <c r="H76" s="53"/>
      <c r="I76" s="56"/>
      <c r="J76" s="57">
        <v>0.0690486147412441</v>
      </c>
      <c r="K76" s="57">
        <f>((('indice Carburant'!D6/'Indexation Client 2026'!$D$76)-1)*'Indexation Client 2026'!$F$76)</f>
        <v>-0.005114079615</v>
      </c>
      <c r="L76" s="57">
        <f>((('indice Carburant'!E6/'Indexation Client 2026'!$D$76)-1)*'Indexation Client 2026'!$F$76)</f>
        <v>0.0004632647609</v>
      </c>
      <c r="M76" s="58">
        <f>((('indice Carburant'!F6/'Indexation Client 2026'!$D$76)-1)*'Indexation Client 2026'!$F$76)</f>
        <v>0.00562276249</v>
      </c>
      <c r="N76" s="58">
        <f>((('indice Carburant'!G6/'Indexation Client 2026'!$D$76)-1)*'Indexation Client 2026'!$F$76)</f>
        <v>0.05534651349</v>
      </c>
      <c r="O76" s="58">
        <f>((('indice Carburant'!H6/'Indexation Client 2026'!$D$76)-1)*'Indexation Client 2026'!$F$76)</f>
        <v>-0.17</v>
      </c>
      <c r="P76" s="58">
        <f>((('indice Carburant'!I6/'Indexation Client 2026'!$D$76)-1)*'Indexation Client 2026'!$F$76)</f>
        <v>-0.17</v>
      </c>
      <c r="Q76" s="58">
        <f>((('indice Carburant'!J6/'Indexation Client 2026'!$D$76)-1)*'Indexation Client 2026'!$F$76)</f>
        <v>-0.17</v>
      </c>
      <c r="R76" s="58">
        <f>((('indice Carburant'!K6/'Indexation Client 2026'!$D$76)-1)*'Indexation Client 2026'!$F$76)</f>
        <v>-0.17</v>
      </c>
      <c r="S76" s="58">
        <f>((('indice Carburant'!L6/'Indexation Client 2026'!$D$76)-1)*'Indexation Client 2026'!$F$76)</f>
        <v>-0.17</v>
      </c>
      <c r="T76" s="58">
        <f>((('indice Carburant'!M6/'Indexation Client 2026'!$D$76)-1)*'Indexation Client 2026'!$F$76)</f>
        <v>-0.17</v>
      </c>
      <c r="U76" s="58">
        <f>((('indice Carburant'!N6/'Indexation Client 2026'!$D$76)-1)*'Indexation Client 2026'!$F$76)</f>
        <v>-0.17</v>
      </c>
    </row>
    <row r="77" ht="14.25" customHeight="1">
      <c r="A77" s="59" t="s">
        <v>132</v>
      </c>
      <c r="B77" s="53" t="s">
        <v>140</v>
      </c>
      <c r="C77" s="38" t="s">
        <v>134</v>
      </c>
      <c r="D77" s="53">
        <v>187.15</v>
      </c>
      <c r="E77" s="53" t="s">
        <v>138</v>
      </c>
      <c r="F77" s="58">
        <v>0.17</v>
      </c>
      <c r="G77" s="53" t="s">
        <v>36</v>
      </c>
      <c r="H77" s="53"/>
      <c r="I77" s="56"/>
      <c r="J77" s="57">
        <v>0.0690486147412441</v>
      </c>
      <c r="K77" s="57">
        <f>((('indice Carburant'!D6/'Indexation Client 2026'!$D$77)-1)*'Indexation Client 2026'!$F$77)</f>
        <v>-0.005114079615</v>
      </c>
      <c r="L77" s="57">
        <f>((('indice Carburant'!E6/'Indexation Client 2026'!$D$77)-1)*'Indexation Client 2026'!$F$77)</f>
        <v>0.0004632647609</v>
      </c>
      <c r="M77" s="58">
        <f>((('indice Carburant'!F6/'Indexation Client 2026'!$D$77)-1)*'Indexation Client 2026'!$F$77)</f>
        <v>0.00562276249</v>
      </c>
      <c r="N77" s="58">
        <f>((('indice Carburant'!G6/'Indexation Client 2026'!$D$77)-1)*'Indexation Client 2026'!$F$77)</f>
        <v>0.05534651349</v>
      </c>
      <c r="O77" s="58">
        <f>((('indice Carburant'!H6/'Indexation Client 2026'!$D$77)-1)*'Indexation Client 2026'!$F$77)</f>
        <v>-0.17</v>
      </c>
      <c r="P77" s="58">
        <f>((('indice Carburant'!I6/'Indexation Client 2026'!$D$77)-1)*'Indexation Client 2026'!$F$77)</f>
        <v>-0.17</v>
      </c>
      <c r="Q77" s="58">
        <f>((('indice Carburant'!J6/'Indexation Client 2026'!$D$77)-1)*'Indexation Client 2026'!$F$77)</f>
        <v>-0.17</v>
      </c>
      <c r="R77" s="58">
        <f>((('indice Carburant'!K6/'Indexation Client 2026'!$D$77)-1)*'Indexation Client 2026'!$F$77)</f>
        <v>-0.17</v>
      </c>
      <c r="S77" s="58">
        <f>((('indice Carburant'!L6/'Indexation Client 2026'!$D$77)-1)*'Indexation Client 2026'!$F$77)</f>
        <v>-0.17</v>
      </c>
      <c r="T77" s="58">
        <f>((('indice Carburant'!M6/'Indexation Client 2026'!$D$77)-1)*'Indexation Client 2026'!$F$77)</f>
        <v>-0.17</v>
      </c>
      <c r="U77" s="58">
        <f>((('indice Carburant'!N6/'Indexation Client 2026'!$D$77)-1)*'Indexation Client 2026'!$F$77)</f>
        <v>-0.17</v>
      </c>
    </row>
    <row r="78" ht="14.25" customHeight="1">
      <c r="A78" s="59" t="s">
        <v>132</v>
      </c>
      <c r="B78" s="53">
        <v>917.0</v>
      </c>
      <c r="C78" s="38" t="s">
        <v>134</v>
      </c>
      <c r="D78" s="53">
        <v>187.15</v>
      </c>
      <c r="E78" s="53" t="s">
        <v>35</v>
      </c>
      <c r="F78" s="58">
        <v>0.221</v>
      </c>
      <c r="G78" s="53" t="s">
        <v>36</v>
      </c>
      <c r="H78" s="53"/>
      <c r="I78" s="56"/>
      <c r="J78" s="57">
        <f>((('indice Carburant'!D6/'Indexation Client 2026'!$D$78)-1)*'Indexation Client 2026'!$F$78)</f>
        <v>-0.0066483035</v>
      </c>
      <c r="K78" s="57">
        <f>((('indice Carburant'!E6/'Indexation Client 2026'!$D$78)-1)*'Indexation Client 2026'!$F$78)</f>
        <v>0.0006022441892</v>
      </c>
      <c r="L78" s="57">
        <f>((('indice Carburant'!F6/'Indexation Client 2026'!$D$78)-1)*'Indexation Client 2026'!$F$78)</f>
        <v>0.007309591237</v>
      </c>
      <c r="M78" s="58">
        <f>((('indice Carburant'!G6/'Indexation Client 2026'!$D$78)-1)*'Indexation Client 2026'!$F$78)</f>
        <v>0.07195046754</v>
      </c>
      <c r="N78" s="58">
        <f>((('indice Carburant'!H6/'Indexation Client 2026'!$D$78)-1)*'Indexation Client 2026'!$F$78)</f>
        <v>-0.221</v>
      </c>
      <c r="O78" s="58">
        <f>((('indice Carburant'!I6/'Indexation Client 2026'!$D$78)-1)*'Indexation Client 2026'!$F$78)</f>
        <v>-0.221</v>
      </c>
      <c r="P78" s="58">
        <f>((('indice Carburant'!J6/'Indexation Client 2026'!$D$78)-1)*'Indexation Client 2026'!$F$78)</f>
        <v>-0.221</v>
      </c>
      <c r="Q78" s="58">
        <f>((('indice Carburant'!K6/'Indexation Client 2026'!$D$78)-1)*'Indexation Client 2026'!$F$78)</f>
        <v>-0.221</v>
      </c>
      <c r="R78" s="58">
        <f>((('indice Carburant'!L6/'Indexation Client 2026'!$D$78)-1)*'Indexation Client 2026'!$F$78)</f>
        <v>-0.221</v>
      </c>
      <c r="S78" s="58">
        <f>((('indice Carburant'!M6/'Indexation Client 2026'!$D$78)-1)*'Indexation Client 2026'!$F$78)</f>
        <v>-0.221</v>
      </c>
      <c r="T78" s="58">
        <f>((('indice Carburant'!N6/'Indexation Client 2026'!$D$78)-1)*'Indexation Client 2026'!$F$78)</f>
        <v>-0.221</v>
      </c>
      <c r="U78" s="58">
        <f>((('indice Carburant'!O6/'Indexation Client 2026'!$D$78)-1)*'Indexation Client 2026'!$F$78)</f>
        <v>-0.221</v>
      </c>
    </row>
    <row r="79" ht="14.25" customHeight="1">
      <c r="A79" s="59" t="s">
        <v>132</v>
      </c>
      <c r="B79" s="53" t="s">
        <v>141</v>
      </c>
      <c r="C79" s="38" t="s">
        <v>134</v>
      </c>
      <c r="D79" s="53">
        <v>183.25</v>
      </c>
      <c r="E79" s="53" t="s">
        <v>35</v>
      </c>
      <c r="F79" s="58">
        <v>0.224</v>
      </c>
      <c r="G79" s="53" t="s">
        <v>36</v>
      </c>
      <c r="H79" s="53"/>
      <c r="I79" s="56"/>
      <c r="J79" s="57">
        <f>((('indice Carburant'!D6/'Indexation Client 2026'!$D$79)-1)*'Indexation Client 2026'!$F$79)</f>
        <v>-0.002114706685</v>
      </c>
      <c r="K79" s="57">
        <f>((('indice Carburant'!E6/'Indexation Client 2026'!$D$79)-1)*'Indexation Client 2026'!$F$79)</f>
        <v>0.005390668486</v>
      </c>
      <c r="L79" s="57">
        <f>((('indice Carburant'!F6/'Indexation Client 2026'!$D$79)-1)*'Indexation Client 2026'!$F$79)</f>
        <v>0.01233375171</v>
      </c>
      <c r="M79" s="58">
        <f>((('indice Carburant'!G6/'Indexation Client 2026'!$D$79)-1)*'Indexation Client 2026'!$F$79)</f>
        <v>0.07924649386</v>
      </c>
      <c r="N79" s="58">
        <f>((('indice Carburant'!H6/'Indexation Client 2026'!$D$79)-1)*'Indexation Client 2026'!$F$79)</f>
        <v>-0.224</v>
      </c>
      <c r="O79" s="58">
        <f>((('indice Carburant'!I6/'Indexation Client 2026'!$D$79)-1)*'Indexation Client 2026'!$F$79)</f>
        <v>-0.224</v>
      </c>
      <c r="P79" s="58">
        <f>((('indice Carburant'!J6/'Indexation Client 2026'!$D$79)-1)*'Indexation Client 2026'!$F$79)</f>
        <v>-0.224</v>
      </c>
      <c r="Q79" s="58">
        <f>((('indice Carburant'!K6/'Indexation Client 2026'!$D$79)-1)*'Indexation Client 2026'!$F$79)</f>
        <v>-0.224</v>
      </c>
      <c r="R79" s="58">
        <f>((('indice Carburant'!L6/'Indexation Client 2026'!$D$79)-1)*'Indexation Client 2026'!$F$79)</f>
        <v>-0.224</v>
      </c>
      <c r="S79" s="58">
        <f>((('indice Carburant'!M6/'Indexation Client 2026'!$D$79)-1)*'Indexation Client 2026'!$F$79)</f>
        <v>-0.224</v>
      </c>
      <c r="T79" s="58">
        <f>((('indice Carburant'!N6/'Indexation Client 2026'!$D$79)-1)*'Indexation Client 2026'!$F$79)</f>
        <v>-0.224</v>
      </c>
      <c r="U79" s="58">
        <f>((('indice Carburant'!O6/'Indexation Client 2026'!$D$79)-1)*'Indexation Client 2026'!$F$79)</f>
        <v>-0.224</v>
      </c>
    </row>
    <row r="80" ht="14.25" customHeight="1">
      <c r="A80" s="59" t="s">
        <v>142</v>
      </c>
      <c r="B80" s="53" t="s">
        <v>143</v>
      </c>
      <c r="C80" s="38" t="s">
        <v>144</v>
      </c>
      <c r="D80" s="53">
        <v>182.05</v>
      </c>
      <c r="E80" s="53" t="s">
        <v>35</v>
      </c>
      <c r="F80" s="58">
        <v>0.265</v>
      </c>
      <c r="G80" s="53" t="s">
        <v>36</v>
      </c>
      <c r="H80" s="53"/>
      <c r="I80" s="56"/>
      <c r="J80" s="57">
        <v>0.01647472969575052</v>
      </c>
      <c r="K80" s="57">
        <f>((('indice Carburant'!E6/'Indexation Client 2026'!$D$80)-1)*'Indexation Client 2026'!$F$80)</f>
        <v>0.008166163142</v>
      </c>
      <c r="L80" s="57">
        <f>((('indice Carburant'!F6/'Indexation Client 2026'!$D$80)-1)*'Indexation Client 2026'!$F$80)</f>
        <v>0.01643422137</v>
      </c>
      <c r="M80" s="58">
        <f>((('indice Carburant'!G6/'Indexation Client 2026'!$D$80)-1)*'Indexation Client 2026'!$F$80)</f>
        <v>0.09611617687</v>
      </c>
      <c r="N80" s="58">
        <f>((('indice Carburant'!H6/'Indexation Client 2026'!$D$80)-1)*'Indexation Client 2026'!$F$80)</f>
        <v>-0.265</v>
      </c>
      <c r="O80" s="58">
        <f>((('indice Carburant'!I6/'Indexation Client 2026'!$D$80)-1)*'Indexation Client 2026'!$F$80)</f>
        <v>-0.265</v>
      </c>
      <c r="P80" s="58">
        <f>((('indice Carburant'!J6/'Indexation Client 2026'!$D$80)-1)*'Indexation Client 2026'!$F$80)</f>
        <v>-0.265</v>
      </c>
      <c r="Q80" s="58">
        <f>((('indice Carburant'!K6/'Indexation Client 2026'!$D$80)-1)*'Indexation Client 2026'!$F$80)</f>
        <v>-0.265</v>
      </c>
      <c r="R80" s="58">
        <f>((('indice Carburant'!L6/'Indexation Client 2026'!$D$80)-1)*'Indexation Client 2026'!$F$80)</f>
        <v>-0.265</v>
      </c>
      <c r="S80" s="58">
        <f>((('indice Carburant'!M6/'Indexation Client 2026'!$D$80)-1)*'Indexation Client 2026'!$F$80)</f>
        <v>-0.265</v>
      </c>
      <c r="T80" s="58">
        <f>((('indice Carburant'!N6/'Indexation Client 2026'!$D$80)-1)*'Indexation Client 2026'!$F$80)</f>
        <v>-0.265</v>
      </c>
      <c r="U80" s="58">
        <f>((('indice Carburant'!O6/'Indexation Client 2026'!$D$80)-1)*'Indexation Client 2026'!$F$80)</f>
        <v>-0.265</v>
      </c>
    </row>
    <row r="81" ht="14.25" customHeight="1">
      <c r="A81" s="59" t="s">
        <v>142</v>
      </c>
      <c r="B81" s="53" t="s">
        <v>145</v>
      </c>
      <c r="C81" s="38" t="s">
        <v>144</v>
      </c>
      <c r="D81" s="53">
        <v>182.05</v>
      </c>
      <c r="E81" s="53" t="s">
        <v>35</v>
      </c>
      <c r="F81" s="58">
        <v>0.265</v>
      </c>
      <c r="G81" s="53" t="s">
        <v>36</v>
      </c>
      <c r="H81" s="53"/>
      <c r="I81" s="56"/>
      <c r="J81" s="57">
        <v>0.08769297768100164</v>
      </c>
      <c r="K81" s="57">
        <f>((('indice Carburant'!E6/'Indexation Client 2026'!$D$81)-1)*'Indexation Client 2026'!$F$81)</f>
        <v>0.008166163142</v>
      </c>
      <c r="L81" s="57">
        <f>((('indice Carburant'!F6/'Indexation Client 2026'!$D$81)-1)*'Indexation Client 2026'!$F$81)</f>
        <v>0.01643422137</v>
      </c>
      <c r="M81" s="58">
        <f>((('indice Carburant'!G6/'Indexation Client 2026'!$D$81)-1)*'Indexation Client 2026'!$F$81)</f>
        <v>0.09611617687</v>
      </c>
      <c r="N81" s="58">
        <f>((('indice Carburant'!H6/'Indexation Client 2026'!$D$81)-1)*'Indexation Client 2026'!$F$81)</f>
        <v>-0.265</v>
      </c>
      <c r="O81" s="58">
        <f>((('indice Carburant'!I6/'Indexation Client 2026'!$D$81)-1)*'Indexation Client 2026'!$F$81)</f>
        <v>-0.265</v>
      </c>
      <c r="P81" s="58">
        <f>((('indice Carburant'!J6/'Indexation Client 2026'!$D$81)-1)*'Indexation Client 2026'!$F$81)</f>
        <v>-0.265</v>
      </c>
      <c r="Q81" s="58">
        <f>((('indice Carburant'!K6/'Indexation Client 2026'!$D$81)-1)*'Indexation Client 2026'!$F$81)</f>
        <v>-0.265</v>
      </c>
      <c r="R81" s="58">
        <f>((('indice Carburant'!L6/'Indexation Client 2026'!$D$81)-1)*'Indexation Client 2026'!$F$81)</f>
        <v>-0.265</v>
      </c>
      <c r="S81" s="58">
        <f>((('indice Carburant'!M6/'Indexation Client 2026'!$D$81)-1)*'Indexation Client 2026'!$F$81)</f>
        <v>-0.265</v>
      </c>
      <c r="T81" s="58">
        <f>((('indice Carburant'!N6/'Indexation Client 2026'!$D$81)-1)*'Indexation Client 2026'!$F$81)</f>
        <v>-0.265</v>
      </c>
      <c r="U81" s="58">
        <f>((('indice Carburant'!O6/'Indexation Client 2026'!$D$81)-1)*'Indexation Client 2026'!$F$81)</f>
        <v>-0.265</v>
      </c>
    </row>
    <row r="82" ht="14.25" customHeight="1">
      <c r="A82" s="59" t="s">
        <v>146</v>
      </c>
      <c r="B82" s="53"/>
      <c r="C82" s="38" t="s">
        <v>146</v>
      </c>
      <c r="D82" s="53"/>
      <c r="E82" s="53"/>
      <c r="F82" s="53"/>
      <c r="G82" s="53"/>
      <c r="H82" s="53"/>
      <c r="I82" s="56"/>
      <c r="J82" s="59"/>
      <c r="K82" s="59"/>
      <c r="L82" s="59"/>
      <c r="M82" s="53"/>
      <c r="N82" s="53"/>
      <c r="O82" s="53"/>
      <c r="P82" s="53"/>
      <c r="Q82" s="53"/>
      <c r="R82" s="53"/>
      <c r="S82" s="53"/>
      <c r="T82" s="53"/>
      <c r="U82" s="53"/>
    </row>
    <row r="83" ht="14.25" customHeight="1">
      <c r="A83" s="59" t="s">
        <v>147</v>
      </c>
      <c r="B83" s="53"/>
      <c r="C83" s="38" t="s">
        <v>148</v>
      </c>
      <c r="D83" s="53"/>
      <c r="E83" s="53"/>
      <c r="F83" s="53"/>
      <c r="G83" s="53"/>
      <c r="H83" s="53"/>
      <c r="I83" s="56"/>
      <c r="J83" s="59"/>
      <c r="K83" s="59"/>
      <c r="L83" s="59"/>
      <c r="M83" s="53"/>
      <c r="N83" s="53"/>
      <c r="O83" s="53"/>
      <c r="P83" s="53"/>
      <c r="Q83" s="53"/>
      <c r="R83" s="53"/>
      <c r="S83" s="53"/>
      <c r="T83" s="53"/>
      <c r="U83" s="53"/>
    </row>
    <row r="84" ht="14.25" customHeight="1">
      <c r="A84" s="69" t="s">
        <v>149</v>
      </c>
      <c r="B84" s="70" t="s">
        <v>150</v>
      </c>
      <c r="C84" s="38" t="s">
        <v>151</v>
      </c>
      <c r="D84" s="53">
        <v>0.8986</v>
      </c>
      <c r="E84" s="76" t="s">
        <v>131</v>
      </c>
      <c r="F84" s="83">
        <v>0.13</v>
      </c>
      <c r="G84" s="53" t="s">
        <v>36</v>
      </c>
      <c r="H84" s="53"/>
      <c r="I84" s="56"/>
      <c r="J84" s="57">
        <f>((('indice Carburant'!D8/'Indexation Client 2026'!$D$84)-1)*'Indexation Client 2026'!$F$84)</f>
        <v>0.05354217672</v>
      </c>
      <c r="K84" s="57">
        <f>((('indice Carburant'!E8/'Indexation Client 2026'!$D$84)-1)*'Indexation Client 2026'!$F$84)</f>
        <v>0.06122412642</v>
      </c>
      <c r="L84" s="57">
        <f>((('indice Carburant'!F8/'Indexation Client 2026'!$D$84)-1)*'Indexation Client 2026'!$F$84)</f>
        <v>0.0659837525</v>
      </c>
      <c r="M84" s="58">
        <f>((('indice Carburant'!G8/'Indexation Client 2026'!$D$84)-1)*'Indexation Client 2026'!$F$84)</f>
        <v>0.1242566214</v>
      </c>
      <c r="N84" s="58">
        <f>((('indice Carburant'!H8/'Indexation Client 2026'!$D$84)-1)*'Indexation Client 2026'!$F$84)</f>
        <v>-0.13</v>
      </c>
      <c r="O84" s="58">
        <f>((('indice Carburant'!I8/'Indexation Client 2026'!$D$84)-1)*'Indexation Client 2026'!$F$84)</f>
        <v>-0.13</v>
      </c>
      <c r="P84" s="58">
        <f>((('indice Carburant'!J8/'Indexation Client 2026'!$D$84)-1)*'Indexation Client 2026'!$F$84)</f>
        <v>-0.13</v>
      </c>
      <c r="Q84" s="58">
        <f>((('indice Carburant'!K8/'Indexation Client 2026'!$D$84)-1)*'Indexation Client 2026'!$F$84)</f>
        <v>-0.13</v>
      </c>
      <c r="R84" s="58">
        <f>((('indice Carburant'!L8/'Indexation Client 2026'!$D$84)-1)*'Indexation Client 2026'!$F$84)</f>
        <v>-0.13</v>
      </c>
      <c r="S84" s="58">
        <f>((('indice Carburant'!M8/'Indexation Client 2026'!$D$84)-1)*'Indexation Client 2026'!$F$84)</f>
        <v>-0.13</v>
      </c>
      <c r="T84" s="58">
        <f>((('indice Carburant'!N8/'Indexation Client 2026'!$D$84)-1)*'Indexation Client 2026'!$F$84)</f>
        <v>-0.13</v>
      </c>
      <c r="U84" s="58">
        <f>((('indice Carburant'!O8/'Indexation Client 2026'!$D$84)-1)*'Indexation Client 2026'!$F$84)</f>
        <v>-0.13</v>
      </c>
    </row>
    <row r="85" ht="14.25" customHeight="1">
      <c r="A85" s="59" t="s">
        <v>152</v>
      </c>
      <c r="B85" s="53" t="s">
        <v>153</v>
      </c>
      <c r="C85" s="38" t="s">
        <v>154</v>
      </c>
      <c r="D85" s="70">
        <v>0.0</v>
      </c>
      <c r="E85" s="53"/>
      <c r="F85" s="53"/>
      <c r="G85" s="53"/>
      <c r="H85" s="53"/>
      <c r="I85" s="56"/>
      <c r="J85" s="62"/>
      <c r="K85" s="62"/>
      <c r="L85" s="62"/>
      <c r="M85" s="55"/>
      <c r="N85" s="55"/>
      <c r="O85" s="55"/>
      <c r="P85" s="55"/>
      <c r="Q85" s="55"/>
      <c r="R85" s="55"/>
      <c r="S85" s="55"/>
      <c r="T85" s="55"/>
      <c r="U85" s="55"/>
    </row>
    <row r="86" ht="14.25" customHeight="1">
      <c r="A86" s="59" t="s">
        <v>152</v>
      </c>
      <c r="B86" s="53" t="s">
        <v>155</v>
      </c>
      <c r="C86" s="38" t="s">
        <v>154</v>
      </c>
      <c r="D86" s="53"/>
      <c r="E86" s="53"/>
      <c r="F86" s="53"/>
      <c r="G86" s="53"/>
      <c r="H86" s="53"/>
      <c r="I86" s="56"/>
      <c r="J86" s="59"/>
      <c r="K86" s="59"/>
      <c r="L86" s="59"/>
      <c r="M86" s="53"/>
      <c r="N86" s="53"/>
      <c r="O86" s="53"/>
      <c r="P86" s="53"/>
      <c r="Q86" s="53"/>
      <c r="R86" s="53"/>
      <c r="S86" s="53"/>
      <c r="T86" s="53"/>
      <c r="U86" s="53"/>
    </row>
    <row r="87" ht="14.25" customHeight="1">
      <c r="A87" s="59" t="s">
        <v>152</v>
      </c>
      <c r="B87" s="71" t="s">
        <v>156</v>
      </c>
      <c r="C87" s="38" t="s">
        <v>154</v>
      </c>
      <c r="D87" s="53">
        <v>162.44</v>
      </c>
      <c r="E87" s="53" t="s">
        <v>81</v>
      </c>
      <c r="F87" s="83">
        <v>0.18</v>
      </c>
      <c r="G87" s="53" t="s">
        <v>36</v>
      </c>
      <c r="H87" s="53"/>
      <c r="I87" s="56"/>
      <c r="J87" s="57">
        <f>((('indice Carburant'!D13/'Indexation Client 2026'!$D$87)-1)*'Indexation Client 2026'!$F$87)</f>
        <v>-0.001119182467</v>
      </c>
      <c r="K87" s="57">
        <f>((('indice Carburant'!E13/'Indexation Client 2026'!$D$87)-1)*'Indexation Client 2026'!$F$87)</f>
        <v>-0.003135927112</v>
      </c>
      <c r="L87" s="57">
        <f>((('indice Carburant'!F13/'Indexation Client 2026'!$D$87)-1)*'Indexation Client 2026'!$F$87)</f>
        <v>0.01688746614</v>
      </c>
      <c r="M87" s="58">
        <f>((('indice Carburant'!G13/'Indexation Client 2026'!$D$87)-1)*'Indexation Client 2026'!$F$87)</f>
        <v>-0.18</v>
      </c>
      <c r="N87" s="58">
        <f>((('indice Carburant'!H13/'Indexation Client 2026'!$D$87)-1)*'Indexation Client 2026'!$F$87)</f>
        <v>-0.18</v>
      </c>
      <c r="O87" s="58">
        <f>((('indice Carburant'!I13/'Indexation Client 2026'!$D$87)-1)*'Indexation Client 2026'!$F$87)</f>
        <v>-0.18</v>
      </c>
      <c r="P87" s="58">
        <f>((('indice Carburant'!J13/'Indexation Client 2026'!$D$87)-1)*'Indexation Client 2026'!$F$87)</f>
        <v>-0.18</v>
      </c>
      <c r="Q87" s="58">
        <f>((('indice Carburant'!K13/'Indexation Client 2026'!$D$87)-1)*'Indexation Client 2026'!$F$87)</f>
        <v>-0.18</v>
      </c>
      <c r="R87" s="58">
        <f>((('indice Carburant'!L13/'Indexation Client 2026'!$D$87)-1)*'Indexation Client 2026'!$F$87)</f>
        <v>-0.18</v>
      </c>
      <c r="S87" s="58">
        <f>((('indice Carburant'!M13/'Indexation Client 2026'!$D$87)-1)*'Indexation Client 2026'!$F$87)</f>
        <v>-0.18</v>
      </c>
      <c r="T87" s="58">
        <f>((('indice Carburant'!N13/'Indexation Client 2026'!$D$87)-1)*'Indexation Client 2026'!$F$87)</f>
        <v>-0.18</v>
      </c>
      <c r="U87" s="58">
        <f>((('indice Carburant'!O13/'Indexation Client 2026'!$D$87)-1)*'Indexation Client 2026'!$F$87)</f>
        <v>-0.18</v>
      </c>
    </row>
    <row r="88" ht="14.25" customHeight="1">
      <c r="A88" s="59" t="s">
        <v>152</v>
      </c>
      <c r="B88" s="53" t="s">
        <v>157</v>
      </c>
      <c r="C88" s="38" t="s">
        <v>154</v>
      </c>
      <c r="D88" s="53">
        <v>224.45</v>
      </c>
      <c r="E88" s="53" t="s">
        <v>35</v>
      </c>
      <c r="F88" s="83">
        <v>0.18</v>
      </c>
      <c r="G88" s="53" t="s">
        <v>36</v>
      </c>
      <c r="H88" s="53"/>
      <c r="I88" s="56"/>
      <c r="J88" s="57">
        <f>((('indice Carburant'!D6/'Indexation Client 2026'!$D$88)-1)*'Indexation Client 2026'!$F$88)</f>
        <v>-0.03442815772</v>
      </c>
      <c r="K88" s="57">
        <f>((('indice Carburant'!E6/'Indexation Client 2026'!$D$88)-1)*'Indexation Client 2026'!$F$88)</f>
        <v>-0.02950412119</v>
      </c>
      <c r="L88" s="57">
        <f>((('indice Carburant'!F6/'Indexation Client 2026'!$D$88)-1)*'Indexation Client 2026'!$F$88)</f>
        <v>-0.02494898641</v>
      </c>
      <c r="M88" s="58">
        <f>((('indice Carburant'!G6/'Indexation Client 2026'!$D$88)-1)*'Indexation Client 2026'!$F$88)</f>
        <v>0.01895032301</v>
      </c>
      <c r="N88" s="58">
        <f>((('indice Carburant'!H6/'Indexation Client 2026'!$D$88)-1)*'Indexation Client 2026'!$F$88)</f>
        <v>-0.18</v>
      </c>
      <c r="O88" s="58">
        <f>((('indice Carburant'!I6/'Indexation Client 2026'!$D$88)-1)*'Indexation Client 2026'!$F$88)</f>
        <v>-0.18</v>
      </c>
      <c r="P88" s="58">
        <f>((('indice Carburant'!J6/'Indexation Client 2026'!$D$88)-1)*'Indexation Client 2026'!$F$88)</f>
        <v>-0.18</v>
      </c>
      <c r="Q88" s="58">
        <f>((('indice Carburant'!K6/'Indexation Client 2026'!$D$88)-1)*'Indexation Client 2026'!$F$88)</f>
        <v>-0.18</v>
      </c>
      <c r="R88" s="58">
        <f>((('indice Carburant'!L6/'Indexation Client 2026'!$D$88)-1)*'Indexation Client 2026'!$F$88)</f>
        <v>-0.18</v>
      </c>
      <c r="S88" s="58">
        <f>((('indice Carburant'!M6/'Indexation Client 2026'!$D$88)-1)*'Indexation Client 2026'!$F$88)</f>
        <v>-0.18</v>
      </c>
      <c r="T88" s="58">
        <f>((('indice Carburant'!N6/'Indexation Client 2026'!$D$88)-1)*'Indexation Client 2026'!$F$88)</f>
        <v>-0.18</v>
      </c>
      <c r="U88" s="58">
        <f>((('indice Carburant'!O6/'Indexation Client 2026'!$D$88)-1)*'Indexation Client 2026'!$F$88)</f>
        <v>-0.18</v>
      </c>
    </row>
    <row r="89" ht="14.25" customHeight="1">
      <c r="A89" s="59" t="s">
        <v>152</v>
      </c>
      <c r="B89" s="53" t="s">
        <v>158</v>
      </c>
      <c r="C89" s="38" t="s">
        <v>154</v>
      </c>
      <c r="D89" s="53">
        <v>152.93</v>
      </c>
      <c r="E89" s="53" t="s">
        <v>35</v>
      </c>
      <c r="F89" s="83">
        <v>0.18</v>
      </c>
      <c r="G89" s="53" t="s">
        <v>36</v>
      </c>
      <c r="H89" s="53"/>
      <c r="I89" s="56"/>
      <c r="J89" s="57">
        <f>((('indice Carburant'!D6/'Indexation Client 2026'!$D$89)-1)*'Indexation Client 2026'!$F$89)</f>
        <v>0.03365068986</v>
      </c>
      <c r="K89" s="57">
        <f>((('indice Carburant'!E6/'Indexation Client 2026'!$D$89)-1)*'Indexation Client 2026'!$F$89)</f>
        <v>0.04087752567</v>
      </c>
      <c r="L89" s="57">
        <f>((('indice Carburant'!F6/'Indexation Client 2026'!$D$89)-1)*'Indexation Client 2026'!$F$89)</f>
        <v>0.04756293729</v>
      </c>
      <c r="M89" s="58">
        <f>((('indice Carburant'!G6/'Indexation Client 2026'!$D$89)-1)*'Indexation Client 2026'!$F$89)</f>
        <v>0.1119924148</v>
      </c>
      <c r="N89" s="58">
        <f>((('indice Carburant'!H6/'Indexation Client 2026'!$D$89)-1)*'Indexation Client 2026'!$F$89)</f>
        <v>-0.18</v>
      </c>
      <c r="O89" s="58">
        <f>((('indice Carburant'!I6/'Indexation Client 2026'!$D$89)-1)*'Indexation Client 2026'!$F$89)</f>
        <v>-0.18</v>
      </c>
      <c r="P89" s="58">
        <f>((('indice Carburant'!J6/'Indexation Client 2026'!$D$89)-1)*'Indexation Client 2026'!$F$89)</f>
        <v>-0.18</v>
      </c>
      <c r="Q89" s="58">
        <f>((('indice Carburant'!K6/'Indexation Client 2026'!$D$89)-1)*'Indexation Client 2026'!$F$89)</f>
        <v>-0.18</v>
      </c>
      <c r="R89" s="58">
        <f>((('indice Carburant'!L6/'Indexation Client 2026'!$D$89)-1)*'Indexation Client 2026'!$F$89)</f>
        <v>-0.18</v>
      </c>
      <c r="S89" s="58">
        <f>((('indice Carburant'!M6/'Indexation Client 2026'!$D$89)-1)*'Indexation Client 2026'!$F$89)</f>
        <v>-0.18</v>
      </c>
      <c r="T89" s="58">
        <f>((('indice Carburant'!N6/'Indexation Client 2026'!$D$89)-1)*'Indexation Client 2026'!$F$89)</f>
        <v>-0.18</v>
      </c>
      <c r="U89" s="58">
        <f>((('indice Carburant'!O6/'Indexation Client 2026'!$D$89)-1)*'Indexation Client 2026'!$F$89)</f>
        <v>-0.18</v>
      </c>
    </row>
    <row r="90" ht="14.25" customHeight="1">
      <c r="A90" s="59" t="s">
        <v>159</v>
      </c>
      <c r="B90" s="53"/>
      <c r="C90" s="38" t="s">
        <v>160</v>
      </c>
      <c r="D90" s="70" t="s">
        <v>41</v>
      </c>
      <c r="E90" s="53"/>
      <c r="F90" s="53"/>
      <c r="G90" s="53"/>
      <c r="H90" s="53"/>
      <c r="I90" s="56"/>
      <c r="J90" s="84"/>
      <c r="K90" s="62"/>
      <c r="L90" s="62"/>
      <c r="M90" s="55"/>
      <c r="N90" s="55"/>
      <c r="O90" s="55"/>
      <c r="P90" s="55"/>
      <c r="Q90" s="55"/>
      <c r="R90" s="55"/>
      <c r="S90" s="55"/>
      <c r="T90" s="55"/>
      <c r="U90" s="55"/>
    </row>
    <row r="91" ht="14.25" customHeight="1">
      <c r="A91" s="59" t="s">
        <v>161</v>
      </c>
      <c r="B91" s="53"/>
      <c r="C91" s="53" t="s">
        <v>162</v>
      </c>
      <c r="D91" s="53">
        <v>1.0643</v>
      </c>
      <c r="E91" s="76" t="s">
        <v>163</v>
      </c>
      <c r="F91" s="83">
        <v>0.2</v>
      </c>
      <c r="G91" s="53" t="s">
        <v>36</v>
      </c>
      <c r="H91" s="53"/>
      <c r="I91" s="56"/>
      <c r="J91" s="57">
        <f>((('indice Carburant'!D10/'Indexation Client 2026'!$D$91)-1)*'Indexation Client 2026'!$F$91)</f>
        <v>0.05150803345</v>
      </c>
      <c r="K91" s="57">
        <f>((('indice Carburant'!E10/'Indexation Client 2026'!$D$91)-1)*'Indexation Client 2026'!$F$91)</f>
        <v>0.05594287325</v>
      </c>
      <c r="L91" s="57">
        <f>((('indice Carburant'!F10/'Indexation Client 2026'!$D$91)-1)*'Indexation Client 2026'!$F$91)</f>
        <v>0.06189984027</v>
      </c>
      <c r="M91" s="58">
        <f>((('indice Carburant'!G10/'Indexation Client 2026'!$D$91)-1)*'Indexation Client 2026'!$F$91)</f>
        <v>0.1236681387</v>
      </c>
      <c r="N91" s="58">
        <f>((('indice Carburant'!H10/'Indexation Client 2026'!$D$91)-1)*'Indexation Client 2026'!$F$91)</f>
        <v>-0.2</v>
      </c>
      <c r="O91" s="58">
        <f>((('indice Carburant'!I10/'Indexation Client 2026'!$D$91)-1)*'Indexation Client 2026'!$F$91)</f>
        <v>-0.2</v>
      </c>
      <c r="P91" s="58">
        <f>((('indice Carburant'!J10/'Indexation Client 2026'!$D$91)-1)*'Indexation Client 2026'!$F$91)</f>
        <v>-0.2</v>
      </c>
      <c r="Q91" s="58">
        <f>((('indice Carburant'!K10/'Indexation Client 2026'!$D$91)-1)*'Indexation Client 2026'!$F$91)</f>
        <v>-0.2</v>
      </c>
      <c r="R91" s="58">
        <f>((('indice Carburant'!L10/'Indexation Client 2026'!$D$91)-1)*'Indexation Client 2026'!$F$91)</f>
        <v>-0.2</v>
      </c>
      <c r="S91" s="58">
        <f>((('indice Carburant'!M10/'Indexation Client 2026'!$D$91)-1)*'Indexation Client 2026'!$F$91)</f>
        <v>-0.2</v>
      </c>
      <c r="T91" s="58">
        <f>((('indice Carburant'!N10/'Indexation Client 2026'!$D$91)-1)*'Indexation Client 2026'!$F$91)</f>
        <v>-0.2</v>
      </c>
      <c r="U91" s="58">
        <f>((('indice Carburant'!O10/'Indexation Client 2026'!$D$91)-1)*'Indexation Client 2026'!$F$91)</f>
        <v>-0.2</v>
      </c>
    </row>
    <row r="92" ht="14.25" customHeight="1">
      <c r="A92" s="59" t="s">
        <v>164</v>
      </c>
      <c r="B92" s="53" t="s">
        <v>165</v>
      </c>
      <c r="C92" s="53" t="s">
        <v>164</v>
      </c>
      <c r="D92" s="53">
        <v>0.8661</v>
      </c>
      <c r="E92" s="53" t="s">
        <v>166</v>
      </c>
      <c r="F92" s="53">
        <v>0.28</v>
      </c>
      <c r="G92" s="53" t="s">
        <v>48</v>
      </c>
      <c r="H92" s="53">
        <v>180.0</v>
      </c>
      <c r="I92" s="56"/>
      <c r="J92" s="74">
        <f>((('indice Carburant'!E11-'Indexation Client 2026'!$D$92)*'Indexation Client 2026'!$F$92))</f>
        <v>0.140056</v>
      </c>
      <c r="K92" s="74">
        <f>((('indice Carburant'!F11-'Indexation Client 2026'!$D$92)*'Indexation Client 2026'!$F$92))</f>
        <v>0.142436</v>
      </c>
      <c r="L92" s="74">
        <f>((('indice Carburant'!G11-'Indexation Client 2026'!$D$92)*'Indexation Client 2026'!$F$92))</f>
        <v>0.249536</v>
      </c>
      <c r="M92" s="75">
        <f>((('indice Carburant'!H11-'Indexation Client 2026'!$D$92)*'Indexation Client 2026'!$F$92))</f>
        <v>-0.242508</v>
      </c>
      <c r="N92" s="75">
        <f>((('indice Carburant'!I11-'Indexation Client 2026'!$D$92)*'Indexation Client 2026'!$F$92))</f>
        <v>-0.242508</v>
      </c>
      <c r="O92" s="75">
        <f>((('indice Carburant'!J11-'Indexation Client 2026'!$D$92)*'Indexation Client 2026'!$F$92))</f>
        <v>-0.242508</v>
      </c>
      <c r="P92" s="75">
        <f>((('indice Carburant'!K11-'Indexation Client 2026'!$D$92)*'Indexation Client 2026'!$F$92))</f>
        <v>-0.242508</v>
      </c>
      <c r="Q92" s="75">
        <f>((('indice Carburant'!L11-'Indexation Client 2026'!$D$92)*'Indexation Client 2026'!$F$92))</f>
        <v>-0.242508</v>
      </c>
      <c r="R92" s="75">
        <f>((('indice Carburant'!M11-'Indexation Client 2026'!$D$92)*'Indexation Client 2026'!$F$92))</f>
        <v>-0.242508</v>
      </c>
      <c r="S92" s="75">
        <f>((('indice Carburant'!N11-'Indexation Client 2026'!$D$92)*'Indexation Client 2026'!$F$92))</f>
        <v>-0.242508</v>
      </c>
      <c r="T92" s="75">
        <f>((('indice Carburant'!O11-'Indexation Client 2026'!$D$92)*'Indexation Client 2026'!$F$92))</f>
        <v>-0.242508</v>
      </c>
      <c r="U92" s="75">
        <f>((('indice Carburant'!P11-'Indexation Client 2026'!$D$92)*'Indexation Client 2026'!$F$92))</f>
        <v>-0.242508</v>
      </c>
    </row>
    <row r="93" ht="14.25" customHeight="1">
      <c r="A93" s="59" t="s">
        <v>164</v>
      </c>
      <c r="B93" s="53" t="s">
        <v>167</v>
      </c>
      <c r="C93" s="53" t="s">
        <v>164</v>
      </c>
      <c r="D93" s="53">
        <v>0.8661</v>
      </c>
      <c r="E93" s="53" t="s">
        <v>166</v>
      </c>
      <c r="F93" s="53">
        <v>0.3</v>
      </c>
      <c r="G93" s="53" t="s">
        <v>48</v>
      </c>
      <c r="H93" s="53">
        <v>280.0</v>
      </c>
      <c r="I93" s="56"/>
      <c r="J93" s="74">
        <f>((('indice Carburant'!E11-'Indexation Client 2026'!$D$93)*'Indexation Client 2026'!$F$93))</f>
        <v>0.15006</v>
      </c>
      <c r="K93" s="74">
        <f>((('indice Carburant'!F11-'Indexation Client 2026'!$D$93)*'Indexation Client 2026'!$F$93))</f>
        <v>0.15261</v>
      </c>
      <c r="L93" s="74">
        <f>((('indice Carburant'!G11-'Indexation Client 2026'!$D$93)*'Indexation Client 2026'!$F$93))</f>
        <v>0.26736</v>
      </c>
      <c r="M93" s="75">
        <f>((('indice Carburant'!H11-'Indexation Client 2026'!$D$93)*'Indexation Client 2026'!$F$93))</f>
        <v>-0.25983</v>
      </c>
      <c r="N93" s="75">
        <f>((('indice Carburant'!I11-'Indexation Client 2026'!$D$93)*'Indexation Client 2026'!$F$93))</f>
        <v>-0.25983</v>
      </c>
      <c r="O93" s="75">
        <f>((('indice Carburant'!J11-'Indexation Client 2026'!$D$93)*'Indexation Client 2026'!$F$93))</f>
        <v>-0.25983</v>
      </c>
      <c r="P93" s="75">
        <f>((('indice Carburant'!K11-'Indexation Client 2026'!$D$93)*'Indexation Client 2026'!$F$93))</f>
        <v>-0.25983</v>
      </c>
      <c r="Q93" s="75">
        <f>((('indice Carburant'!L11-'Indexation Client 2026'!$D$93)*'Indexation Client 2026'!$F$93))</f>
        <v>-0.25983</v>
      </c>
      <c r="R93" s="75">
        <f>((('indice Carburant'!M11-'Indexation Client 2026'!$D$93)*'Indexation Client 2026'!$F$93))</f>
        <v>-0.25983</v>
      </c>
      <c r="S93" s="75">
        <f>((('indice Carburant'!N11-'Indexation Client 2026'!$D$93)*'Indexation Client 2026'!$F$93))</f>
        <v>-0.25983</v>
      </c>
      <c r="T93" s="75">
        <f>((('indice Carburant'!O11-'Indexation Client 2026'!$D$93)*'Indexation Client 2026'!$F$93))</f>
        <v>-0.25983</v>
      </c>
      <c r="U93" s="75">
        <f>((('indice Carburant'!P11-'Indexation Client 2026'!$D$93)*'Indexation Client 2026'!$F$93))</f>
        <v>-0.25983</v>
      </c>
    </row>
    <row r="94" ht="14.25" customHeight="1">
      <c r="A94" s="59" t="s">
        <v>164</v>
      </c>
      <c r="B94" s="53" t="s">
        <v>168</v>
      </c>
      <c r="C94" s="53" t="s">
        <v>164</v>
      </c>
      <c r="D94" s="53">
        <v>0.8661</v>
      </c>
      <c r="E94" s="53" t="s">
        <v>166</v>
      </c>
      <c r="F94" s="53">
        <v>0.3</v>
      </c>
      <c r="G94" s="53" t="s">
        <v>48</v>
      </c>
      <c r="H94" s="53">
        <v>484.0</v>
      </c>
      <c r="I94" s="56"/>
      <c r="J94" s="74">
        <f>((('indice Carburant'!E11-'Indexation Client 2026'!$D$94)*'Indexation Client 2026'!$F$94))</f>
        <v>0.15006</v>
      </c>
      <c r="K94" s="74">
        <f>((('indice Carburant'!F11-'Indexation Client 2026'!$D$94)*'Indexation Client 2026'!$F$94))</f>
        <v>0.15261</v>
      </c>
      <c r="L94" s="74">
        <f>((('indice Carburant'!G11-'Indexation Client 2026'!$D$94)*'Indexation Client 2026'!$F$94))</f>
        <v>0.26736</v>
      </c>
      <c r="M94" s="75">
        <f>((('indice Carburant'!H11-'Indexation Client 2026'!$D$94)*'Indexation Client 2026'!$F$94))</f>
        <v>-0.25983</v>
      </c>
      <c r="N94" s="75">
        <f>((('indice Carburant'!I11-'Indexation Client 2026'!$D$94)*'Indexation Client 2026'!$F$94))</f>
        <v>-0.25983</v>
      </c>
      <c r="O94" s="75">
        <f>((('indice Carburant'!J11-'Indexation Client 2026'!$D$94)*'Indexation Client 2026'!$F$94))</f>
        <v>-0.25983</v>
      </c>
      <c r="P94" s="75">
        <f>((('indice Carburant'!K11-'Indexation Client 2026'!$D$94)*'Indexation Client 2026'!$F$94))</f>
        <v>-0.25983</v>
      </c>
      <c r="Q94" s="75">
        <f>((('indice Carburant'!L11-'Indexation Client 2026'!$D$94)*'Indexation Client 2026'!$F$94))</f>
        <v>-0.25983</v>
      </c>
      <c r="R94" s="75">
        <f>((('indice Carburant'!M11-'Indexation Client 2026'!$D$94)*'Indexation Client 2026'!$F$94))</f>
        <v>-0.25983</v>
      </c>
      <c r="S94" s="75">
        <f>((('indice Carburant'!N11-'Indexation Client 2026'!$D$94)*'Indexation Client 2026'!$F$94))</f>
        <v>-0.25983</v>
      </c>
      <c r="T94" s="75">
        <f>((('indice Carburant'!O11-'Indexation Client 2026'!$D$94)*'Indexation Client 2026'!$F$94))</f>
        <v>-0.25983</v>
      </c>
      <c r="U94" s="75">
        <f>((('indice Carburant'!P11-'Indexation Client 2026'!$D$94)*'Indexation Client 2026'!$F$94))</f>
        <v>-0.25983</v>
      </c>
    </row>
    <row r="95" ht="14.25" customHeight="1">
      <c r="A95" s="59" t="s">
        <v>164</v>
      </c>
      <c r="B95" s="53" t="s">
        <v>169</v>
      </c>
      <c r="C95" s="53" t="s">
        <v>164</v>
      </c>
      <c r="D95" s="53">
        <v>0.8661</v>
      </c>
      <c r="E95" s="53" t="s">
        <v>166</v>
      </c>
      <c r="F95" s="53">
        <v>0.3</v>
      </c>
      <c r="G95" s="53" t="s">
        <v>48</v>
      </c>
      <c r="H95" s="53">
        <v>340.0</v>
      </c>
      <c r="I95" s="56"/>
      <c r="J95" s="74">
        <f>((('indice Carburant'!E11-'Indexation Client 2026'!$D$95)*'Indexation Client 2026'!$F$95))</f>
        <v>0.15006</v>
      </c>
      <c r="K95" s="74">
        <f>((('indice Carburant'!F11-'Indexation Client 2026'!$D$95)*'Indexation Client 2026'!$F$95))</f>
        <v>0.15261</v>
      </c>
      <c r="L95" s="74">
        <f>((('indice Carburant'!G11-'Indexation Client 2026'!$D$95)*'Indexation Client 2026'!$F$95))</f>
        <v>0.26736</v>
      </c>
      <c r="M95" s="75">
        <f>((('indice Carburant'!H11-'Indexation Client 2026'!$D$95)*'Indexation Client 2026'!$F$95))</f>
        <v>-0.25983</v>
      </c>
      <c r="N95" s="75">
        <f>((('indice Carburant'!I11-'Indexation Client 2026'!$D$95)*'Indexation Client 2026'!$F$95))</f>
        <v>-0.25983</v>
      </c>
      <c r="O95" s="75">
        <f>((('indice Carburant'!J11-'Indexation Client 2026'!$D$95)*'Indexation Client 2026'!$F$95))</f>
        <v>-0.25983</v>
      </c>
      <c r="P95" s="75">
        <f>((('indice Carburant'!K11-'Indexation Client 2026'!$D$95)*'Indexation Client 2026'!$F$95))</f>
        <v>-0.25983</v>
      </c>
      <c r="Q95" s="75">
        <f>((('indice Carburant'!L11-'Indexation Client 2026'!$D$95)*'Indexation Client 2026'!$F$95))</f>
        <v>-0.25983</v>
      </c>
      <c r="R95" s="75">
        <f>((('indice Carburant'!M11-'Indexation Client 2026'!$D$95)*'Indexation Client 2026'!$F$95))</f>
        <v>-0.25983</v>
      </c>
      <c r="S95" s="75">
        <f>((('indice Carburant'!N11-'Indexation Client 2026'!$D$95)*'Indexation Client 2026'!$F$95))</f>
        <v>-0.25983</v>
      </c>
      <c r="T95" s="75">
        <f>((('indice Carburant'!O11-'Indexation Client 2026'!$D$95)*'Indexation Client 2026'!$F$95))</f>
        <v>-0.25983</v>
      </c>
      <c r="U95" s="75">
        <f>((('indice Carburant'!P11-'Indexation Client 2026'!$D$95)*'Indexation Client 2026'!$F$95))</f>
        <v>-0.25983</v>
      </c>
    </row>
    <row r="96" ht="14.25" customHeight="1">
      <c r="A96" s="59" t="s">
        <v>164</v>
      </c>
      <c r="B96" s="53" t="s">
        <v>170</v>
      </c>
      <c r="C96" s="53" t="s">
        <v>164</v>
      </c>
      <c r="D96" s="53">
        <v>0.975</v>
      </c>
      <c r="E96" s="72" t="s">
        <v>64</v>
      </c>
      <c r="F96" s="53">
        <v>0.26</v>
      </c>
      <c r="G96" s="53" t="s">
        <v>48</v>
      </c>
      <c r="H96" s="53">
        <v>237.0</v>
      </c>
      <c r="I96" s="56"/>
      <c r="J96" s="74">
        <f>((('indice Carburant'!D13/100)-'Indexation Client 2026'!$D$96)*'Indexation Client 2026'!$F$96)</f>
        <v>0.166218</v>
      </c>
      <c r="K96" s="74">
        <f>((('indice Carburant'!E13/100)-'Indexation Client 2026'!$D$96)*'Indexation Client 2026'!$F$96)</f>
        <v>0.161486</v>
      </c>
      <c r="L96" s="74">
        <f>((('indice Carburant'!F13/100)-'Indexation Client 2026'!$D$96)*'Indexation Client 2026'!$F$96)</f>
        <v>0.208468</v>
      </c>
      <c r="M96" s="75">
        <f>((('indice Carburant'!G13/100)-'Indexation Client 2026'!$D$96)*'Indexation Client 2026'!$F$96)</f>
        <v>-0.2535</v>
      </c>
      <c r="N96" s="75">
        <f>((('indice Carburant'!H13/100)-'Indexation Client 2026'!$D$96)*'Indexation Client 2026'!$F$96)</f>
        <v>-0.2535</v>
      </c>
      <c r="O96" s="75">
        <f>((('indice Carburant'!I13/100)-'Indexation Client 2026'!$D$96)*'Indexation Client 2026'!$F$96)</f>
        <v>-0.2535</v>
      </c>
      <c r="P96" s="75">
        <f>((('indice Carburant'!J13/100)-'Indexation Client 2026'!$D$96)*'Indexation Client 2026'!$F$96)</f>
        <v>-0.2535</v>
      </c>
      <c r="Q96" s="75">
        <f>((('indice Carburant'!K13/100)-'Indexation Client 2026'!$D$96)*'Indexation Client 2026'!$F$96)</f>
        <v>-0.2535</v>
      </c>
      <c r="R96" s="75">
        <f>((('indice Carburant'!L13/100)-'Indexation Client 2026'!$D$96)*'Indexation Client 2026'!$F$96)</f>
        <v>-0.2535</v>
      </c>
      <c r="S96" s="75">
        <f>((('indice Carburant'!M13/100)-'Indexation Client 2026'!$D$96)*'Indexation Client 2026'!$F$96)</f>
        <v>-0.2535</v>
      </c>
      <c r="T96" s="75">
        <f>((('indice Carburant'!N13/100)-'Indexation Client 2026'!$D$96)*'Indexation Client 2026'!$F$96)</f>
        <v>-0.2535</v>
      </c>
      <c r="U96" s="75">
        <f>((('indice Carburant'!O13/100)-'Indexation Client 2026'!$D$96)*'Indexation Client 2026'!$F$96)</f>
        <v>-0.2535</v>
      </c>
    </row>
    <row r="97" ht="14.25" customHeight="1">
      <c r="A97" s="59" t="s">
        <v>164</v>
      </c>
      <c r="B97" s="53" t="s">
        <v>171</v>
      </c>
      <c r="C97" s="53" t="s">
        <v>164</v>
      </c>
      <c r="D97" s="53">
        <v>0.975</v>
      </c>
      <c r="E97" s="72" t="s">
        <v>64</v>
      </c>
      <c r="F97" s="53">
        <v>0.28</v>
      </c>
      <c r="G97" s="53" t="s">
        <v>48</v>
      </c>
      <c r="H97" s="53">
        <v>161.0</v>
      </c>
      <c r="I97" s="56"/>
      <c r="J97" s="74">
        <f>((('indice Carburant'!D13/100)-'Indexation Client 2026'!$D$97)*'Indexation Client 2026'!$F$97)</f>
        <v>0.179004</v>
      </c>
      <c r="K97" s="74">
        <f>((('indice Carburant'!E13/100)-'Indexation Client 2026'!$D$97)*'Indexation Client 2026'!$F$97)</f>
        <v>0.173908</v>
      </c>
      <c r="L97" s="74">
        <f>((('indice Carburant'!F13/100)-'Indexation Client 2026'!$D$97)*'Indexation Client 2026'!$F$97)</f>
        <v>0.224504</v>
      </c>
      <c r="M97" s="75">
        <f>((('indice Carburant'!G13/100)-'Indexation Client 2026'!$D$97)*'Indexation Client 2026'!$F$97)</f>
        <v>-0.273</v>
      </c>
      <c r="N97" s="75">
        <f>((('indice Carburant'!H13/100)-'Indexation Client 2026'!$D$97)*'Indexation Client 2026'!$F$97)</f>
        <v>-0.273</v>
      </c>
      <c r="O97" s="75">
        <f>((('indice Carburant'!I13/100)-'Indexation Client 2026'!$D$97)*'Indexation Client 2026'!$F$97)</f>
        <v>-0.273</v>
      </c>
      <c r="P97" s="75">
        <f>((('indice Carburant'!J13/100)-'Indexation Client 2026'!$D$97)*'Indexation Client 2026'!$F$97)</f>
        <v>-0.273</v>
      </c>
      <c r="Q97" s="75">
        <f>((('indice Carburant'!K13/100)-'Indexation Client 2026'!$D$97)*'Indexation Client 2026'!$F$97)</f>
        <v>-0.273</v>
      </c>
      <c r="R97" s="75">
        <f>((('indice Carburant'!L13/100)-'Indexation Client 2026'!$D$97)*'Indexation Client 2026'!$F$97)</f>
        <v>-0.273</v>
      </c>
      <c r="S97" s="75">
        <f>((('indice Carburant'!M13/100)-'Indexation Client 2026'!$D$97)*'Indexation Client 2026'!$F$97)</f>
        <v>-0.273</v>
      </c>
      <c r="T97" s="75">
        <f>((('indice Carburant'!N13/100)-'Indexation Client 2026'!$D$97)*'Indexation Client 2026'!$F$97)</f>
        <v>-0.273</v>
      </c>
      <c r="U97" s="75">
        <f>((('indice Carburant'!O13/100)-'Indexation Client 2026'!$D$97)*'Indexation Client 2026'!$F$97)</f>
        <v>-0.273</v>
      </c>
    </row>
    <row r="98" ht="14.25" customHeight="1">
      <c r="A98" s="59" t="s">
        <v>172</v>
      </c>
      <c r="B98" s="53" t="s">
        <v>173</v>
      </c>
      <c r="C98" s="38" t="s">
        <v>174</v>
      </c>
      <c r="D98" s="53">
        <v>183.55</v>
      </c>
      <c r="E98" s="60" t="s">
        <v>175</v>
      </c>
      <c r="F98" s="58">
        <v>0.1271</v>
      </c>
      <c r="G98" s="53" t="s">
        <v>36</v>
      </c>
      <c r="H98" s="53"/>
      <c r="I98" s="56"/>
      <c r="J98" s="62"/>
      <c r="K98" s="62"/>
      <c r="L98" s="62"/>
      <c r="M98" s="55"/>
      <c r="N98" s="55"/>
      <c r="O98" s="55"/>
      <c r="P98" s="55"/>
      <c r="Q98" s="55"/>
      <c r="R98" s="55"/>
      <c r="S98" s="55"/>
      <c r="T98" s="55"/>
      <c r="U98" s="55"/>
    </row>
    <row r="99" ht="14.25" customHeight="1">
      <c r="A99" s="59" t="s">
        <v>172</v>
      </c>
      <c r="B99" s="53" t="s">
        <v>176</v>
      </c>
      <c r="C99" s="38" t="s">
        <v>174</v>
      </c>
      <c r="D99" s="53">
        <v>222.12</v>
      </c>
      <c r="E99" s="60" t="s">
        <v>175</v>
      </c>
      <c r="F99" s="83">
        <v>0.26</v>
      </c>
      <c r="G99" s="53" t="s">
        <v>36</v>
      </c>
      <c r="H99" s="53"/>
      <c r="I99" s="56"/>
      <c r="J99" s="62"/>
      <c r="K99" s="62"/>
      <c r="L99" s="62"/>
      <c r="M99" s="55"/>
      <c r="N99" s="55"/>
      <c r="O99" s="55"/>
      <c r="P99" s="55"/>
      <c r="Q99" s="55"/>
      <c r="R99" s="55"/>
      <c r="S99" s="55"/>
      <c r="T99" s="55"/>
      <c r="U99" s="55"/>
    </row>
    <row r="100" ht="14.25" customHeight="1">
      <c r="A100" s="59" t="s">
        <v>172</v>
      </c>
      <c r="B100" s="53" t="s">
        <v>177</v>
      </c>
      <c r="C100" s="38" t="s">
        <v>174</v>
      </c>
      <c r="D100" s="53">
        <v>222.12</v>
      </c>
      <c r="E100" s="60" t="s">
        <v>175</v>
      </c>
      <c r="F100" s="83">
        <v>0.26</v>
      </c>
      <c r="G100" s="53" t="s">
        <v>36</v>
      </c>
      <c r="H100" s="53"/>
      <c r="I100" s="56"/>
      <c r="J100" s="62"/>
      <c r="K100" s="62"/>
      <c r="L100" s="62"/>
      <c r="M100" s="55"/>
      <c r="N100" s="55"/>
      <c r="O100" s="55"/>
      <c r="P100" s="55"/>
      <c r="Q100" s="55"/>
      <c r="R100" s="55"/>
      <c r="S100" s="55"/>
      <c r="T100" s="55"/>
      <c r="U100" s="55"/>
    </row>
    <row r="101" ht="14.25" customHeight="1">
      <c r="A101" s="59" t="s">
        <v>172</v>
      </c>
      <c r="B101" s="53" t="s">
        <v>178</v>
      </c>
      <c r="C101" s="38" t="s">
        <v>174</v>
      </c>
      <c r="D101" s="53">
        <v>222.12</v>
      </c>
      <c r="E101" s="60" t="s">
        <v>175</v>
      </c>
      <c r="F101" s="83">
        <v>0.26</v>
      </c>
      <c r="G101" s="53" t="s">
        <v>36</v>
      </c>
      <c r="H101" s="53"/>
      <c r="I101" s="56"/>
      <c r="J101" s="62"/>
      <c r="K101" s="62"/>
      <c r="L101" s="62"/>
      <c r="M101" s="55"/>
      <c r="N101" s="55"/>
      <c r="O101" s="55"/>
      <c r="P101" s="55"/>
      <c r="Q101" s="55"/>
      <c r="R101" s="55"/>
      <c r="S101" s="55"/>
      <c r="T101" s="55"/>
      <c r="U101" s="55"/>
    </row>
    <row r="102" ht="14.25" customHeight="1">
      <c r="A102" s="59" t="s">
        <v>174</v>
      </c>
      <c r="B102" s="71" t="s">
        <v>179</v>
      </c>
      <c r="C102" s="38" t="s">
        <v>174</v>
      </c>
      <c r="D102" s="53">
        <v>160.0</v>
      </c>
      <c r="E102" s="53" t="s">
        <v>81</v>
      </c>
      <c r="F102" s="83">
        <v>0.24</v>
      </c>
      <c r="G102" s="53" t="s">
        <v>36</v>
      </c>
      <c r="H102" s="53"/>
      <c r="I102" s="56"/>
      <c r="J102" s="57">
        <f>((('indice Carburant'!D13/'Indexation Client 2026'!$D$102)-1)*'Indexation Client 2026'!$F$102)</f>
        <v>0.002145</v>
      </c>
      <c r="K102" s="57">
        <f>((('indice Carburant'!E13/'Indexation Client 2026'!$D$102)-1)*'Indexation Client 2026'!$F$102)</f>
        <v>-0.000585</v>
      </c>
      <c r="L102" s="57">
        <f>((('indice Carburant'!F13/'Indexation Client 2026'!$D$102)-1)*'Indexation Client 2026'!$F$102)</f>
        <v>0.02652</v>
      </c>
      <c r="M102" s="58">
        <f>((('indice Carburant'!G13/'Indexation Client 2026'!$D$102)-1)*'Indexation Client 2026'!$F$102)</f>
        <v>-0.24</v>
      </c>
      <c r="N102" s="58">
        <f>((('indice Carburant'!H13/'Indexation Client 2026'!$D$102)-1)*'Indexation Client 2026'!$F$102)</f>
        <v>-0.24</v>
      </c>
      <c r="O102" s="58">
        <f>((('indice Carburant'!I13/'Indexation Client 2026'!$D$102)-1)*'Indexation Client 2026'!$F$102)</f>
        <v>-0.24</v>
      </c>
      <c r="P102" s="58">
        <f>((('indice Carburant'!J13/'Indexation Client 2026'!$D$102)-1)*'Indexation Client 2026'!$F$102)</f>
        <v>-0.24</v>
      </c>
      <c r="Q102" s="58">
        <f>((('indice Carburant'!K13/'Indexation Client 2026'!$D$102)-1)*'Indexation Client 2026'!$F$102)</f>
        <v>-0.24</v>
      </c>
      <c r="R102" s="58">
        <f>((('indice Carburant'!L13/'Indexation Client 2026'!$D$102)-1)*'Indexation Client 2026'!$F$102)</f>
        <v>-0.24</v>
      </c>
      <c r="S102" s="58">
        <f>((('indice Carburant'!M13/'Indexation Client 2026'!$D$102)-1)*'Indexation Client 2026'!$F$102)</f>
        <v>-0.24</v>
      </c>
      <c r="T102" s="58">
        <f>((('indice Carburant'!N13/'Indexation Client 2026'!$D$102)-1)*'Indexation Client 2026'!$F$102)</f>
        <v>-0.24</v>
      </c>
      <c r="U102" s="58">
        <f>((('indice Carburant'!O13/'Indexation Client 2026'!$D$102)-1)*'Indexation Client 2026'!$F$102)</f>
        <v>-0.24</v>
      </c>
    </row>
    <row r="103" ht="14.25" customHeight="1">
      <c r="A103" s="59" t="s">
        <v>174</v>
      </c>
      <c r="B103" s="53" t="s">
        <v>180</v>
      </c>
      <c r="C103" s="38" t="s">
        <v>174</v>
      </c>
      <c r="D103" s="53">
        <v>202.73</v>
      </c>
      <c r="E103" s="53" t="s">
        <v>138</v>
      </c>
      <c r="F103" s="83">
        <v>0.26</v>
      </c>
      <c r="G103" s="53" t="s">
        <v>36</v>
      </c>
      <c r="H103" s="53"/>
      <c r="I103" s="56"/>
      <c r="J103" s="57">
        <f>((('indice Carburant'!C6/'Indexation Client 2026'!$D$103)-1)*'Indexation Client 2026'!$F$103)</f>
        <v>-0.01372268535</v>
      </c>
      <c r="K103" s="57">
        <f>((('indice Carburant'!D6/'Indexation Client 2026'!$D$103)-1)*'Indexation Client 2026'!$F$103)</f>
        <v>-0.02720169684</v>
      </c>
      <c r="L103" s="57">
        <f>((('indice Carburant'!E6/'Indexation Client 2026'!$D$103)-1)*'Indexation Client 2026'!$F$103)</f>
        <v>-0.01932718394</v>
      </c>
      <c r="M103" s="58">
        <f>((('indice Carburant'!F6/'Indexation Client 2026'!$D$103)-1)*'Indexation Client 2026'!$F$103)</f>
        <v>-0.01204261826</v>
      </c>
      <c r="N103" s="58">
        <f>((('indice Carburant'!G6/'Indexation Client 2026'!$D$103)-1)*'Indexation Client 2026'!$F$103)</f>
        <v>0.05816110097</v>
      </c>
      <c r="O103" s="58">
        <f>((('indice Carburant'!H6/'Indexation Client 2026'!$D$103)-1)*'Indexation Client 2026'!$F$103)</f>
        <v>-0.26</v>
      </c>
      <c r="P103" s="58">
        <f>((('indice Carburant'!I6/'Indexation Client 2026'!$D$103)-1)*'Indexation Client 2026'!$F$103)</f>
        <v>-0.26</v>
      </c>
      <c r="Q103" s="58">
        <f>((('indice Carburant'!J6/'Indexation Client 2026'!$D$103)-1)*'Indexation Client 2026'!$F$103)</f>
        <v>-0.26</v>
      </c>
      <c r="R103" s="58">
        <f>((('indice Carburant'!K6/'Indexation Client 2026'!$D$103)-1)*'Indexation Client 2026'!$F$103)</f>
        <v>-0.26</v>
      </c>
      <c r="S103" s="58">
        <f>((('indice Carburant'!L6/'Indexation Client 2026'!$D$103)-1)*'Indexation Client 2026'!$F$103)</f>
        <v>-0.26</v>
      </c>
      <c r="T103" s="58">
        <f>((('indice Carburant'!M6/'Indexation Client 2026'!$D$103)-1)*'Indexation Client 2026'!$F$103)</f>
        <v>-0.26</v>
      </c>
      <c r="U103" s="58">
        <f>((('indice Carburant'!N6/'Indexation Client 2026'!$D$103)-1)*'Indexation Client 2026'!$F$103)</f>
        <v>-0.26</v>
      </c>
    </row>
    <row r="104" ht="14.25" customHeight="1">
      <c r="A104" s="59" t="s">
        <v>174</v>
      </c>
      <c r="B104" s="53" t="s">
        <v>181</v>
      </c>
      <c r="C104" s="38" t="s">
        <v>174</v>
      </c>
      <c r="D104" s="53">
        <v>202.73</v>
      </c>
      <c r="E104" s="53" t="s">
        <v>138</v>
      </c>
      <c r="F104" s="85">
        <v>0.16</v>
      </c>
      <c r="G104" s="53" t="s">
        <v>36</v>
      </c>
      <c r="H104" s="53"/>
      <c r="I104" s="56"/>
      <c r="J104" s="57">
        <f>((('indice Carburant'!C6/'Indexation Client 2026'!$D$104)-1)*'Indexation Client 2026'!$F$104)</f>
        <v>-0.008444729443</v>
      </c>
      <c r="K104" s="57">
        <f>((('indice Carburant'!D6/'Indexation Client 2026'!$D$104)-1)*'Indexation Client 2026'!$F$104)</f>
        <v>-0.01673950575</v>
      </c>
      <c r="L104" s="57">
        <f>((('indice Carburant'!E6/'Indexation Client 2026'!$D$104)-1)*'Indexation Client 2026'!$F$104)</f>
        <v>-0.01189365165</v>
      </c>
      <c r="M104" s="58">
        <f>((('indice Carburant'!F6/'Indexation Client 2026'!$D$104)-1)*'Indexation Client 2026'!$F$104)</f>
        <v>-0.007410842007</v>
      </c>
      <c r="N104" s="58">
        <f>((('indice Carburant'!G6/'Indexation Client 2026'!$D$104)-1)*'Indexation Client 2026'!$F$104)</f>
        <v>0.03579144675</v>
      </c>
      <c r="O104" s="58">
        <f>((('indice Carburant'!H6/'Indexation Client 2026'!$D$104)-1)*'Indexation Client 2026'!$F$104)</f>
        <v>-0.16</v>
      </c>
      <c r="P104" s="58">
        <f>((('indice Carburant'!I6/'Indexation Client 2026'!$D$104)-1)*'Indexation Client 2026'!$F$104)</f>
        <v>-0.16</v>
      </c>
      <c r="Q104" s="58">
        <f>((('indice Carburant'!J6/'Indexation Client 2026'!$D$104)-1)*'Indexation Client 2026'!$F$104)</f>
        <v>-0.16</v>
      </c>
      <c r="R104" s="58">
        <f>((('indice Carburant'!K6/'Indexation Client 2026'!$D$104)-1)*'Indexation Client 2026'!$F$104)</f>
        <v>-0.16</v>
      </c>
      <c r="S104" s="58">
        <f>((('indice Carburant'!L6/'Indexation Client 2026'!$D$104)-1)*'Indexation Client 2026'!$F$104)</f>
        <v>-0.16</v>
      </c>
      <c r="T104" s="58">
        <f>((('indice Carburant'!M6/'Indexation Client 2026'!$D$104)-1)*'Indexation Client 2026'!$F$104)</f>
        <v>-0.16</v>
      </c>
      <c r="U104" s="58">
        <f>((('indice Carburant'!N6/'Indexation Client 2026'!$D$104)-1)*'Indexation Client 2026'!$F$104)</f>
        <v>-0.16</v>
      </c>
    </row>
    <row r="105" ht="14.25" customHeight="1">
      <c r="A105" s="59" t="s">
        <v>174</v>
      </c>
      <c r="B105" s="53" t="s">
        <v>182</v>
      </c>
      <c r="C105" s="38" t="s">
        <v>174</v>
      </c>
      <c r="D105" s="53">
        <v>188.39</v>
      </c>
      <c r="E105" s="53" t="s">
        <v>138</v>
      </c>
      <c r="F105" s="83">
        <v>0.25</v>
      </c>
      <c r="G105" s="53" t="s">
        <v>36</v>
      </c>
      <c r="H105" s="53"/>
      <c r="I105" s="56"/>
      <c r="J105" s="57">
        <f>((('indice Carburant'!C6/'Indexation Client 2026'!$D$105)-1)*'Indexation Client 2026'!$F$105)</f>
        <v>0.004830405011</v>
      </c>
      <c r="K105" s="57">
        <f>((('indice Carburant'!D6/'Indexation Client 2026'!$D$105)-1)*'Indexation Client 2026'!$F$105)</f>
        <v>-0.009116725941</v>
      </c>
      <c r="L105" s="57">
        <f>((('indice Carburant'!E6/'Indexation Client 2026'!$D$105)-1)*'Indexation Client 2026'!$F$105)</f>
        <v>-0.0009687350709</v>
      </c>
      <c r="M105" s="58">
        <f>((('indice Carburant'!F6/'Indexation Client 2026'!$D$105)-1)*'Indexation Client 2026'!$F$105)</f>
        <v>0.006568820001</v>
      </c>
      <c r="N105" s="58">
        <f>((('indice Carburant'!G6/'Indexation Client 2026'!$D$105)-1)*'Indexation Client 2026'!$F$105)</f>
        <v>0.07921067997</v>
      </c>
      <c r="O105" s="58">
        <f>((('indice Carburant'!H6/'Indexation Client 2026'!$D$105)-1)*'Indexation Client 2026'!$F$105)</f>
        <v>-0.25</v>
      </c>
      <c r="P105" s="58">
        <f>((('indice Carburant'!I6/'Indexation Client 2026'!$D$105)-1)*'Indexation Client 2026'!$F$105)</f>
        <v>-0.25</v>
      </c>
      <c r="Q105" s="58">
        <f>((('indice Carburant'!J6/'Indexation Client 2026'!$D$105)-1)*'Indexation Client 2026'!$F$105)</f>
        <v>-0.25</v>
      </c>
      <c r="R105" s="58">
        <f>((('indice Carburant'!K6/'Indexation Client 2026'!$D$105)-1)*'Indexation Client 2026'!$F$105)</f>
        <v>-0.25</v>
      </c>
      <c r="S105" s="58">
        <f>((('indice Carburant'!L6/'Indexation Client 2026'!$D$105)-1)*'Indexation Client 2026'!$F$105)</f>
        <v>-0.25</v>
      </c>
      <c r="T105" s="58">
        <f>((('indice Carburant'!M6/'Indexation Client 2026'!$D$105)-1)*'Indexation Client 2026'!$F$105)</f>
        <v>-0.25</v>
      </c>
      <c r="U105" s="58">
        <f>((('indice Carburant'!N6/'Indexation Client 2026'!$D$105)-1)*'Indexation Client 2026'!$F$105)</f>
        <v>-0.25</v>
      </c>
    </row>
    <row r="106" ht="14.25" customHeight="1">
      <c r="A106" s="59" t="s">
        <v>174</v>
      </c>
      <c r="B106" s="53" t="s">
        <v>183</v>
      </c>
      <c r="C106" s="38" t="s">
        <v>174</v>
      </c>
      <c r="D106" s="53">
        <v>188.39</v>
      </c>
      <c r="E106" s="53" t="s">
        <v>138</v>
      </c>
      <c r="F106" s="85">
        <v>0.24</v>
      </c>
      <c r="G106" s="53" t="s">
        <v>36</v>
      </c>
      <c r="H106" s="53"/>
      <c r="I106" s="56"/>
      <c r="J106" s="57">
        <f>((('indice Carburant'!C6/'Indexation Client 2026'!$D$106)-1)*'Indexation Client 2026'!$F$106)</f>
        <v>0.00463718881</v>
      </c>
      <c r="K106" s="57">
        <f>((('indice Carburant'!D6/'Indexation Client 2026'!$D$106)-1)*'Indexation Client 2026'!$F$106)</f>
        <v>-0.008752056903</v>
      </c>
      <c r="L106" s="57">
        <f>((('indice Carburant'!E6/'Indexation Client 2026'!$D$106)-1)*'Indexation Client 2026'!$F$106)</f>
        <v>-0.000929985668</v>
      </c>
      <c r="M106" s="58">
        <f>((('indice Carburant'!F6/'Indexation Client 2026'!$D$106)-1)*'Indexation Client 2026'!$F$106)</f>
        <v>0.006306067201</v>
      </c>
      <c r="N106" s="58">
        <f>((('indice Carburant'!G6/'Indexation Client 2026'!$D$106)-1)*'Indexation Client 2026'!$F$106)</f>
        <v>0.07604225277</v>
      </c>
      <c r="O106" s="58">
        <f>((('indice Carburant'!H6/'Indexation Client 2026'!$D$106)-1)*'Indexation Client 2026'!$F$106)</f>
        <v>-0.24</v>
      </c>
      <c r="P106" s="58">
        <f>((('indice Carburant'!I6/'Indexation Client 2026'!$D$106)-1)*'Indexation Client 2026'!$F$106)</f>
        <v>-0.24</v>
      </c>
      <c r="Q106" s="58">
        <f>((('indice Carburant'!J6/'Indexation Client 2026'!$D$106)-1)*'Indexation Client 2026'!$F$106)</f>
        <v>-0.24</v>
      </c>
      <c r="R106" s="58">
        <f>((('indice Carburant'!K6/'Indexation Client 2026'!$D$106)-1)*'Indexation Client 2026'!$F$106)</f>
        <v>-0.24</v>
      </c>
      <c r="S106" s="58">
        <f>((('indice Carburant'!L6/'Indexation Client 2026'!$D$106)-1)*'Indexation Client 2026'!$F$106)</f>
        <v>-0.24</v>
      </c>
      <c r="T106" s="58">
        <f>((('indice Carburant'!M6/'Indexation Client 2026'!$D$106)-1)*'Indexation Client 2026'!$F$106)</f>
        <v>-0.24</v>
      </c>
      <c r="U106" s="58">
        <f>((('indice Carburant'!N6/'Indexation Client 2026'!$D$106)-1)*'Indexation Client 2026'!$F$106)</f>
        <v>-0.24</v>
      </c>
    </row>
    <row r="107" ht="14.25" customHeight="1">
      <c r="A107" s="59" t="s">
        <v>174</v>
      </c>
      <c r="B107" s="53" t="s">
        <v>184</v>
      </c>
      <c r="C107" s="38" t="s">
        <v>174</v>
      </c>
      <c r="D107" s="53">
        <v>188.39</v>
      </c>
      <c r="E107" s="53" t="s">
        <v>138</v>
      </c>
      <c r="F107" s="85">
        <v>0.17</v>
      </c>
      <c r="G107" s="53" t="s">
        <v>36</v>
      </c>
      <c r="H107" s="53"/>
      <c r="I107" s="56"/>
      <c r="J107" s="57">
        <f>((('indice Carburant'!C6/'Indexation Client 2026'!$D$107)-1)*'Indexation Client 2026'!$F$107)</f>
        <v>0.003284675407</v>
      </c>
      <c r="K107" s="57">
        <f>((('indice Carburant'!D6/'Indexation Client 2026'!$D$107)-1)*'Indexation Client 2026'!$F$107)</f>
        <v>-0.00619937364</v>
      </c>
      <c r="L107" s="57">
        <f>((('indice Carburant'!E6/'Indexation Client 2026'!$D$107)-1)*'Indexation Client 2026'!$F$107)</f>
        <v>-0.0006587398482</v>
      </c>
      <c r="M107" s="58">
        <f>((('indice Carburant'!F6/'Indexation Client 2026'!$D$107)-1)*'Indexation Client 2026'!$F$107)</f>
        <v>0.004466797601</v>
      </c>
      <c r="N107" s="58">
        <f>((('indice Carburant'!G6/'Indexation Client 2026'!$D$107)-1)*'Indexation Client 2026'!$F$107)</f>
        <v>0.05386326238</v>
      </c>
      <c r="O107" s="58">
        <f>((('indice Carburant'!H6/'Indexation Client 2026'!$D$107)-1)*'Indexation Client 2026'!$F$107)</f>
        <v>-0.17</v>
      </c>
      <c r="P107" s="58">
        <f>((('indice Carburant'!I6/'Indexation Client 2026'!$D$107)-1)*'Indexation Client 2026'!$F$107)</f>
        <v>-0.17</v>
      </c>
      <c r="Q107" s="58">
        <f>((('indice Carburant'!J6/'Indexation Client 2026'!$D$107)-1)*'Indexation Client 2026'!$F$107)</f>
        <v>-0.17</v>
      </c>
      <c r="R107" s="58">
        <f>((('indice Carburant'!K6/'Indexation Client 2026'!$D$107)-1)*'Indexation Client 2026'!$F$107)</f>
        <v>-0.17</v>
      </c>
      <c r="S107" s="58">
        <f>((('indice Carburant'!L6/'Indexation Client 2026'!$D$107)-1)*'Indexation Client 2026'!$F$107)</f>
        <v>-0.17</v>
      </c>
      <c r="T107" s="58">
        <f>((('indice Carburant'!M6/'Indexation Client 2026'!$D$107)-1)*'Indexation Client 2026'!$F$107)</f>
        <v>-0.17</v>
      </c>
      <c r="U107" s="58">
        <f>((('indice Carburant'!N6/'Indexation Client 2026'!$D$107)-1)*'Indexation Client 2026'!$F$107)</f>
        <v>-0.17</v>
      </c>
    </row>
    <row r="108" ht="14.25" customHeight="1">
      <c r="A108" s="59" t="s">
        <v>174</v>
      </c>
      <c r="B108" s="53" t="s">
        <v>185</v>
      </c>
      <c r="C108" s="38" t="s">
        <v>174</v>
      </c>
      <c r="D108" s="53">
        <v>202.73</v>
      </c>
      <c r="E108" s="53" t="s">
        <v>138</v>
      </c>
      <c r="F108" s="83">
        <v>0.26</v>
      </c>
      <c r="G108" s="53" t="s">
        <v>36</v>
      </c>
      <c r="H108" s="53"/>
      <c r="I108" s="56"/>
      <c r="J108" s="57">
        <f>((('indice Carburant'!C6/'Indexation Client 2026'!$D$108)-1)*'Indexation Client 2026'!$F$108)</f>
        <v>-0.01372268535</v>
      </c>
      <c r="K108" s="57">
        <f>((('indice Carburant'!D6/'Indexation Client 2026'!$D$108)-1)*'Indexation Client 2026'!$F$108)</f>
        <v>-0.02720169684</v>
      </c>
      <c r="L108" s="57">
        <f>((('indice Carburant'!E6/'Indexation Client 2026'!$D$108)-1)*'Indexation Client 2026'!$F$108)</f>
        <v>-0.01932718394</v>
      </c>
      <c r="M108" s="58">
        <f>((('indice Carburant'!F6/'Indexation Client 2026'!$D$108)-1)*'Indexation Client 2026'!$F$108)</f>
        <v>-0.01204261826</v>
      </c>
      <c r="N108" s="58">
        <f>((('indice Carburant'!G6/'Indexation Client 2026'!$D$108)-1)*'Indexation Client 2026'!$F$108)</f>
        <v>0.05816110097</v>
      </c>
      <c r="O108" s="58">
        <f>((('indice Carburant'!H6/'Indexation Client 2026'!$D$108)-1)*'Indexation Client 2026'!$F$108)</f>
        <v>-0.26</v>
      </c>
      <c r="P108" s="58">
        <f>((('indice Carburant'!I6/'Indexation Client 2026'!$D$108)-1)*'Indexation Client 2026'!$F$108)</f>
        <v>-0.26</v>
      </c>
      <c r="Q108" s="58">
        <f>((('indice Carburant'!J6/'Indexation Client 2026'!$D$108)-1)*'Indexation Client 2026'!$F$108)</f>
        <v>-0.26</v>
      </c>
      <c r="R108" s="58">
        <f>((('indice Carburant'!K6/'Indexation Client 2026'!$D$108)-1)*'Indexation Client 2026'!$F$108)</f>
        <v>-0.26</v>
      </c>
      <c r="S108" s="58">
        <f>((('indice Carburant'!L6/'Indexation Client 2026'!$D$108)-1)*'Indexation Client 2026'!$F$108)</f>
        <v>-0.26</v>
      </c>
      <c r="T108" s="58">
        <f>((('indice Carburant'!M6/'Indexation Client 2026'!$D$108)-1)*'Indexation Client 2026'!$F$108)</f>
        <v>-0.26</v>
      </c>
      <c r="U108" s="58">
        <f>((('indice Carburant'!N6/'Indexation Client 2026'!$D$108)-1)*'Indexation Client 2026'!$F$108)</f>
        <v>-0.26</v>
      </c>
    </row>
    <row r="109" ht="14.25" customHeight="1">
      <c r="A109" s="59" t="s">
        <v>174</v>
      </c>
      <c r="B109" s="53" t="s">
        <v>186</v>
      </c>
      <c r="C109" s="38" t="s">
        <v>174</v>
      </c>
      <c r="D109" s="53">
        <v>202.73</v>
      </c>
      <c r="E109" s="53" t="s">
        <v>138</v>
      </c>
      <c r="F109" s="83">
        <v>0.26</v>
      </c>
      <c r="G109" s="53" t="s">
        <v>36</v>
      </c>
      <c r="H109" s="53"/>
      <c r="I109" s="56"/>
      <c r="J109" s="57">
        <f>((('indice Carburant'!C6/'Indexation Client 2026'!$D$109)-1)*'Indexation Client 2026'!$F$109)</f>
        <v>-0.01372268535</v>
      </c>
      <c r="K109" s="57">
        <f>((('indice Carburant'!D6/'Indexation Client 2026'!$D$109)-1)*'Indexation Client 2026'!$F$109)</f>
        <v>-0.02720169684</v>
      </c>
      <c r="L109" s="57">
        <f>((('indice Carburant'!E6/'Indexation Client 2026'!$D$109)-1)*'Indexation Client 2026'!$F$109)</f>
        <v>-0.01932718394</v>
      </c>
      <c r="M109" s="58">
        <f>((('indice Carburant'!F6/'Indexation Client 2026'!$D$109)-1)*'Indexation Client 2026'!$F$109)</f>
        <v>-0.01204261826</v>
      </c>
      <c r="N109" s="58">
        <f>((('indice Carburant'!G6/'Indexation Client 2026'!$D$109)-1)*'Indexation Client 2026'!$F$109)</f>
        <v>0.05816110097</v>
      </c>
      <c r="O109" s="58">
        <f>((('indice Carburant'!H6/'Indexation Client 2026'!$D$109)-1)*'Indexation Client 2026'!$F$109)</f>
        <v>-0.26</v>
      </c>
      <c r="P109" s="58">
        <f>((('indice Carburant'!I6/'Indexation Client 2026'!$D$109)-1)*'Indexation Client 2026'!$F$109)</f>
        <v>-0.26</v>
      </c>
      <c r="Q109" s="58">
        <f>((('indice Carburant'!J6/'Indexation Client 2026'!$D$109)-1)*'Indexation Client 2026'!$F$109)</f>
        <v>-0.26</v>
      </c>
      <c r="R109" s="58">
        <f>((('indice Carburant'!K6/'Indexation Client 2026'!$D$109)-1)*'Indexation Client 2026'!$F$109)</f>
        <v>-0.26</v>
      </c>
      <c r="S109" s="58">
        <f>((('indice Carburant'!L6/'Indexation Client 2026'!$D$109)-1)*'Indexation Client 2026'!$F$109)</f>
        <v>-0.26</v>
      </c>
      <c r="T109" s="58">
        <f>((('indice Carburant'!M6/'Indexation Client 2026'!$D$109)-1)*'Indexation Client 2026'!$F$109)</f>
        <v>-0.26</v>
      </c>
      <c r="U109" s="58">
        <f>((('indice Carburant'!N6/'Indexation Client 2026'!$D$109)-1)*'Indexation Client 2026'!$F$109)</f>
        <v>-0.26</v>
      </c>
    </row>
    <row r="110" ht="14.25" customHeight="1">
      <c r="A110" s="59" t="s">
        <v>174</v>
      </c>
      <c r="B110" s="53" t="s">
        <v>187</v>
      </c>
      <c r="C110" s="38" t="s">
        <v>174</v>
      </c>
      <c r="D110" s="53">
        <v>195.67</v>
      </c>
      <c r="E110" s="53" t="s">
        <v>138</v>
      </c>
      <c r="F110" s="86">
        <v>0.221</v>
      </c>
      <c r="G110" s="53" t="s">
        <v>36</v>
      </c>
      <c r="H110" s="53"/>
      <c r="I110" s="56"/>
      <c r="J110" s="57">
        <f>((('indice Carburant'!C6/'Indexation Client 2026'!$D$110)-1)*'Indexation Client 2026'!$F$110)</f>
        <v>-0.004111207646</v>
      </c>
      <c r="K110" s="57">
        <f>((('indice Carburant'!D6/'Indexation Client 2026'!$D$110)-1)*'Indexation Client 2026'!$F$110)</f>
        <v>-0.015981755</v>
      </c>
      <c r="L110" s="57">
        <f>((('indice Carburant'!E6/'Indexation Client 2026'!$D$110)-1)*'Indexation Client 2026'!$F$110)</f>
        <v>-0.009046915725</v>
      </c>
      <c r="M110" s="58">
        <f>((('indice Carburant'!F6/'Indexation Client 2026'!$D$110)-1)*'Indexation Client 2026'!$F$110)</f>
        <v>-0.002631624674</v>
      </c>
      <c r="N110" s="58">
        <f>((('indice Carburant'!G6/'Indexation Client 2026'!$D$110)-1)*'Indexation Client 2026'!$F$110)</f>
        <v>0.05919461338</v>
      </c>
      <c r="O110" s="58">
        <f>((('indice Carburant'!H6/'Indexation Client 2026'!$D$110)-1)*'Indexation Client 2026'!$F$110)</f>
        <v>-0.221</v>
      </c>
      <c r="P110" s="58">
        <f>((('indice Carburant'!I6/'Indexation Client 2026'!$D$110)-1)*'Indexation Client 2026'!$F$110)</f>
        <v>-0.221</v>
      </c>
      <c r="Q110" s="58">
        <f>((('indice Carburant'!J6/'Indexation Client 2026'!$D$110)-1)*'Indexation Client 2026'!$F$110)</f>
        <v>-0.221</v>
      </c>
      <c r="R110" s="58">
        <f>((('indice Carburant'!K6/'Indexation Client 2026'!$D$110)-1)*'Indexation Client 2026'!$F$110)</f>
        <v>-0.221</v>
      </c>
      <c r="S110" s="58">
        <f>((('indice Carburant'!L6/'Indexation Client 2026'!$D$110)-1)*'Indexation Client 2026'!$F$110)</f>
        <v>-0.221</v>
      </c>
      <c r="T110" s="58">
        <f>((('indice Carburant'!M6/'Indexation Client 2026'!$D$110)-1)*'Indexation Client 2026'!$F$110)</f>
        <v>-0.221</v>
      </c>
      <c r="U110" s="58">
        <f>((('indice Carburant'!N6/'Indexation Client 2026'!$D$110)-1)*'Indexation Client 2026'!$F$110)</f>
        <v>-0.221</v>
      </c>
    </row>
    <row r="111" ht="14.25" customHeight="1">
      <c r="A111" s="59" t="s">
        <v>188</v>
      </c>
      <c r="B111" s="53" t="s">
        <v>189</v>
      </c>
      <c r="C111" s="38" t="s">
        <v>174</v>
      </c>
      <c r="D111" s="53">
        <v>188.39</v>
      </c>
      <c r="E111" s="53" t="s">
        <v>35</v>
      </c>
      <c r="F111" s="83">
        <v>0.24</v>
      </c>
      <c r="G111" s="53" t="s">
        <v>36</v>
      </c>
      <c r="H111" s="53"/>
      <c r="I111" s="56"/>
      <c r="J111" s="57">
        <f>((('indice Carburant'!D6/'Indexation Client 2026'!$D$111)-1)*'Indexation Client 2026'!$F$111)</f>
        <v>-0.008752056903</v>
      </c>
      <c r="K111" s="57">
        <f>((('indice Carburant'!E6/'Indexation Client 2026'!$D$111)-1)*'Indexation Client 2026'!$F$111)</f>
        <v>-0.000929985668</v>
      </c>
      <c r="L111" s="57">
        <f>((('indice Carburant'!F6/'Indexation Client 2026'!$D$111)-1)*'Indexation Client 2026'!$F$111)</f>
        <v>0.006306067201</v>
      </c>
      <c r="M111" s="58">
        <f>((('indice Carburant'!G6/'Indexation Client 2026'!$D$111)-1)*'Indexation Client 2026'!$F$111)</f>
        <v>0.07604225277</v>
      </c>
      <c r="N111" s="58">
        <f>((('indice Carburant'!H6/'Indexation Client 2026'!$D$111)-1)*'Indexation Client 2026'!$F$111)</f>
        <v>-0.24</v>
      </c>
      <c r="O111" s="58">
        <f>((('indice Carburant'!I6/'Indexation Client 2026'!$D$111)-1)*'Indexation Client 2026'!$F$111)</f>
        <v>-0.24</v>
      </c>
      <c r="P111" s="58">
        <f>((('indice Carburant'!J6/'Indexation Client 2026'!$D$111)-1)*'Indexation Client 2026'!$F$111)</f>
        <v>-0.24</v>
      </c>
      <c r="Q111" s="58">
        <f>((('indice Carburant'!K6/'Indexation Client 2026'!$D$111)-1)*'Indexation Client 2026'!$F$111)</f>
        <v>-0.24</v>
      </c>
      <c r="R111" s="58">
        <f>((('indice Carburant'!L6/'Indexation Client 2026'!$D$111)-1)*'Indexation Client 2026'!$F$111)</f>
        <v>-0.24</v>
      </c>
      <c r="S111" s="58">
        <f>((('indice Carburant'!M6/'Indexation Client 2026'!$D$111)-1)*'Indexation Client 2026'!$F$111)</f>
        <v>-0.24</v>
      </c>
      <c r="T111" s="58">
        <f>((('indice Carburant'!N6/'Indexation Client 2026'!$D$111)-1)*'Indexation Client 2026'!$F$111)</f>
        <v>-0.24</v>
      </c>
      <c r="U111" s="58">
        <f>((('indice Carburant'!O6/'Indexation Client 2026'!$D$111)-1)*'Indexation Client 2026'!$F$111)</f>
        <v>-0.24</v>
      </c>
    </row>
    <row r="112" ht="14.25" customHeight="1">
      <c r="A112" s="59" t="s">
        <v>188</v>
      </c>
      <c r="B112" s="53" t="s">
        <v>190</v>
      </c>
      <c r="C112" s="38" t="s">
        <v>174</v>
      </c>
      <c r="D112" s="53">
        <v>202.73</v>
      </c>
      <c r="E112" s="53" t="s">
        <v>35</v>
      </c>
      <c r="F112" s="83">
        <v>0.26</v>
      </c>
      <c r="G112" s="53" t="s">
        <v>36</v>
      </c>
      <c r="H112" s="53"/>
      <c r="I112" s="56"/>
      <c r="J112" s="57">
        <f>((('indice Carburant'!D6/'Indexation Client 2026'!$D$112)-1)*'Indexation Client 2026'!$F$112)</f>
        <v>-0.02720169684</v>
      </c>
      <c r="K112" s="57">
        <f>((('indice Carburant'!E6/'Indexation Client 2026'!$D$112)-1)*'Indexation Client 2026'!$F$112)</f>
        <v>-0.01932718394</v>
      </c>
      <c r="L112" s="57">
        <f>((('indice Carburant'!F6/'Indexation Client 2026'!$D$112)-1)*'Indexation Client 2026'!$F$112)</f>
        <v>-0.01204261826</v>
      </c>
      <c r="M112" s="58">
        <f>((('indice Carburant'!G6/'Indexation Client 2026'!$D$112)-1)*'Indexation Client 2026'!$F$112)</f>
        <v>0.05816110097</v>
      </c>
      <c r="N112" s="58">
        <f>((('indice Carburant'!H6/'Indexation Client 2026'!$D$112)-1)*'Indexation Client 2026'!$F$112)</f>
        <v>-0.26</v>
      </c>
      <c r="O112" s="58">
        <f>((('indice Carburant'!I6/'Indexation Client 2026'!$D$112)-1)*'Indexation Client 2026'!$F$112)</f>
        <v>-0.26</v>
      </c>
      <c r="P112" s="58">
        <f>((('indice Carburant'!J6/'Indexation Client 2026'!$D$112)-1)*'Indexation Client 2026'!$F$112)</f>
        <v>-0.26</v>
      </c>
      <c r="Q112" s="58">
        <f>((('indice Carburant'!K6/'Indexation Client 2026'!$D$112)-1)*'Indexation Client 2026'!$F$112)</f>
        <v>-0.26</v>
      </c>
      <c r="R112" s="58">
        <f>((('indice Carburant'!L6/'Indexation Client 2026'!$D$112)-1)*'Indexation Client 2026'!$F$112)</f>
        <v>-0.26</v>
      </c>
      <c r="S112" s="58">
        <f>((('indice Carburant'!M6/'Indexation Client 2026'!$D$112)-1)*'Indexation Client 2026'!$F$112)</f>
        <v>-0.26</v>
      </c>
      <c r="T112" s="58">
        <f>((('indice Carburant'!N6/'Indexation Client 2026'!$D$112)-1)*'Indexation Client 2026'!$F$112)</f>
        <v>-0.26</v>
      </c>
      <c r="U112" s="58">
        <f>((('indice Carburant'!O6/'Indexation Client 2026'!$D$112)-1)*'Indexation Client 2026'!$F$112)</f>
        <v>-0.26</v>
      </c>
    </row>
    <row r="113" ht="14.25" customHeight="1">
      <c r="A113" s="59" t="s">
        <v>188</v>
      </c>
      <c r="B113" s="53" t="s">
        <v>191</v>
      </c>
      <c r="C113" s="38" t="s">
        <v>174</v>
      </c>
      <c r="D113" s="53">
        <v>202.73</v>
      </c>
      <c r="E113" s="53" t="s">
        <v>35</v>
      </c>
      <c r="F113" s="83">
        <v>0.26</v>
      </c>
      <c r="G113" s="53" t="s">
        <v>36</v>
      </c>
      <c r="H113" s="53"/>
      <c r="I113" s="56"/>
      <c r="J113" s="57">
        <f>((('indice Carburant'!D6/'Indexation Client 2026'!$D$113)-1)*'Indexation Client 2026'!$F$113)</f>
        <v>-0.02720169684</v>
      </c>
      <c r="K113" s="57">
        <f>((('indice Carburant'!E6/'Indexation Client 2026'!$D$113)-1)*'Indexation Client 2026'!$F$113)</f>
        <v>-0.01932718394</v>
      </c>
      <c r="L113" s="57">
        <f>((('indice Carburant'!F6/'Indexation Client 2026'!$D$113)-1)*'Indexation Client 2026'!$F$113)</f>
        <v>-0.01204261826</v>
      </c>
      <c r="M113" s="58">
        <f>((('indice Carburant'!G6/'Indexation Client 2026'!$D$113)-1)*'Indexation Client 2026'!$F$113)</f>
        <v>0.05816110097</v>
      </c>
      <c r="N113" s="58">
        <f>((('indice Carburant'!H6/'Indexation Client 2026'!$D$113)-1)*'Indexation Client 2026'!$F$113)</f>
        <v>-0.26</v>
      </c>
      <c r="O113" s="58">
        <f>((('indice Carburant'!I6/'Indexation Client 2026'!$D$113)-1)*'Indexation Client 2026'!$F$113)</f>
        <v>-0.26</v>
      </c>
      <c r="P113" s="58">
        <f>((('indice Carburant'!J6/'Indexation Client 2026'!$D$113)-1)*'Indexation Client 2026'!$F$113)</f>
        <v>-0.26</v>
      </c>
      <c r="Q113" s="58">
        <f>((('indice Carburant'!K6/'Indexation Client 2026'!$D$113)-1)*'Indexation Client 2026'!$F$113)</f>
        <v>-0.26</v>
      </c>
      <c r="R113" s="58">
        <f>((('indice Carburant'!L6/'Indexation Client 2026'!$D$113)-1)*'Indexation Client 2026'!$F$113)</f>
        <v>-0.26</v>
      </c>
      <c r="S113" s="58">
        <f>((('indice Carburant'!M6/'Indexation Client 2026'!$D$113)-1)*'Indexation Client 2026'!$F$113)</f>
        <v>-0.26</v>
      </c>
      <c r="T113" s="58">
        <f>((('indice Carburant'!N6/'Indexation Client 2026'!$D$113)-1)*'Indexation Client 2026'!$F$113)</f>
        <v>-0.26</v>
      </c>
      <c r="U113" s="58">
        <f>((('indice Carburant'!O6/'Indexation Client 2026'!$D$113)-1)*'Indexation Client 2026'!$F$113)</f>
        <v>-0.26</v>
      </c>
    </row>
    <row r="114" ht="14.25" customHeight="1">
      <c r="A114" s="59" t="s">
        <v>188</v>
      </c>
      <c r="B114" s="53" t="s">
        <v>192</v>
      </c>
      <c r="C114" s="38" t="s">
        <v>174</v>
      </c>
      <c r="D114" s="53">
        <v>202.73</v>
      </c>
      <c r="E114" s="53" t="s">
        <v>35</v>
      </c>
      <c r="F114" s="83">
        <v>0.26</v>
      </c>
      <c r="G114" s="53" t="s">
        <v>36</v>
      </c>
      <c r="H114" s="53"/>
      <c r="I114" s="56"/>
      <c r="J114" s="57">
        <f>((('indice Carburant'!D6/'Indexation Client 2026'!$D$114)-1)*'Indexation Client 2026'!$F$114)</f>
        <v>-0.02720169684</v>
      </c>
      <c r="K114" s="57">
        <f>((('indice Carburant'!E6/'Indexation Client 2026'!$D$114)-1)*'Indexation Client 2026'!$F$114)</f>
        <v>-0.01932718394</v>
      </c>
      <c r="L114" s="57">
        <f>((('indice Carburant'!F6/'Indexation Client 2026'!$D$114)-1)*'Indexation Client 2026'!$F$114)</f>
        <v>-0.01204261826</v>
      </c>
      <c r="M114" s="58">
        <f>((('indice Carburant'!G6/'Indexation Client 2026'!$D$114)-1)*'Indexation Client 2026'!$F$114)</f>
        <v>0.05816110097</v>
      </c>
      <c r="N114" s="58">
        <f>((('indice Carburant'!H6/'Indexation Client 2026'!$D$114)-1)*'Indexation Client 2026'!$F$114)</f>
        <v>-0.26</v>
      </c>
      <c r="O114" s="58">
        <f>((('indice Carburant'!I6/'Indexation Client 2026'!$D$114)-1)*'Indexation Client 2026'!$F$114)</f>
        <v>-0.26</v>
      </c>
      <c r="P114" s="58">
        <f>((('indice Carburant'!J6/'Indexation Client 2026'!$D$114)-1)*'Indexation Client 2026'!$F$114)</f>
        <v>-0.26</v>
      </c>
      <c r="Q114" s="58">
        <f>((('indice Carburant'!K6/'Indexation Client 2026'!$D$114)-1)*'Indexation Client 2026'!$F$114)</f>
        <v>-0.26</v>
      </c>
      <c r="R114" s="58">
        <f>((('indice Carburant'!L6/'Indexation Client 2026'!$D$114)-1)*'Indexation Client 2026'!$F$114)</f>
        <v>-0.26</v>
      </c>
      <c r="S114" s="58">
        <f>((('indice Carburant'!M6/'Indexation Client 2026'!$D$114)-1)*'Indexation Client 2026'!$F$114)</f>
        <v>-0.26</v>
      </c>
      <c r="T114" s="58">
        <f>((('indice Carburant'!N6/'Indexation Client 2026'!$D$114)-1)*'Indexation Client 2026'!$F$114)</f>
        <v>-0.26</v>
      </c>
      <c r="U114" s="58">
        <f>((('indice Carburant'!O6/'Indexation Client 2026'!$D$114)-1)*'Indexation Client 2026'!$F$114)</f>
        <v>-0.26</v>
      </c>
    </row>
    <row r="115" ht="14.25" customHeight="1">
      <c r="A115" s="59" t="s">
        <v>188</v>
      </c>
      <c r="B115" s="53" t="s">
        <v>193</v>
      </c>
      <c r="C115" s="38" t="s">
        <v>174</v>
      </c>
      <c r="D115" s="53">
        <v>202.73</v>
      </c>
      <c r="E115" s="53" t="s">
        <v>35</v>
      </c>
      <c r="F115" s="83">
        <v>0.26</v>
      </c>
      <c r="G115" s="53" t="s">
        <v>36</v>
      </c>
      <c r="H115" s="53"/>
      <c r="I115" s="56"/>
      <c r="J115" s="57">
        <f>((('indice Carburant'!D6/'Indexation Client 2026'!$D$115)-1)*'Indexation Client 2026'!$F$115)</f>
        <v>-0.02720169684</v>
      </c>
      <c r="K115" s="57">
        <f>((('indice Carburant'!E6/'Indexation Client 2026'!$D$115)-1)*'Indexation Client 2026'!$F$115)</f>
        <v>-0.01932718394</v>
      </c>
      <c r="L115" s="57">
        <f>((('indice Carburant'!F6/'Indexation Client 2026'!$D$115)-1)*'Indexation Client 2026'!$F$115)</f>
        <v>-0.01204261826</v>
      </c>
      <c r="M115" s="58">
        <f>((('indice Carburant'!G6/'Indexation Client 2026'!$D$115)-1)*'Indexation Client 2026'!$F$115)</f>
        <v>0.05816110097</v>
      </c>
      <c r="N115" s="58">
        <f>((('indice Carburant'!H6/'Indexation Client 2026'!$D$115)-1)*'Indexation Client 2026'!$F$115)</f>
        <v>-0.26</v>
      </c>
      <c r="O115" s="58">
        <f>((('indice Carburant'!I6/'Indexation Client 2026'!$D$115)-1)*'Indexation Client 2026'!$F$115)</f>
        <v>-0.26</v>
      </c>
      <c r="P115" s="58">
        <f>((('indice Carburant'!J6/'Indexation Client 2026'!$D$115)-1)*'Indexation Client 2026'!$F$115)</f>
        <v>-0.26</v>
      </c>
      <c r="Q115" s="58">
        <f>((('indice Carburant'!K6/'Indexation Client 2026'!$D$115)-1)*'Indexation Client 2026'!$F$115)</f>
        <v>-0.26</v>
      </c>
      <c r="R115" s="58">
        <f>((('indice Carburant'!L6/'Indexation Client 2026'!$D$115)-1)*'Indexation Client 2026'!$F$115)</f>
        <v>-0.26</v>
      </c>
      <c r="S115" s="58">
        <f>((('indice Carburant'!M6/'Indexation Client 2026'!$D$115)-1)*'Indexation Client 2026'!$F$115)</f>
        <v>-0.26</v>
      </c>
      <c r="T115" s="58">
        <f>((('indice Carburant'!N6/'Indexation Client 2026'!$D$115)-1)*'Indexation Client 2026'!$F$115)</f>
        <v>-0.26</v>
      </c>
      <c r="U115" s="58">
        <f>((('indice Carburant'!O6/'Indexation Client 2026'!$D$115)-1)*'Indexation Client 2026'!$F$115)</f>
        <v>-0.26</v>
      </c>
    </row>
    <row r="116" ht="14.25" customHeight="1">
      <c r="A116" s="59" t="s">
        <v>188</v>
      </c>
      <c r="B116" s="53" t="s">
        <v>194</v>
      </c>
      <c r="C116" s="38" t="s">
        <v>174</v>
      </c>
      <c r="D116" s="53">
        <v>202.73</v>
      </c>
      <c r="E116" s="53" t="s">
        <v>35</v>
      </c>
      <c r="F116" s="83">
        <v>0.26</v>
      </c>
      <c r="G116" s="53" t="s">
        <v>36</v>
      </c>
      <c r="H116" s="53"/>
      <c r="I116" s="56"/>
      <c r="J116" s="57">
        <f>((('indice Carburant'!D6/'Indexation Client 2026'!$D$116)-1)*'Indexation Client 2026'!$F$116)</f>
        <v>-0.02720169684</v>
      </c>
      <c r="K116" s="57">
        <f>((('indice Carburant'!E6/'Indexation Client 2026'!$D$116)-1)*'Indexation Client 2026'!$F$116)</f>
        <v>-0.01932718394</v>
      </c>
      <c r="L116" s="57">
        <f>((('indice Carburant'!F6/'Indexation Client 2026'!$D$116)-1)*'Indexation Client 2026'!$F$116)</f>
        <v>-0.01204261826</v>
      </c>
      <c r="M116" s="58">
        <f>((('indice Carburant'!G6/'Indexation Client 2026'!$D$116)-1)*'Indexation Client 2026'!$F$116)</f>
        <v>0.05816110097</v>
      </c>
      <c r="N116" s="58">
        <f>((('indice Carburant'!H6/'Indexation Client 2026'!$D$116)-1)*'Indexation Client 2026'!$F$116)</f>
        <v>-0.26</v>
      </c>
      <c r="O116" s="58">
        <f>((('indice Carburant'!I6/'Indexation Client 2026'!$D$116)-1)*'Indexation Client 2026'!$F$116)</f>
        <v>-0.26</v>
      </c>
      <c r="P116" s="58">
        <f>((('indice Carburant'!J6/'Indexation Client 2026'!$D$116)-1)*'Indexation Client 2026'!$F$116)</f>
        <v>-0.26</v>
      </c>
      <c r="Q116" s="58">
        <f>((('indice Carburant'!K6/'Indexation Client 2026'!$D$116)-1)*'Indexation Client 2026'!$F$116)</f>
        <v>-0.26</v>
      </c>
      <c r="R116" s="58">
        <f>((('indice Carburant'!L6/'Indexation Client 2026'!$D$116)-1)*'Indexation Client 2026'!$F$116)</f>
        <v>-0.26</v>
      </c>
      <c r="S116" s="58">
        <f>((('indice Carburant'!M6/'Indexation Client 2026'!$D$116)-1)*'Indexation Client 2026'!$F$116)</f>
        <v>-0.26</v>
      </c>
      <c r="T116" s="58">
        <f>((('indice Carburant'!N6/'Indexation Client 2026'!$D$116)-1)*'Indexation Client 2026'!$F$116)</f>
        <v>-0.26</v>
      </c>
      <c r="U116" s="58">
        <f>((('indice Carburant'!O6/'Indexation Client 2026'!$D$116)-1)*'Indexation Client 2026'!$F$116)</f>
        <v>-0.26</v>
      </c>
    </row>
    <row r="117" ht="14.25" customHeight="1">
      <c r="A117" s="59" t="s">
        <v>188</v>
      </c>
      <c r="B117" s="53" t="s">
        <v>195</v>
      </c>
      <c r="C117" s="38" t="s">
        <v>174</v>
      </c>
      <c r="D117" s="53">
        <v>188.39</v>
      </c>
      <c r="E117" s="53" t="s">
        <v>35</v>
      </c>
      <c r="F117" s="83">
        <v>0.19</v>
      </c>
      <c r="G117" s="53" t="s">
        <v>36</v>
      </c>
      <c r="H117" s="53"/>
      <c r="I117" s="56"/>
      <c r="J117" s="57">
        <f>((('indice Carburant'!D6/'Indexation Client 2026'!$D$117)-1)*'Indexation Client 2026'!$F$117)</f>
        <v>-0.006928711715</v>
      </c>
      <c r="K117" s="57">
        <f>((('indice Carburant'!E6/'Indexation Client 2026'!$D$117)-1)*'Indexation Client 2026'!$F$117)</f>
        <v>-0.0007362386539</v>
      </c>
      <c r="L117" s="57">
        <f>((('indice Carburant'!F6/'Indexation Client 2026'!$D$117)-1)*'Indexation Client 2026'!$F$117)</f>
        <v>0.004992303201</v>
      </c>
      <c r="M117" s="58">
        <f>((('indice Carburant'!G6/'Indexation Client 2026'!$D$117)-1)*'Indexation Client 2026'!$F$117)</f>
        <v>0.06020011678</v>
      </c>
      <c r="N117" s="58">
        <f>((('indice Carburant'!H6/'Indexation Client 2026'!$D$117)-1)*'Indexation Client 2026'!$F$117)</f>
        <v>-0.19</v>
      </c>
      <c r="O117" s="58">
        <f>((('indice Carburant'!I6/'Indexation Client 2026'!$D$117)-1)*'Indexation Client 2026'!$F$117)</f>
        <v>-0.19</v>
      </c>
      <c r="P117" s="58">
        <f>((('indice Carburant'!J6/'Indexation Client 2026'!$D$117)-1)*'Indexation Client 2026'!$F$117)</f>
        <v>-0.19</v>
      </c>
      <c r="Q117" s="58">
        <f>((('indice Carburant'!K6/'Indexation Client 2026'!$D$117)-1)*'Indexation Client 2026'!$F$117)</f>
        <v>-0.19</v>
      </c>
      <c r="R117" s="58">
        <f>((('indice Carburant'!L6/'Indexation Client 2026'!$D$117)-1)*'Indexation Client 2026'!$F$117)</f>
        <v>-0.19</v>
      </c>
      <c r="S117" s="58">
        <f>((('indice Carburant'!M6/'Indexation Client 2026'!$D$117)-1)*'Indexation Client 2026'!$F$117)</f>
        <v>-0.19</v>
      </c>
      <c r="T117" s="58">
        <f>((('indice Carburant'!N6/'Indexation Client 2026'!$D$117)-1)*'Indexation Client 2026'!$F$117)</f>
        <v>-0.19</v>
      </c>
      <c r="U117" s="58">
        <f>((('indice Carburant'!O6/'Indexation Client 2026'!$D$117)-1)*'Indexation Client 2026'!$F$117)</f>
        <v>-0.19</v>
      </c>
    </row>
    <row r="118" ht="14.25" customHeight="1">
      <c r="A118" s="59" t="s">
        <v>196</v>
      </c>
      <c r="B118" s="53" t="s">
        <v>197</v>
      </c>
      <c r="C118" s="38" t="s">
        <v>198</v>
      </c>
      <c r="D118" s="53">
        <v>118.42</v>
      </c>
      <c r="E118" s="76" t="s">
        <v>131</v>
      </c>
      <c r="F118" s="58">
        <v>0.209</v>
      </c>
      <c r="G118" s="53" t="s">
        <v>36</v>
      </c>
      <c r="H118" s="53"/>
      <c r="I118" s="56"/>
      <c r="J118" s="57">
        <f>((('indice Carburant'!D6/'Indexation Client 2026'!$D$118)-1)*'Indexation Client 2026'!$F$118)</f>
        <v>0.1113654788</v>
      </c>
      <c r="K118" s="57">
        <f>((('indice Carburant'!E6/'Indexation Client 2026'!$D$118)-1)*'Indexation Client 2026'!$F$118)</f>
        <v>0.1222019929</v>
      </c>
      <c r="L118" s="57">
        <f>((('indice Carburant'!F6/'Indexation Client 2026'!$D$118)-1)*'Indexation Client 2026'!$F$118)</f>
        <v>0.1322266509</v>
      </c>
      <c r="M118" s="58">
        <f>((('indice Carburant'!G6/'Indexation Client 2026'!$D$118)-1)*'Indexation Client 2026'!$F$118)</f>
        <v>0.2288375274</v>
      </c>
      <c r="N118" s="58">
        <f>((('indice Carburant'!H6/'Indexation Client 2026'!$D$118)-1)*'Indexation Client 2026'!$F$118)</f>
        <v>-0.209</v>
      </c>
      <c r="O118" s="58">
        <f>((('indice Carburant'!I6/'Indexation Client 2026'!$D$118)-1)*'Indexation Client 2026'!$F$118)</f>
        <v>-0.209</v>
      </c>
      <c r="P118" s="58">
        <f>((('indice Carburant'!J6/'Indexation Client 2026'!$D$118)-1)*'Indexation Client 2026'!$F$118)</f>
        <v>-0.209</v>
      </c>
      <c r="Q118" s="58">
        <f>((('indice Carburant'!K6/'Indexation Client 2026'!$D$118)-1)*'Indexation Client 2026'!$F$118)</f>
        <v>-0.209</v>
      </c>
      <c r="R118" s="58">
        <f>((('indice Carburant'!L6/'Indexation Client 2026'!$D$118)-1)*'Indexation Client 2026'!$F$118)</f>
        <v>-0.209</v>
      </c>
      <c r="S118" s="58">
        <f>((('indice Carburant'!M6/'Indexation Client 2026'!$D$118)-1)*'Indexation Client 2026'!$F$118)</f>
        <v>-0.209</v>
      </c>
      <c r="T118" s="58">
        <f>((('indice Carburant'!N6/'Indexation Client 2026'!$D$118)-1)*'Indexation Client 2026'!$F$118)</f>
        <v>-0.209</v>
      </c>
      <c r="U118" s="58">
        <f>((('indice Carburant'!O6/'Indexation Client 2026'!$D$118)-1)*'Indexation Client 2026'!$F$118)</f>
        <v>-0.209</v>
      </c>
    </row>
    <row r="119" ht="14.25" customHeight="1">
      <c r="A119" s="59" t="s">
        <v>196</v>
      </c>
      <c r="B119" s="53" t="s">
        <v>199</v>
      </c>
      <c r="C119" s="38" t="s">
        <v>200</v>
      </c>
      <c r="D119" s="53">
        <v>136.18</v>
      </c>
      <c r="E119" s="76" t="s">
        <v>131</v>
      </c>
      <c r="F119" s="58">
        <v>0.209</v>
      </c>
      <c r="G119" s="53" t="s">
        <v>36</v>
      </c>
      <c r="H119" s="53"/>
      <c r="I119" s="56"/>
      <c r="J119" s="57">
        <f>((('indice Carburant'!D6/'Indexation Client 2026'!$D$119)-1)*'Indexation Client 2026'!$F$119)</f>
        <v>0.06958481422</v>
      </c>
      <c r="K119" s="57">
        <f>((('indice Carburant'!E6/'Indexation Client 2026'!$D$119)-1)*'Indexation Client 2026'!$F$119)</f>
        <v>0.07900807754</v>
      </c>
      <c r="L119" s="57">
        <f>((('indice Carburant'!F6/'Indexation Client 2026'!$D$119)-1)*'Indexation Client 2026'!$F$119)</f>
        <v>0.08772536349</v>
      </c>
      <c r="M119" s="58">
        <f>((('indice Carburant'!G6/'Indexation Client 2026'!$D$119)-1)*'Indexation Client 2026'!$F$119)</f>
        <v>0.1717366721</v>
      </c>
      <c r="N119" s="58">
        <f>((('indice Carburant'!H6/'Indexation Client 2026'!$D$119)-1)*'Indexation Client 2026'!$F$119)</f>
        <v>-0.209</v>
      </c>
      <c r="O119" s="58">
        <f>((('indice Carburant'!I6/'Indexation Client 2026'!$D$119)-1)*'Indexation Client 2026'!$F$119)</f>
        <v>-0.209</v>
      </c>
      <c r="P119" s="58">
        <f>((('indice Carburant'!J6/'Indexation Client 2026'!$D$119)-1)*'Indexation Client 2026'!$F$119)</f>
        <v>-0.209</v>
      </c>
      <c r="Q119" s="58">
        <f>((('indice Carburant'!K6/'Indexation Client 2026'!$D$119)-1)*'Indexation Client 2026'!$F$119)</f>
        <v>-0.209</v>
      </c>
      <c r="R119" s="58">
        <f>((('indice Carburant'!L6/'Indexation Client 2026'!$D$119)-1)*'Indexation Client 2026'!$F$119)</f>
        <v>-0.209</v>
      </c>
      <c r="S119" s="58">
        <f>((('indice Carburant'!M6/'Indexation Client 2026'!$D$119)-1)*'Indexation Client 2026'!$F$119)</f>
        <v>-0.209</v>
      </c>
      <c r="T119" s="58">
        <f>((('indice Carburant'!N6/'Indexation Client 2026'!$D$119)-1)*'Indexation Client 2026'!$F$119)</f>
        <v>-0.209</v>
      </c>
      <c r="U119" s="58">
        <f>((('indice Carburant'!O6/'Indexation Client 2026'!$D$119)-1)*'Indexation Client 2026'!$F$119)</f>
        <v>-0.209</v>
      </c>
    </row>
    <row r="120" ht="14.25" customHeight="1">
      <c r="A120" s="59" t="s">
        <v>196</v>
      </c>
      <c r="B120" s="53" t="s">
        <v>201</v>
      </c>
      <c r="C120" s="38" t="s">
        <v>200</v>
      </c>
      <c r="D120" s="53">
        <v>206.31</v>
      </c>
      <c r="E120" s="76" t="s">
        <v>131</v>
      </c>
      <c r="F120" s="58">
        <v>0.209</v>
      </c>
      <c r="G120" s="53" t="s">
        <v>36</v>
      </c>
      <c r="H120" s="53"/>
      <c r="I120" s="56"/>
      <c r="J120" s="57">
        <f>((('indice Carburant'!D6/'Indexation Client 2026'!$D$120)-1)*'Indexation Client 2026'!$F$120)</f>
        <v>-0.02511322767</v>
      </c>
      <c r="K120" s="57">
        <f>((('indice Carburant'!E6/'Indexation Client 2026'!$D$120)-1)*'Indexation Client 2026'!$F$120)</f>
        <v>-0.01889317047</v>
      </c>
      <c r="L120" s="57">
        <f>((('indice Carburant'!F6/'Indexation Client 2026'!$D$120)-1)*'Indexation Client 2026'!$F$120)</f>
        <v>-0.01313911105</v>
      </c>
      <c r="M120" s="58">
        <f>((('indice Carburant'!G6/'Indexation Client 2026'!$D$120)-1)*'Indexation Client 2026'!$F$120)</f>
        <v>0.04231462362</v>
      </c>
      <c r="N120" s="58">
        <f>((('indice Carburant'!H6/'Indexation Client 2026'!$D$120)-1)*'Indexation Client 2026'!$F$120)</f>
        <v>-0.209</v>
      </c>
      <c r="O120" s="58">
        <f>((('indice Carburant'!I6/'Indexation Client 2026'!$D$120)-1)*'Indexation Client 2026'!$F$120)</f>
        <v>-0.209</v>
      </c>
      <c r="P120" s="58">
        <f>((('indice Carburant'!J6/'Indexation Client 2026'!$D$120)-1)*'Indexation Client 2026'!$F$120)</f>
        <v>-0.209</v>
      </c>
      <c r="Q120" s="58">
        <f>((('indice Carburant'!K6/'Indexation Client 2026'!$D$120)-1)*'Indexation Client 2026'!$F$120)</f>
        <v>-0.209</v>
      </c>
      <c r="R120" s="58">
        <f>((('indice Carburant'!L6/'Indexation Client 2026'!$D$120)-1)*'Indexation Client 2026'!$F$120)</f>
        <v>-0.209</v>
      </c>
      <c r="S120" s="58">
        <f>((('indice Carburant'!M6/'Indexation Client 2026'!$D$120)-1)*'Indexation Client 2026'!$F$120)</f>
        <v>-0.209</v>
      </c>
      <c r="T120" s="58">
        <f>((('indice Carburant'!N6/'Indexation Client 2026'!$D$120)-1)*'Indexation Client 2026'!$F$120)</f>
        <v>-0.209</v>
      </c>
      <c r="U120" s="58">
        <f>((('indice Carburant'!O6/'Indexation Client 2026'!$D$120)-1)*'Indexation Client 2026'!$F$120)</f>
        <v>-0.209</v>
      </c>
    </row>
    <row r="121" ht="14.25" customHeight="1">
      <c r="A121" s="59" t="s">
        <v>196</v>
      </c>
      <c r="B121" s="53" t="s">
        <v>202</v>
      </c>
      <c r="C121" s="38" t="s">
        <v>200</v>
      </c>
      <c r="D121" s="53">
        <v>206.31</v>
      </c>
      <c r="E121" s="76" t="s">
        <v>131</v>
      </c>
      <c r="F121" s="58">
        <v>0.209</v>
      </c>
      <c r="G121" s="53" t="s">
        <v>36</v>
      </c>
      <c r="H121" s="53"/>
      <c r="I121" s="56"/>
      <c r="J121" s="57">
        <f>((('indice Carburant'!D6/'Indexation Client 2026'!$D$121)-1)*'Indexation Client 2026'!$F$121)</f>
        <v>-0.02511322767</v>
      </c>
      <c r="K121" s="57">
        <f>((('indice Carburant'!E6/'Indexation Client 2026'!$D$121)-1)*'Indexation Client 2026'!$F$121)</f>
        <v>-0.01889317047</v>
      </c>
      <c r="L121" s="57">
        <f>((('indice Carburant'!F6/'Indexation Client 2026'!$D$121)-1)*'Indexation Client 2026'!$F$121)</f>
        <v>-0.01313911105</v>
      </c>
      <c r="M121" s="58">
        <f>((('indice Carburant'!G6/'Indexation Client 2026'!$D$121)-1)*'Indexation Client 2026'!$F$121)</f>
        <v>0.04231462362</v>
      </c>
      <c r="N121" s="58">
        <f>((('indice Carburant'!H6/'Indexation Client 2026'!$D$121)-1)*'Indexation Client 2026'!$F$121)</f>
        <v>-0.209</v>
      </c>
      <c r="O121" s="58">
        <f>((('indice Carburant'!I6/'Indexation Client 2026'!$D$121)-1)*'Indexation Client 2026'!$F$121)</f>
        <v>-0.209</v>
      </c>
      <c r="P121" s="58">
        <f>((('indice Carburant'!J6/'Indexation Client 2026'!$D$121)-1)*'Indexation Client 2026'!$F$121)</f>
        <v>-0.209</v>
      </c>
      <c r="Q121" s="58">
        <f>((('indice Carburant'!K6/'Indexation Client 2026'!$D$121)-1)*'Indexation Client 2026'!$F$121)</f>
        <v>-0.209</v>
      </c>
      <c r="R121" s="58">
        <f>((('indice Carburant'!L6/'Indexation Client 2026'!$D$121)-1)*'Indexation Client 2026'!$F$121)</f>
        <v>-0.209</v>
      </c>
      <c r="S121" s="58">
        <f>((('indice Carburant'!M6/'Indexation Client 2026'!$D$121)-1)*'Indexation Client 2026'!$F$121)</f>
        <v>-0.209</v>
      </c>
      <c r="T121" s="58">
        <f>((('indice Carburant'!N6/'Indexation Client 2026'!$D$121)-1)*'Indexation Client 2026'!$F$121)</f>
        <v>-0.209</v>
      </c>
      <c r="U121" s="58">
        <f>((('indice Carburant'!O6/'Indexation Client 2026'!$D$121)-1)*'Indexation Client 2026'!$F$121)</f>
        <v>-0.209</v>
      </c>
    </row>
    <row r="122" ht="14.25" customHeight="1">
      <c r="A122" s="59" t="s">
        <v>196</v>
      </c>
      <c r="B122" s="53" t="s">
        <v>203</v>
      </c>
      <c r="C122" s="38" t="s">
        <v>200</v>
      </c>
      <c r="D122" s="53">
        <v>195.67</v>
      </c>
      <c r="E122" s="76" t="s">
        <v>131</v>
      </c>
      <c r="F122" s="58">
        <v>0.209</v>
      </c>
      <c r="G122" s="53" t="s">
        <v>36</v>
      </c>
      <c r="H122" s="53"/>
      <c r="I122" s="56"/>
      <c r="J122" s="57">
        <f>((('indice Carburant'!D6/'Indexation Client 2026'!$D$122)-1)*'Indexation Client 2026'!$F$122)</f>
        <v>-0.01511396739</v>
      </c>
      <c r="K122" s="57">
        <f>((('indice Carburant'!E6/'Indexation Client 2026'!$D$122)-1)*'Indexation Client 2026'!$F$122)</f>
        <v>-0.008555680482</v>
      </c>
      <c r="L122" s="57">
        <f>((('indice Carburant'!F6/'Indexation Client 2026'!$D$122)-1)*'Indexation Client 2026'!$F$122)</f>
        <v>-0.002488731027</v>
      </c>
      <c r="M122" s="58">
        <f>((('indice Carburant'!G6/'Indexation Client 2026'!$D$122)-1)*'Indexation Client 2026'!$F$122)</f>
        <v>0.05598042623</v>
      </c>
      <c r="N122" s="58">
        <f>((('indice Carburant'!H6/'Indexation Client 2026'!$D$122)-1)*'Indexation Client 2026'!$F$122)</f>
        <v>-0.209</v>
      </c>
      <c r="O122" s="58">
        <f>((('indice Carburant'!I6/'Indexation Client 2026'!$D$122)-1)*'Indexation Client 2026'!$F$122)</f>
        <v>-0.209</v>
      </c>
      <c r="P122" s="58">
        <f>((('indice Carburant'!J6/'Indexation Client 2026'!$D$122)-1)*'Indexation Client 2026'!$F$122)</f>
        <v>-0.209</v>
      </c>
      <c r="Q122" s="58">
        <f>((('indice Carburant'!K6/'Indexation Client 2026'!$D$122)-1)*'Indexation Client 2026'!$F$122)</f>
        <v>-0.209</v>
      </c>
      <c r="R122" s="58">
        <f>((('indice Carburant'!L6/'Indexation Client 2026'!$D$122)-1)*'Indexation Client 2026'!$F$122)</f>
        <v>-0.209</v>
      </c>
      <c r="S122" s="58">
        <f>((('indice Carburant'!M6/'Indexation Client 2026'!$D$122)-1)*'Indexation Client 2026'!$F$122)</f>
        <v>-0.209</v>
      </c>
      <c r="T122" s="58">
        <f>((('indice Carburant'!N6/'Indexation Client 2026'!$D$122)-1)*'Indexation Client 2026'!$F$122)</f>
        <v>-0.209</v>
      </c>
      <c r="U122" s="58">
        <f>((('indice Carburant'!O6/'Indexation Client 2026'!$D$122)-1)*'Indexation Client 2026'!$F$122)</f>
        <v>-0.209</v>
      </c>
    </row>
    <row r="123" ht="14.25" customHeight="1">
      <c r="A123" s="59" t="s">
        <v>196</v>
      </c>
      <c r="B123" s="53" t="s">
        <v>204</v>
      </c>
      <c r="C123" s="38" t="s">
        <v>200</v>
      </c>
      <c r="D123" s="53">
        <v>197.36</v>
      </c>
      <c r="E123" s="76" t="s">
        <v>131</v>
      </c>
      <c r="F123" s="58">
        <v>0.209</v>
      </c>
      <c r="G123" s="53" t="s">
        <v>36</v>
      </c>
      <c r="H123" s="53"/>
      <c r="I123" s="56"/>
      <c r="J123" s="57">
        <f>((('indice Carburant'!D6/'Indexation Client 2026'!$D$123)-1)*'Indexation Client 2026'!$F$123)</f>
        <v>-0.0167742197</v>
      </c>
      <c r="K123" s="57">
        <f>((('indice Carburant'!E6/'Indexation Client 2026'!$D$123)-1)*'Indexation Client 2026'!$F$123)</f>
        <v>-0.01027209161</v>
      </c>
      <c r="L123" s="57">
        <f>((('indice Carburant'!F6/'Indexation Client 2026'!$D$123)-1)*'Indexation Client 2026'!$F$123)</f>
        <v>-0.004257093636</v>
      </c>
      <c r="M123" s="58">
        <f>((('indice Carburant'!G6/'Indexation Client 2026'!$D$123)-1)*'Indexation Client 2026'!$F$123)</f>
        <v>0.05371139035</v>
      </c>
      <c r="N123" s="58">
        <f>((('indice Carburant'!H6/'Indexation Client 2026'!$D$123)-1)*'Indexation Client 2026'!$F$123)</f>
        <v>-0.209</v>
      </c>
      <c r="O123" s="58">
        <f>((('indice Carburant'!I6/'Indexation Client 2026'!$D$123)-1)*'Indexation Client 2026'!$F$123)</f>
        <v>-0.209</v>
      </c>
      <c r="P123" s="58">
        <f>((('indice Carburant'!J6/'Indexation Client 2026'!$D$123)-1)*'Indexation Client 2026'!$F$123)</f>
        <v>-0.209</v>
      </c>
      <c r="Q123" s="58">
        <f>((('indice Carburant'!K6/'Indexation Client 2026'!$D$123)-1)*'Indexation Client 2026'!$F$123)</f>
        <v>-0.209</v>
      </c>
      <c r="R123" s="58">
        <f>((('indice Carburant'!L6/'Indexation Client 2026'!$D$123)-1)*'Indexation Client 2026'!$F$123)</f>
        <v>-0.209</v>
      </c>
      <c r="S123" s="58">
        <f>((('indice Carburant'!M6/'Indexation Client 2026'!$D$123)-1)*'Indexation Client 2026'!$F$123)</f>
        <v>-0.209</v>
      </c>
      <c r="T123" s="58">
        <f>((('indice Carburant'!N6/'Indexation Client 2026'!$D$123)-1)*'Indexation Client 2026'!$F$123)</f>
        <v>-0.209</v>
      </c>
      <c r="U123" s="58">
        <f>((('indice Carburant'!O6/'Indexation Client 2026'!$D$123)-1)*'Indexation Client 2026'!$F$123)</f>
        <v>-0.209</v>
      </c>
    </row>
    <row r="124" ht="14.25" customHeight="1">
      <c r="A124" s="59" t="s">
        <v>196</v>
      </c>
      <c r="B124" s="53" t="s">
        <v>205</v>
      </c>
      <c r="C124" s="38" t="s">
        <v>200</v>
      </c>
      <c r="D124" s="53">
        <v>206.31</v>
      </c>
      <c r="E124" s="76" t="s">
        <v>131</v>
      </c>
      <c r="F124" s="58">
        <v>0.209</v>
      </c>
      <c r="G124" s="53" t="s">
        <v>36</v>
      </c>
      <c r="H124" s="53"/>
      <c r="I124" s="56"/>
      <c r="J124" s="57">
        <f>((('indice Carburant'!D6/'Indexation Client 2026'!$D$124)-1)*'Indexation Client 2026'!$F$124)</f>
        <v>-0.02511322767</v>
      </c>
      <c r="K124" s="57">
        <f>((('indice Carburant'!E6/'Indexation Client 2026'!$D$124)-1)*'Indexation Client 2026'!$F$124)</f>
        <v>-0.01889317047</v>
      </c>
      <c r="L124" s="57">
        <f>((('indice Carburant'!F6/'Indexation Client 2026'!$D$124)-1)*'Indexation Client 2026'!$F$124)</f>
        <v>-0.01313911105</v>
      </c>
      <c r="M124" s="58">
        <f>((('indice Carburant'!G6/'Indexation Client 2026'!$D$124)-1)*'Indexation Client 2026'!$F$124)</f>
        <v>0.04231462362</v>
      </c>
      <c r="N124" s="58">
        <f>((('indice Carburant'!H6/'Indexation Client 2026'!$D$124)-1)*'Indexation Client 2026'!$F$124)</f>
        <v>-0.209</v>
      </c>
      <c r="O124" s="58">
        <f>((('indice Carburant'!I6/'Indexation Client 2026'!$D$124)-1)*'Indexation Client 2026'!$F$124)</f>
        <v>-0.209</v>
      </c>
      <c r="P124" s="58">
        <f>((('indice Carburant'!J6/'Indexation Client 2026'!$D$124)-1)*'Indexation Client 2026'!$F$124)</f>
        <v>-0.209</v>
      </c>
      <c r="Q124" s="58">
        <f>((('indice Carburant'!K6/'Indexation Client 2026'!$D$124)-1)*'Indexation Client 2026'!$F$124)</f>
        <v>-0.209</v>
      </c>
      <c r="R124" s="58">
        <f>((('indice Carburant'!L6/'Indexation Client 2026'!$D$124)-1)*'Indexation Client 2026'!$F$124)</f>
        <v>-0.209</v>
      </c>
      <c r="S124" s="58">
        <f>((('indice Carburant'!M6/'Indexation Client 2026'!$D$124)-1)*'Indexation Client 2026'!$F$124)</f>
        <v>-0.209</v>
      </c>
      <c r="T124" s="58">
        <f>((('indice Carburant'!N6/'Indexation Client 2026'!$D$124)-1)*'Indexation Client 2026'!$F$124)</f>
        <v>-0.209</v>
      </c>
      <c r="U124" s="58">
        <f>((('indice Carburant'!O6/'Indexation Client 2026'!$D$124)-1)*'Indexation Client 2026'!$F$124)</f>
        <v>-0.209</v>
      </c>
    </row>
    <row r="125" ht="14.25" customHeight="1">
      <c r="A125" s="59" t="s">
        <v>206</v>
      </c>
      <c r="B125" s="53" t="s">
        <v>207</v>
      </c>
      <c r="C125" s="38" t="s">
        <v>208</v>
      </c>
      <c r="D125" s="53">
        <v>1.06</v>
      </c>
      <c r="E125" s="76" t="s">
        <v>131</v>
      </c>
      <c r="F125" s="83">
        <v>0.25</v>
      </c>
      <c r="G125" s="53" t="s">
        <v>36</v>
      </c>
      <c r="H125" s="53"/>
      <c r="I125" s="56"/>
      <c r="J125" s="57">
        <f>((('indice Carburant'!D8/'Indexation Client 2026'!$D$125)-1)*'Indexation Client 2026'!$F$125)</f>
        <v>0.04922169811</v>
      </c>
      <c r="K125" s="57">
        <f>((('indice Carburant'!E8/'Indexation Client 2026'!$D$125)-1)*'Indexation Client 2026'!$F$125)</f>
        <v>0.06174528302</v>
      </c>
      <c r="L125" s="57">
        <f>((('indice Carburant'!F8/'Indexation Client 2026'!$D$125)-1)*'Indexation Client 2026'!$F$125)</f>
        <v>0.06950471698</v>
      </c>
      <c r="M125" s="58">
        <f>((('indice Carburant'!G8/'Indexation Client 2026'!$D$125)-1)*'Indexation Client 2026'!$F$125)</f>
        <v>0.164504717</v>
      </c>
      <c r="N125" s="58">
        <f>((('indice Carburant'!H8/'Indexation Client 2026'!$D$125)-1)*'Indexation Client 2026'!$F$125)</f>
        <v>-0.25</v>
      </c>
      <c r="O125" s="58">
        <f>((('indice Carburant'!I8/'Indexation Client 2026'!$D$125)-1)*'Indexation Client 2026'!$F$125)</f>
        <v>-0.25</v>
      </c>
      <c r="P125" s="58">
        <f>((('indice Carburant'!J8/'Indexation Client 2026'!$D$125)-1)*'Indexation Client 2026'!$F$125)</f>
        <v>-0.25</v>
      </c>
      <c r="Q125" s="58">
        <f>((('indice Carburant'!K8/'Indexation Client 2026'!$D$125)-1)*'Indexation Client 2026'!$F$125)</f>
        <v>-0.25</v>
      </c>
      <c r="R125" s="58">
        <f>((('indice Carburant'!L8/'Indexation Client 2026'!$D$125)-1)*'Indexation Client 2026'!$F$125)</f>
        <v>-0.25</v>
      </c>
      <c r="S125" s="58">
        <f>((('indice Carburant'!M8/'Indexation Client 2026'!$D$125)-1)*'Indexation Client 2026'!$F$125)</f>
        <v>-0.25</v>
      </c>
      <c r="T125" s="58">
        <f>((('indice Carburant'!N8/'Indexation Client 2026'!$D$125)-1)*'Indexation Client 2026'!$F$125)</f>
        <v>-0.25</v>
      </c>
      <c r="U125" s="58">
        <f>((('indice Carburant'!O8/'Indexation Client 2026'!$D$125)-1)*'Indexation Client 2026'!$F$125)</f>
        <v>-0.25</v>
      </c>
    </row>
    <row r="126" ht="14.25" customHeight="1">
      <c r="A126" s="59" t="s">
        <v>206</v>
      </c>
      <c r="B126" s="53" t="s">
        <v>209</v>
      </c>
      <c r="C126" s="38" t="s">
        <v>210</v>
      </c>
      <c r="D126" s="53">
        <v>1.06</v>
      </c>
      <c r="E126" s="76" t="s">
        <v>131</v>
      </c>
      <c r="F126" s="83">
        <v>0.25</v>
      </c>
      <c r="G126" s="53" t="s">
        <v>36</v>
      </c>
      <c r="H126" s="53"/>
      <c r="I126" s="56"/>
      <c r="J126" s="57">
        <f>((('indice Carburant'!D8/'Indexation Client 2026'!$D$126)-1)*'Indexation Client 2026'!$F$126)</f>
        <v>0.04922169811</v>
      </c>
      <c r="K126" s="57">
        <f>((('indice Carburant'!E8/'Indexation Client 2026'!$D$126)-1)*'Indexation Client 2026'!$F$126)</f>
        <v>0.06174528302</v>
      </c>
      <c r="L126" s="57">
        <f>((('indice Carburant'!F8/'Indexation Client 2026'!$D$126)-1)*'Indexation Client 2026'!$F$126)</f>
        <v>0.06950471698</v>
      </c>
      <c r="M126" s="58">
        <f>((('indice Carburant'!G8/'Indexation Client 2026'!$D$126)-1)*'Indexation Client 2026'!$F$126)</f>
        <v>0.164504717</v>
      </c>
      <c r="N126" s="58">
        <f>((('indice Carburant'!H8/'Indexation Client 2026'!$D$126)-1)*'Indexation Client 2026'!$F$126)</f>
        <v>-0.25</v>
      </c>
      <c r="O126" s="58">
        <f>((('indice Carburant'!I8/'Indexation Client 2026'!$D$126)-1)*'Indexation Client 2026'!$F$126)</f>
        <v>-0.25</v>
      </c>
      <c r="P126" s="58">
        <f>((('indice Carburant'!J8/'Indexation Client 2026'!$D$126)-1)*'Indexation Client 2026'!$F$126)</f>
        <v>-0.25</v>
      </c>
      <c r="Q126" s="58">
        <f>((('indice Carburant'!K8/'Indexation Client 2026'!$D$126)-1)*'Indexation Client 2026'!$F$126)</f>
        <v>-0.25</v>
      </c>
      <c r="R126" s="58">
        <f>((('indice Carburant'!L8/'Indexation Client 2026'!$D$126)-1)*'Indexation Client 2026'!$F$126)</f>
        <v>-0.25</v>
      </c>
      <c r="S126" s="58">
        <f>((('indice Carburant'!M8/'Indexation Client 2026'!$D$126)-1)*'Indexation Client 2026'!$F$126)</f>
        <v>-0.25</v>
      </c>
      <c r="T126" s="58">
        <f>((('indice Carburant'!N8/'Indexation Client 2026'!$D$126)-1)*'Indexation Client 2026'!$F$126)</f>
        <v>-0.25</v>
      </c>
      <c r="U126" s="58">
        <f>((('indice Carburant'!O8/'Indexation Client 2026'!$D$126)-1)*'Indexation Client 2026'!$F$126)</f>
        <v>-0.25</v>
      </c>
    </row>
    <row r="127" ht="14.25" customHeight="1">
      <c r="A127" s="59" t="s">
        <v>211</v>
      </c>
      <c r="B127" s="53" t="s">
        <v>212</v>
      </c>
      <c r="C127" s="38" t="s">
        <v>213</v>
      </c>
      <c r="D127" s="53">
        <v>1.4597</v>
      </c>
      <c r="E127" s="87" t="s">
        <v>214</v>
      </c>
      <c r="F127" s="58">
        <v>0.235</v>
      </c>
      <c r="G127" s="53" t="s">
        <v>36</v>
      </c>
      <c r="H127" s="53"/>
      <c r="I127" s="56"/>
      <c r="J127" s="57">
        <f>((('indice Carburant'!D10/'Indexation Client 2026'!$D$127)-1)*'Indexation Client 2026'!$F$127)</f>
        <v>-0.01952832774</v>
      </c>
      <c r="K127" s="57">
        <f>((('indice Carburant'!E10/'Indexation Client 2026'!$D$127)-1)*'Indexation Client 2026'!$F$127)</f>
        <v>-0.0157289169</v>
      </c>
      <c r="L127" s="57">
        <f>((('indice Carburant'!F10/'Indexation Client 2026'!$D$127)-1)*'Indexation Client 2026'!$F$127)</f>
        <v>-0.01062547099</v>
      </c>
      <c r="M127" s="58">
        <f>((('indice Carburant'!G10/'Indexation Client 2026'!$D$127)-1)*'Indexation Client 2026'!$F$127)</f>
        <v>0.04229259437</v>
      </c>
      <c r="N127" s="58">
        <f>((('indice Carburant'!H10/'Indexation Client 2026'!$D$127)-1)*'Indexation Client 2026'!$F$127)</f>
        <v>-0.235</v>
      </c>
      <c r="O127" s="58">
        <f>((('indice Carburant'!I10/'Indexation Client 2026'!$D$127)-1)*'Indexation Client 2026'!$F$127)</f>
        <v>-0.235</v>
      </c>
      <c r="P127" s="58">
        <f>((('indice Carburant'!J10/'Indexation Client 2026'!$D$127)-1)*'Indexation Client 2026'!$F$127)</f>
        <v>-0.235</v>
      </c>
      <c r="Q127" s="58">
        <f>((('indice Carburant'!K10/'Indexation Client 2026'!$D$127)-1)*'Indexation Client 2026'!$F$127)</f>
        <v>-0.235</v>
      </c>
      <c r="R127" s="58">
        <f>((('indice Carburant'!L10/'Indexation Client 2026'!$D$127)-1)*'Indexation Client 2026'!$F$127)</f>
        <v>-0.235</v>
      </c>
      <c r="S127" s="58">
        <f>((('indice Carburant'!M10/'Indexation Client 2026'!$D$127)-1)*'Indexation Client 2026'!$F$127)</f>
        <v>-0.235</v>
      </c>
      <c r="T127" s="58">
        <f>((('indice Carburant'!N10/'Indexation Client 2026'!$D$127)-1)*'Indexation Client 2026'!$F$127)</f>
        <v>-0.235</v>
      </c>
      <c r="U127" s="58">
        <f>((('indice Carburant'!O10/'Indexation Client 2026'!$D$127)-1)*'Indexation Client 2026'!$F$127)</f>
        <v>-0.235</v>
      </c>
    </row>
    <row r="128" ht="14.25" customHeight="1">
      <c r="A128" s="59" t="s">
        <v>215</v>
      </c>
      <c r="B128" s="53" t="s">
        <v>216</v>
      </c>
      <c r="C128" s="38" t="s">
        <v>217</v>
      </c>
      <c r="D128" s="53">
        <v>1.0632</v>
      </c>
      <c r="E128" s="76" t="s">
        <v>131</v>
      </c>
      <c r="F128" s="58">
        <v>0.235</v>
      </c>
      <c r="G128" s="53" t="s">
        <v>36</v>
      </c>
      <c r="H128" s="53"/>
      <c r="I128" s="56"/>
      <c r="J128" s="57">
        <f>((('indice Carburant'!D8/'Indexation Client 2026'!$D$128)-1)*'Indexation Client 2026'!$F$128)</f>
        <v>0.04542183973</v>
      </c>
      <c r="K128" s="57">
        <f>((('indice Carburant'!E8/'Indexation Client 2026'!$D$128)-1)*'Indexation Client 2026'!$F$128)</f>
        <v>0.05715857788</v>
      </c>
      <c r="L128" s="57">
        <f>((('indice Carburant'!F8/'Indexation Client 2026'!$D$128)-1)*'Indexation Client 2026'!$F$128)</f>
        <v>0.06443049285</v>
      </c>
      <c r="M128" s="58">
        <f>((('indice Carburant'!G8/'Indexation Client 2026'!$D$128)-1)*'Indexation Client 2026'!$F$128)</f>
        <v>0.1534617193</v>
      </c>
      <c r="N128" s="58">
        <f>((('indice Carburant'!H8/'Indexation Client 2026'!$D$128)-1)*'Indexation Client 2026'!$F$128)</f>
        <v>-0.235</v>
      </c>
      <c r="O128" s="58">
        <f>((('indice Carburant'!I8/'Indexation Client 2026'!$D$128)-1)*'Indexation Client 2026'!$F$128)</f>
        <v>-0.235</v>
      </c>
      <c r="P128" s="58">
        <f>((('indice Carburant'!J8/'Indexation Client 2026'!$D$128)-1)*'Indexation Client 2026'!$F$128)</f>
        <v>-0.235</v>
      </c>
      <c r="Q128" s="58">
        <f>((('indice Carburant'!K8/'Indexation Client 2026'!$D$128)-1)*'Indexation Client 2026'!$F$128)</f>
        <v>-0.235</v>
      </c>
      <c r="R128" s="58">
        <f>((('indice Carburant'!L8/'Indexation Client 2026'!$D$128)-1)*'Indexation Client 2026'!$F$128)</f>
        <v>-0.235</v>
      </c>
      <c r="S128" s="58">
        <f>((('indice Carburant'!M8/'Indexation Client 2026'!$D$128)-1)*'Indexation Client 2026'!$F$128)</f>
        <v>-0.235</v>
      </c>
      <c r="T128" s="58">
        <f>((('indice Carburant'!N8/'Indexation Client 2026'!$D$128)-1)*'Indexation Client 2026'!$F$128)</f>
        <v>-0.235</v>
      </c>
      <c r="U128" s="58">
        <f>((('indice Carburant'!O8/'Indexation Client 2026'!$D$128)-1)*'Indexation Client 2026'!$F$128)</f>
        <v>-0.235</v>
      </c>
    </row>
    <row r="129" ht="14.25" customHeight="1">
      <c r="A129" s="59" t="s">
        <v>215</v>
      </c>
      <c r="B129" s="53" t="s">
        <v>218</v>
      </c>
      <c r="C129" s="38" t="s">
        <v>217</v>
      </c>
      <c r="D129" s="53">
        <v>1.0632</v>
      </c>
      <c r="E129" s="76" t="s">
        <v>131</v>
      </c>
      <c r="F129" s="58">
        <v>0.235</v>
      </c>
      <c r="G129" s="53" t="s">
        <v>36</v>
      </c>
      <c r="H129" s="53"/>
      <c r="I129" s="56"/>
      <c r="J129" s="57">
        <f>((('indice Carburant'!D8/'Indexation Client 2026'!$D$129)-1)*'Indexation Client 2026'!$F$129)</f>
        <v>0.04542183973</v>
      </c>
      <c r="K129" s="57">
        <f>((('indice Carburant'!E8/'Indexation Client 2026'!$D$129)-1)*'Indexation Client 2026'!$F$129)</f>
        <v>0.05715857788</v>
      </c>
      <c r="L129" s="57">
        <f>((('indice Carburant'!F8/'Indexation Client 2026'!$D$129)-1)*'Indexation Client 2026'!$F$129)</f>
        <v>0.06443049285</v>
      </c>
      <c r="M129" s="58">
        <f>((('indice Carburant'!G8/'Indexation Client 2026'!$D$129)-1)*'Indexation Client 2026'!$F$129)</f>
        <v>0.1534617193</v>
      </c>
      <c r="N129" s="58">
        <f>((('indice Carburant'!H8/'Indexation Client 2026'!$D$129)-1)*'Indexation Client 2026'!$F$129)</f>
        <v>-0.235</v>
      </c>
      <c r="O129" s="58">
        <f>((('indice Carburant'!I8/'Indexation Client 2026'!$D$129)-1)*'Indexation Client 2026'!$F$129)</f>
        <v>-0.235</v>
      </c>
      <c r="P129" s="58">
        <f>((('indice Carburant'!J8/'Indexation Client 2026'!$D$129)-1)*'Indexation Client 2026'!$F$129)</f>
        <v>-0.235</v>
      </c>
      <c r="Q129" s="58">
        <f>((('indice Carburant'!K8/'Indexation Client 2026'!$D$129)-1)*'Indexation Client 2026'!$F$129)</f>
        <v>-0.235</v>
      </c>
      <c r="R129" s="58">
        <f>((('indice Carburant'!L8/'Indexation Client 2026'!$D$129)-1)*'Indexation Client 2026'!$F$129)</f>
        <v>-0.235</v>
      </c>
      <c r="S129" s="58">
        <f>((('indice Carburant'!M8/'Indexation Client 2026'!$D$129)-1)*'Indexation Client 2026'!$F$129)</f>
        <v>-0.235</v>
      </c>
      <c r="T129" s="58">
        <f>((('indice Carburant'!N8/'Indexation Client 2026'!$D$129)-1)*'Indexation Client 2026'!$F$129)</f>
        <v>-0.235</v>
      </c>
      <c r="U129" s="58">
        <f>((('indice Carburant'!O8/'Indexation Client 2026'!$D$129)-1)*'Indexation Client 2026'!$F$129)</f>
        <v>-0.235</v>
      </c>
    </row>
    <row r="130" ht="14.25" customHeight="1">
      <c r="A130" s="59" t="s">
        <v>215</v>
      </c>
      <c r="B130" s="53" t="s">
        <v>219</v>
      </c>
      <c r="C130" s="38" t="s">
        <v>217</v>
      </c>
      <c r="D130" s="53">
        <v>1.0632</v>
      </c>
      <c r="E130" s="76" t="s">
        <v>131</v>
      </c>
      <c r="F130" s="58">
        <v>0.235</v>
      </c>
      <c r="G130" s="53" t="s">
        <v>36</v>
      </c>
      <c r="H130" s="53"/>
      <c r="I130" s="56"/>
      <c r="J130" s="57">
        <f>((('indice Carburant'!D8/'Indexation Client 2026'!$D$130)-1)*'Indexation Client 2026'!$F$130)</f>
        <v>0.04542183973</v>
      </c>
      <c r="K130" s="57">
        <f>((('indice Carburant'!E8/'Indexation Client 2026'!$D$130)-1)*'Indexation Client 2026'!$F$130)</f>
        <v>0.05715857788</v>
      </c>
      <c r="L130" s="57">
        <f>((('indice Carburant'!F8/'Indexation Client 2026'!$D$130)-1)*'Indexation Client 2026'!$F$130)</f>
        <v>0.06443049285</v>
      </c>
      <c r="M130" s="58">
        <f>((('indice Carburant'!G8/'Indexation Client 2026'!$D$130)-1)*'Indexation Client 2026'!$F$130)</f>
        <v>0.1534617193</v>
      </c>
      <c r="N130" s="58">
        <f>((('indice Carburant'!H8/'Indexation Client 2026'!$D$130)-1)*'Indexation Client 2026'!$F$130)</f>
        <v>-0.235</v>
      </c>
      <c r="O130" s="58">
        <f>((('indice Carburant'!I8/'Indexation Client 2026'!$D$130)-1)*'Indexation Client 2026'!$F$130)</f>
        <v>-0.235</v>
      </c>
      <c r="P130" s="58">
        <f>((('indice Carburant'!J8/'Indexation Client 2026'!$D$130)-1)*'Indexation Client 2026'!$F$130)</f>
        <v>-0.235</v>
      </c>
      <c r="Q130" s="58">
        <f>((('indice Carburant'!K8/'Indexation Client 2026'!$D$130)-1)*'Indexation Client 2026'!$F$130)</f>
        <v>-0.235</v>
      </c>
      <c r="R130" s="58">
        <f>((('indice Carburant'!L8/'Indexation Client 2026'!$D$130)-1)*'Indexation Client 2026'!$F$130)</f>
        <v>-0.235</v>
      </c>
      <c r="S130" s="58">
        <f>((('indice Carburant'!M8/'Indexation Client 2026'!$D$130)-1)*'Indexation Client 2026'!$F$130)</f>
        <v>-0.235</v>
      </c>
      <c r="T130" s="58">
        <f>((('indice Carburant'!N8/'Indexation Client 2026'!$D$130)-1)*'Indexation Client 2026'!$F$130)</f>
        <v>-0.235</v>
      </c>
      <c r="U130" s="58">
        <f>((('indice Carburant'!O8/'Indexation Client 2026'!$D$130)-1)*'Indexation Client 2026'!$F$130)</f>
        <v>-0.235</v>
      </c>
    </row>
    <row r="131" ht="14.25" customHeight="1">
      <c r="A131" s="59" t="s">
        <v>220</v>
      </c>
      <c r="B131" s="53" t="s">
        <v>221</v>
      </c>
      <c r="C131" s="38" t="s">
        <v>220</v>
      </c>
      <c r="D131" s="53">
        <v>243.19</v>
      </c>
      <c r="E131" s="76" t="s">
        <v>222</v>
      </c>
      <c r="F131" s="86">
        <v>0.235</v>
      </c>
      <c r="G131" s="53" t="s">
        <v>36</v>
      </c>
      <c r="H131" s="53"/>
      <c r="I131" s="56"/>
      <c r="J131" s="88">
        <f>((('indice Carburant'!E6/'Indexation Client 2026'!$D$131)-1)*'Indexation Client 2026'!$F$131)</f>
        <v>-0.05365989555</v>
      </c>
      <c r="K131" s="88">
        <f>((('indice Carburant'!F6/'Indexation Client 2026'!$D$131)-1)*'Indexation Client 2026'!$F$131)</f>
        <v>-0.04817118303</v>
      </c>
      <c r="L131" s="88">
        <f>((('indice Carburant'!G6/'Indexation Client 2026'!$D$131)-1)*'Indexation Client 2026'!$F$131)</f>
        <v>0.004725317653</v>
      </c>
      <c r="M131" s="89">
        <f>((('indice Carburant'!H6/'Indexation Client 2026'!$D$131)-1)*'Indexation Client 2026'!$F$131)</f>
        <v>-0.235</v>
      </c>
      <c r="N131" s="89">
        <f>((('indice Carburant'!I6/'Indexation Client 2026'!$D$131)-1)*'Indexation Client 2026'!$F$131)</f>
        <v>-0.235</v>
      </c>
      <c r="O131" s="89">
        <f>((('indice Carburant'!J6/'Indexation Client 2026'!$D$131)-1)*'Indexation Client 2026'!$F$131)</f>
        <v>-0.235</v>
      </c>
      <c r="P131" s="89">
        <f>((('indice Carburant'!K6/'Indexation Client 2026'!$D$131)-1)*'Indexation Client 2026'!$F$131)</f>
        <v>-0.235</v>
      </c>
      <c r="Q131" s="89">
        <f>((('indice Carburant'!L6/'Indexation Client 2026'!$D$131)-1)*'Indexation Client 2026'!$F$131)</f>
        <v>-0.235</v>
      </c>
      <c r="R131" s="89">
        <f>((('indice Carburant'!M6/'Indexation Client 2026'!$D$131)-1)*'Indexation Client 2026'!$F$131)</f>
        <v>-0.235</v>
      </c>
      <c r="S131" s="89">
        <f>((('indice Carburant'!N6/'Indexation Client 2026'!$D$131)-1)*'Indexation Client 2026'!$F$131)</f>
        <v>-0.235</v>
      </c>
      <c r="T131" s="89">
        <f>((('indice Carburant'!O6/'Indexation Client 2026'!$D$131)-1)*'Indexation Client 2026'!$F$131)</f>
        <v>-0.235</v>
      </c>
      <c r="U131" s="89">
        <f>((('indice Carburant'!P6/'Indexation Client 2026'!$D$131)-1)*'Indexation Client 2026'!$F$131)</f>
        <v>-0.235</v>
      </c>
    </row>
    <row r="132" ht="14.25" customHeight="1">
      <c r="A132" s="59" t="s">
        <v>220</v>
      </c>
      <c r="B132" s="53" t="s">
        <v>223</v>
      </c>
      <c r="C132" s="38" t="s">
        <v>220</v>
      </c>
      <c r="D132" s="53">
        <v>218.8</v>
      </c>
      <c r="E132" s="76" t="s">
        <v>222</v>
      </c>
      <c r="F132" s="58">
        <v>0.25</v>
      </c>
      <c r="G132" s="53" t="s">
        <v>36</v>
      </c>
      <c r="H132" s="53"/>
      <c r="I132" s="56"/>
      <c r="J132" s="88">
        <f>((('indice Carburant'!E6/'Indexation Client 2026'!$D$132)-1)*'Indexation Client 2026'!$F$132)</f>
        <v>-0.03558043876</v>
      </c>
      <c r="K132" s="88">
        <f>((('indice Carburant'!F6/'Indexation Client 2026'!$D$132)-1)*'Indexation Client 2026'!$F$132)</f>
        <v>-0.0290904936</v>
      </c>
      <c r="L132" s="88">
        <f>((('indice Carburant'!G6/'Indexation Client 2026'!$D$132)-1)*'Indexation Client 2026'!$F$132)</f>
        <v>0.03345521024</v>
      </c>
      <c r="M132" s="89">
        <f>((('indice Carburant'!H6/'Indexation Client 2026'!$D$132)-1)*'Indexation Client 2026'!$F$132)</f>
        <v>-0.25</v>
      </c>
      <c r="N132" s="89">
        <f>((('indice Carburant'!I6/'Indexation Client 2026'!$D$132)-1)*'Indexation Client 2026'!$F$132)</f>
        <v>-0.25</v>
      </c>
      <c r="O132" s="89">
        <f>((('indice Carburant'!J6/'Indexation Client 2026'!$D$132)-1)*'Indexation Client 2026'!$F$132)</f>
        <v>-0.25</v>
      </c>
      <c r="P132" s="89">
        <f>((('indice Carburant'!K6/'Indexation Client 2026'!$D$132)-1)*'Indexation Client 2026'!$F$132)</f>
        <v>-0.25</v>
      </c>
      <c r="Q132" s="89">
        <f>((('indice Carburant'!L6/'Indexation Client 2026'!$D$132)-1)*'Indexation Client 2026'!$F$132)</f>
        <v>-0.25</v>
      </c>
      <c r="R132" s="89">
        <f>((('indice Carburant'!M6/'Indexation Client 2026'!$D$132)-1)*'Indexation Client 2026'!$F$132)</f>
        <v>-0.25</v>
      </c>
      <c r="S132" s="89">
        <f>((('indice Carburant'!N6/'Indexation Client 2026'!$D$132)-1)*'Indexation Client 2026'!$F$132)</f>
        <v>-0.25</v>
      </c>
      <c r="T132" s="89">
        <f>((('indice Carburant'!O6/'Indexation Client 2026'!$D$132)-1)*'Indexation Client 2026'!$F$132)</f>
        <v>-0.25</v>
      </c>
      <c r="U132" s="89">
        <f>((('indice Carburant'!P6/'Indexation Client 2026'!$D$132)-1)*'Indexation Client 2026'!$F$132)</f>
        <v>-0.25</v>
      </c>
    </row>
    <row r="133" ht="14.25" customHeight="1">
      <c r="A133" s="59" t="s">
        <v>224</v>
      </c>
      <c r="B133" s="76" t="s">
        <v>225</v>
      </c>
      <c r="C133" s="38" t="s">
        <v>224</v>
      </c>
      <c r="D133" s="38">
        <v>163.09</v>
      </c>
      <c r="E133" s="53" t="s">
        <v>226</v>
      </c>
      <c r="F133" s="58">
        <v>0.192</v>
      </c>
      <c r="G133" s="53" t="s">
        <v>36</v>
      </c>
      <c r="H133" s="53"/>
      <c r="I133" s="56"/>
      <c r="J133" s="57">
        <f>((('indice Carburant'!E7/'Indexation Client 2026'!$D$133)-1)*'Indexation Client 2026'!$F$133)</f>
        <v>0.03893212337</v>
      </c>
      <c r="K133" s="57">
        <f>((('indice Carburant'!F7/'Indexation Client 2026'!$D$133)-1)*'Indexation Client 2026'!$F$133)</f>
        <v>0.04511275983</v>
      </c>
      <c r="L133" s="57">
        <f>((('indice Carburant'!G7/'Indexation Client 2026'!$D$133)-1)*'Indexation Client 2026'!$F$133)</f>
        <v>0.1045999142</v>
      </c>
      <c r="M133" s="58">
        <f>((('indice Carburant'!H7/'Indexation Client 2026'!$D$133)-1)*'Indexation Client 2026'!$F$133)</f>
        <v>-0.192</v>
      </c>
      <c r="N133" s="58">
        <f>((('indice Carburant'!I7/'Indexation Client 2026'!$D$133)-1)*'Indexation Client 2026'!$F$133)</f>
        <v>-0.192</v>
      </c>
      <c r="O133" s="58">
        <f>((('indice Carburant'!J7/'Indexation Client 2026'!$D$133)-1)*'Indexation Client 2026'!$F$133)</f>
        <v>-0.192</v>
      </c>
      <c r="P133" s="58">
        <f>((('indice Carburant'!K7/'Indexation Client 2026'!$D$133)-1)*'Indexation Client 2026'!$F$133)</f>
        <v>-0.192</v>
      </c>
      <c r="Q133" s="58">
        <f>((('indice Carburant'!L7/'Indexation Client 2026'!$D$133)-1)*'Indexation Client 2026'!$F$133)</f>
        <v>-0.192</v>
      </c>
      <c r="R133" s="58">
        <f>((('indice Carburant'!M7/'Indexation Client 2026'!$D$133)-1)*'Indexation Client 2026'!$F$133)</f>
        <v>-0.192</v>
      </c>
      <c r="S133" s="58">
        <f>((('indice Carburant'!N7/'Indexation Client 2026'!$D$133)-1)*'Indexation Client 2026'!$F$133)</f>
        <v>-0.192</v>
      </c>
      <c r="T133" s="58">
        <f>((('indice Carburant'!O7/'Indexation Client 2026'!$D$133)-1)*'Indexation Client 2026'!$F$133)</f>
        <v>-0.192</v>
      </c>
      <c r="U133" s="58">
        <f>((('indice Carburant'!P7/'Indexation Client 2026'!$D$133)-1)*'Indexation Client 2026'!$F$133)</f>
        <v>-0.192</v>
      </c>
    </row>
    <row r="134" ht="14.25" customHeight="1">
      <c r="A134" s="59" t="s">
        <v>224</v>
      </c>
      <c r="B134" s="76" t="s">
        <v>227</v>
      </c>
      <c r="C134" s="38" t="s">
        <v>224</v>
      </c>
      <c r="D134" s="38">
        <v>220.2</v>
      </c>
      <c r="E134" s="53" t="s">
        <v>226</v>
      </c>
      <c r="F134" s="58">
        <v>0.192</v>
      </c>
      <c r="G134" s="53" t="s">
        <v>36</v>
      </c>
      <c r="H134" s="53"/>
      <c r="I134" s="56"/>
      <c r="J134" s="57">
        <f>((('indice Carburant'!E7/'Indexation Client 2026'!$D$134)-1)*'Indexation Client 2026'!$F$134)</f>
        <v>-0.0209613079</v>
      </c>
      <c r="K134" s="57">
        <f>((('indice Carburant'!F7/'Indexation Client 2026'!$D$134)-1)*'Indexation Client 2026'!$F$134)</f>
        <v>-0.01638365123</v>
      </c>
      <c r="L134" s="57">
        <f>((('indice Carburant'!G7/'Indexation Client 2026'!$D$134)-1)*'Indexation Client 2026'!$F$134)</f>
        <v>0.02767520436</v>
      </c>
      <c r="M134" s="58">
        <f>((('indice Carburant'!H7/'Indexation Client 2026'!$D$134)-1)*'Indexation Client 2026'!$F$134)</f>
        <v>-0.192</v>
      </c>
      <c r="N134" s="58">
        <f>((('indice Carburant'!I7/'Indexation Client 2026'!$D$134)-1)*'Indexation Client 2026'!$F$134)</f>
        <v>-0.192</v>
      </c>
      <c r="O134" s="58">
        <f>((('indice Carburant'!J7/'Indexation Client 2026'!$D$134)-1)*'Indexation Client 2026'!$F$134)</f>
        <v>-0.192</v>
      </c>
      <c r="P134" s="58">
        <f>((('indice Carburant'!K7/'Indexation Client 2026'!$D$134)-1)*'Indexation Client 2026'!$F$134)</f>
        <v>-0.192</v>
      </c>
      <c r="Q134" s="58">
        <f>((('indice Carburant'!L7/'Indexation Client 2026'!$D$134)-1)*'Indexation Client 2026'!$F$134)</f>
        <v>-0.192</v>
      </c>
      <c r="R134" s="58">
        <f>((('indice Carburant'!M7/'Indexation Client 2026'!$D$134)-1)*'Indexation Client 2026'!$F$134)</f>
        <v>-0.192</v>
      </c>
      <c r="S134" s="58">
        <f>((('indice Carburant'!N7/'Indexation Client 2026'!$D$134)-1)*'Indexation Client 2026'!$F$134)</f>
        <v>-0.192</v>
      </c>
      <c r="T134" s="58">
        <f>((('indice Carburant'!O7/'Indexation Client 2026'!$D$134)-1)*'Indexation Client 2026'!$F$134)</f>
        <v>-0.192</v>
      </c>
      <c r="U134" s="58">
        <f>((('indice Carburant'!P7/'Indexation Client 2026'!$D$134)-1)*'Indexation Client 2026'!$F$134)</f>
        <v>-0.192</v>
      </c>
    </row>
    <row r="135" ht="14.25" customHeight="1">
      <c r="A135" s="59" t="s">
        <v>224</v>
      </c>
      <c r="B135" s="76" t="s">
        <v>228</v>
      </c>
      <c r="C135" s="38" t="s">
        <v>224</v>
      </c>
      <c r="D135" s="38">
        <v>220.2</v>
      </c>
      <c r="E135" s="53" t="s">
        <v>226</v>
      </c>
      <c r="F135" s="58">
        <v>0.192</v>
      </c>
      <c r="G135" s="53" t="s">
        <v>36</v>
      </c>
      <c r="H135" s="53"/>
      <c r="I135" s="56"/>
      <c r="J135" s="57">
        <f>((('indice Carburant'!E7/'Indexation Client 2026'!$D$135)-1)*'Indexation Client 2026'!$F$135)</f>
        <v>-0.0209613079</v>
      </c>
      <c r="K135" s="57">
        <f>((('indice Carburant'!F7/'Indexation Client 2026'!$D$135)-1)*'Indexation Client 2026'!$F$135)</f>
        <v>-0.01638365123</v>
      </c>
      <c r="L135" s="57">
        <f>((('indice Carburant'!G7/'Indexation Client 2026'!$D$135)-1)*'Indexation Client 2026'!$F$135)</f>
        <v>0.02767520436</v>
      </c>
      <c r="M135" s="58">
        <f>((('indice Carburant'!H7/'Indexation Client 2026'!$D$135)-1)*'Indexation Client 2026'!$F$135)</f>
        <v>-0.192</v>
      </c>
      <c r="N135" s="58">
        <f>((('indice Carburant'!I7/'Indexation Client 2026'!$D$135)-1)*'Indexation Client 2026'!$F$135)</f>
        <v>-0.192</v>
      </c>
      <c r="O135" s="58">
        <f>((('indice Carburant'!J7/'Indexation Client 2026'!$D$135)-1)*'Indexation Client 2026'!$F$135)</f>
        <v>-0.192</v>
      </c>
      <c r="P135" s="58">
        <f>((('indice Carburant'!K7/'Indexation Client 2026'!$D$135)-1)*'Indexation Client 2026'!$F$135)</f>
        <v>-0.192</v>
      </c>
      <c r="Q135" s="58">
        <f>((('indice Carburant'!L7/'Indexation Client 2026'!$D$135)-1)*'Indexation Client 2026'!$F$135)</f>
        <v>-0.192</v>
      </c>
      <c r="R135" s="58">
        <f>((('indice Carburant'!M7/'Indexation Client 2026'!$D$135)-1)*'Indexation Client 2026'!$F$135)</f>
        <v>-0.192</v>
      </c>
      <c r="S135" s="58">
        <f>((('indice Carburant'!N7/'Indexation Client 2026'!$D$135)-1)*'Indexation Client 2026'!$F$135)</f>
        <v>-0.192</v>
      </c>
      <c r="T135" s="58">
        <f>((('indice Carburant'!O7/'Indexation Client 2026'!$D$135)-1)*'Indexation Client 2026'!$F$135)</f>
        <v>-0.192</v>
      </c>
      <c r="U135" s="58">
        <f>((('indice Carburant'!P7/'Indexation Client 2026'!$D$135)-1)*'Indexation Client 2026'!$F$135)</f>
        <v>-0.192</v>
      </c>
    </row>
    <row r="136" ht="14.25" customHeight="1">
      <c r="A136" s="59" t="s">
        <v>224</v>
      </c>
      <c r="B136" s="76" t="s">
        <v>229</v>
      </c>
      <c r="C136" s="38" t="s">
        <v>224</v>
      </c>
      <c r="D136" s="38">
        <v>203.84</v>
      </c>
      <c r="E136" s="53" t="s">
        <v>226</v>
      </c>
      <c r="F136" s="58">
        <v>0.192</v>
      </c>
      <c r="G136" s="53" t="s">
        <v>36</v>
      </c>
      <c r="H136" s="53"/>
      <c r="I136" s="56"/>
      <c r="J136" s="57">
        <f>((('indice Carburant'!E7/'Indexation Client 2026'!$D$136)-1)*'Indexation Client 2026'!$F$136)</f>
        <v>-0.007233908948</v>
      </c>
      <c r="K136" s="57">
        <f>((('indice Carburant'!F7/'Indexation Client 2026'!$D$136)-1)*'Indexation Client 2026'!$F$136)</f>
        <v>-0.002288854003</v>
      </c>
      <c r="L136" s="57">
        <f>((('indice Carburant'!G7/'Indexation Client 2026'!$D$136)-1)*'Indexation Client 2026'!$F$136)</f>
        <v>0.04530612245</v>
      </c>
      <c r="M136" s="58">
        <f>((('indice Carburant'!H7/'Indexation Client 2026'!$D$136)-1)*'Indexation Client 2026'!$F$136)</f>
        <v>-0.192</v>
      </c>
      <c r="N136" s="58">
        <f>((('indice Carburant'!I7/'Indexation Client 2026'!$D$136)-1)*'Indexation Client 2026'!$F$136)</f>
        <v>-0.192</v>
      </c>
      <c r="O136" s="58">
        <f>((('indice Carburant'!J7/'Indexation Client 2026'!$D$136)-1)*'Indexation Client 2026'!$F$136)</f>
        <v>-0.192</v>
      </c>
      <c r="P136" s="58">
        <f>((('indice Carburant'!K7/'Indexation Client 2026'!$D$136)-1)*'Indexation Client 2026'!$F$136)</f>
        <v>-0.192</v>
      </c>
      <c r="Q136" s="58">
        <f>((('indice Carburant'!L7/'Indexation Client 2026'!$D$136)-1)*'Indexation Client 2026'!$F$136)</f>
        <v>-0.192</v>
      </c>
      <c r="R136" s="58">
        <f>((('indice Carburant'!M7/'Indexation Client 2026'!$D$136)-1)*'Indexation Client 2026'!$F$136)</f>
        <v>-0.192</v>
      </c>
      <c r="S136" s="58">
        <f>((('indice Carburant'!N7/'Indexation Client 2026'!$D$136)-1)*'Indexation Client 2026'!$F$136)</f>
        <v>-0.192</v>
      </c>
      <c r="T136" s="58">
        <f>((('indice Carburant'!O7/'Indexation Client 2026'!$D$136)-1)*'Indexation Client 2026'!$F$136)</f>
        <v>-0.192</v>
      </c>
      <c r="U136" s="58">
        <f>((('indice Carburant'!P7/'Indexation Client 2026'!$D$136)-1)*'Indexation Client 2026'!$F$136)</f>
        <v>-0.192</v>
      </c>
    </row>
    <row r="137" ht="14.25" customHeight="1">
      <c r="A137" s="59" t="s">
        <v>224</v>
      </c>
      <c r="B137" s="76" t="s">
        <v>230</v>
      </c>
      <c r="C137" s="38" t="s">
        <v>224</v>
      </c>
      <c r="D137" s="38">
        <v>220.2</v>
      </c>
      <c r="E137" s="53" t="s">
        <v>226</v>
      </c>
      <c r="F137" s="58">
        <v>0.192</v>
      </c>
      <c r="G137" s="53" t="s">
        <v>36</v>
      </c>
      <c r="H137" s="53"/>
      <c r="I137" s="56"/>
      <c r="J137" s="57">
        <f>((('indice Carburant'!E7/'Indexation Client 2026'!$D$137)-1)*'Indexation Client 2026'!$F$137)</f>
        <v>-0.0209613079</v>
      </c>
      <c r="K137" s="57">
        <f>((('indice Carburant'!F7/'Indexation Client 2026'!$D$137)-1)*'Indexation Client 2026'!$F$137)</f>
        <v>-0.01638365123</v>
      </c>
      <c r="L137" s="57">
        <f>((('indice Carburant'!G7/'Indexation Client 2026'!$D$137)-1)*'Indexation Client 2026'!$F$137)</f>
        <v>0.02767520436</v>
      </c>
      <c r="M137" s="58">
        <f>((('indice Carburant'!H7/'Indexation Client 2026'!$D$137)-1)*'Indexation Client 2026'!$F$137)</f>
        <v>-0.192</v>
      </c>
      <c r="N137" s="58">
        <f>((('indice Carburant'!I7/'Indexation Client 2026'!$D$137)-1)*'Indexation Client 2026'!$F$137)</f>
        <v>-0.192</v>
      </c>
      <c r="O137" s="58">
        <f>((('indice Carburant'!J7/'Indexation Client 2026'!$D$137)-1)*'Indexation Client 2026'!$F$137)</f>
        <v>-0.192</v>
      </c>
      <c r="P137" s="58">
        <f>((('indice Carburant'!K7/'Indexation Client 2026'!$D$137)-1)*'Indexation Client 2026'!$F$137)</f>
        <v>-0.192</v>
      </c>
      <c r="Q137" s="58">
        <f>((('indice Carburant'!L7/'Indexation Client 2026'!$D$137)-1)*'Indexation Client 2026'!$F$137)</f>
        <v>-0.192</v>
      </c>
      <c r="R137" s="58">
        <f>((('indice Carburant'!M7/'Indexation Client 2026'!$D$137)-1)*'Indexation Client 2026'!$F$137)</f>
        <v>-0.192</v>
      </c>
      <c r="S137" s="58">
        <f>((('indice Carburant'!N7/'Indexation Client 2026'!$D$137)-1)*'Indexation Client 2026'!$F$137)</f>
        <v>-0.192</v>
      </c>
      <c r="T137" s="58">
        <f>((('indice Carburant'!O7/'Indexation Client 2026'!$D$137)-1)*'Indexation Client 2026'!$F$137)</f>
        <v>-0.192</v>
      </c>
      <c r="U137" s="58">
        <f>((('indice Carburant'!P7/'Indexation Client 2026'!$D$137)-1)*'Indexation Client 2026'!$F$137)</f>
        <v>-0.192</v>
      </c>
    </row>
    <row r="138" ht="14.25" customHeight="1">
      <c r="A138" s="59" t="s">
        <v>224</v>
      </c>
      <c r="B138" s="76" t="s">
        <v>231</v>
      </c>
      <c r="C138" s="38" t="s">
        <v>224</v>
      </c>
      <c r="D138" s="38">
        <v>220.2</v>
      </c>
      <c r="E138" s="53" t="s">
        <v>226</v>
      </c>
      <c r="F138" s="58">
        <v>0.192</v>
      </c>
      <c r="G138" s="53" t="s">
        <v>36</v>
      </c>
      <c r="H138" s="53"/>
      <c r="I138" s="56"/>
      <c r="J138" s="57">
        <f>((('indice Carburant'!E7/'Indexation Client 2026'!$D$138)-1)*'Indexation Client 2026'!$F$138)</f>
        <v>-0.0209613079</v>
      </c>
      <c r="K138" s="57">
        <f>((('indice Carburant'!F7/'Indexation Client 2026'!$D$138)-1)*'Indexation Client 2026'!$F$138)</f>
        <v>-0.01638365123</v>
      </c>
      <c r="L138" s="57">
        <f>((('indice Carburant'!G7/'Indexation Client 2026'!$D$138)-1)*'Indexation Client 2026'!$F$138)</f>
        <v>0.02767520436</v>
      </c>
      <c r="M138" s="58">
        <f>((('indice Carburant'!H7/'Indexation Client 2026'!$D$138)-1)*'Indexation Client 2026'!$F$138)</f>
        <v>-0.192</v>
      </c>
      <c r="N138" s="58">
        <f>((('indice Carburant'!I7/'Indexation Client 2026'!$D$138)-1)*'Indexation Client 2026'!$F$138)</f>
        <v>-0.192</v>
      </c>
      <c r="O138" s="58">
        <f>((('indice Carburant'!J7/'Indexation Client 2026'!$D$138)-1)*'Indexation Client 2026'!$F$138)</f>
        <v>-0.192</v>
      </c>
      <c r="P138" s="58">
        <f>((('indice Carburant'!K7/'Indexation Client 2026'!$D$138)-1)*'Indexation Client 2026'!$F$138)</f>
        <v>-0.192</v>
      </c>
      <c r="Q138" s="58">
        <f>((('indice Carburant'!L7/'Indexation Client 2026'!$D$138)-1)*'Indexation Client 2026'!$F$138)</f>
        <v>-0.192</v>
      </c>
      <c r="R138" s="58">
        <f>((('indice Carburant'!M7/'Indexation Client 2026'!$D$138)-1)*'Indexation Client 2026'!$F$138)</f>
        <v>-0.192</v>
      </c>
      <c r="S138" s="58">
        <f>((('indice Carburant'!N7/'Indexation Client 2026'!$D$138)-1)*'Indexation Client 2026'!$F$138)</f>
        <v>-0.192</v>
      </c>
      <c r="T138" s="58">
        <f>((('indice Carburant'!O7/'Indexation Client 2026'!$D$138)-1)*'Indexation Client 2026'!$F$138)</f>
        <v>-0.192</v>
      </c>
      <c r="U138" s="58">
        <f>((('indice Carburant'!P7/'Indexation Client 2026'!$D$138)-1)*'Indexation Client 2026'!$F$138)</f>
        <v>-0.192</v>
      </c>
    </row>
    <row r="139" ht="14.25" customHeight="1">
      <c r="A139" s="59" t="s">
        <v>224</v>
      </c>
      <c r="B139" s="76" t="s">
        <v>232</v>
      </c>
      <c r="C139" s="38" t="s">
        <v>224</v>
      </c>
      <c r="D139" s="38">
        <v>203.84</v>
      </c>
      <c r="E139" s="53" t="s">
        <v>226</v>
      </c>
      <c r="F139" s="58">
        <v>0.192</v>
      </c>
      <c r="G139" s="53" t="s">
        <v>36</v>
      </c>
      <c r="H139" s="53"/>
      <c r="I139" s="56"/>
      <c r="J139" s="57">
        <f>((('indice Carburant'!E7/'Indexation Client 2026'!$D$139)-1)*'Indexation Client 2026'!$F$139)</f>
        <v>-0.007233908948</v>
      </c>
      <c r="K139" s="57">
        <f>((('indice Carburant'!F7/'Indexation Client 2026'!$D$139)-1)*'Indexation Client 2026'!$F$139)</f>
        <v>-0.002288854003</v>
      </c>
      <c r="L139" s="57">
        <f>((('indice Carburant'!G7/'Indexation Client 2026'!$D$139)-1)*'Indexation Client 2026'!$F$139)</f>
        <v>0.04530612245</v>
      </c>
      <c r="M139" s="58">
        <f>((('indice Carburant'!H7/'Indexation Client 2026'!$D$139)-1)*'Indexation Client 2026'!$F$139)</f>
        <v>-0.192</v>
      </c>
      <c r="N139" s="58">
        <f>((('indice Carburant'!I7/'Indexation Client 2026'!$D$139)-1)*'Indexation Client 2026'!$F$139)</f>
        <v>-0.192</v>
      </c>
      <c r="O139" s="58">
        <f>((('indice Carburant'!J7/'Indexation Client 2026'!$D$139)-1)*'Indexation Client 2026'!$F$139)</f>
        <v>-0.192</v>
      </c>
      <c r="P139" s="58">
        <f>((('indice Carburant'!K7/'Indexation Client 2026'!$D$139)-1)*'Indexation Client 2026'!$F$139)</f>
        <v>-0.192</v>
      </c>
      <c r="Q139" s="58">
        <f>((('indice Carburant'!L7/'Indexation Client 2026'!$D$139)-1)*'Indexation Client 2026'!$F$139)</f>
        <v>-0.192</v>
      </c>
      <c r="R139" s="58">
        <f>((('indice Carburant'!M7/'Indexation Client 2026'!$D$139)-1)*'Indexation Client 2026'!$F$139)</f>
        <v>-0.192</v>
      </c>
      <c r="S139" s="58">
        <f>((('indice Carburant'!N7/'Indexation Client 2026'!$D$139)-1)*'Indexation Client 2026'!$F$139)</f>
        <v>-0.192</v>
      </c>
      <c r="T139" s="58">
        <f>((('indice Carburant'!O7/'Indexation Client 2026'!$D$139)-1)*'Indexation Client 2026'!$F$139)</f>
        <v>-0.192</v>
      </c>
      <c r="U139" s="58">
        <f>((('indice Carburant'!P7/'Indexation Client 2026'!$D$139)-1)*'Indexation Client 2026'!$F$139)</f>
        <v>-0.192</v>
      </c>
    </row>
    <row r="140" ht="14.25" customHeight="1">
      <c r="A140" s="59" t="s">
        <v>224</v>
      </c>
      <c r="B140" s="76" t="s">
        <v>233</v>
      </c>
      <c r="C140" s="38" t="s">
        <v>224</v>
      </c>
      <c r="D140" s="38">
        <v>220.2</v>
      </c>
      <c r="E140" s="53" t="s">
        <v>226</v>
      </c>
      <c r="F140" s="58">
        <v>0.192</v>
      </c>
      <c r="G140" s="53" t="s">
        <v>36</v>
      </c>
      <c r="H140" s="53"/>
      <c r="I140" s="56"/>
      <c r="J140" s="57">
        <f>((('indice Carburant'!E7/'Indexation Client 2026'!$D$140)-1)*'Indexation Client 2026'!$F$140)</f>
        <v>-0.0209613079</v>
      </c>
      <c r="K140" s="57">
        <f>((('indice Carburant'!F7/'Indexation Client 2026'!$D$140)-1)*'Indexation Client 2026'!$F$140)</f>
        <v>-0.01638365123</v>
      </c>
      <c r="L140" s="57">
        <f>((('indice Carburant'!G7/'Indexation Client 2026'!$D$140)-1)*'Indexation Client 2026'!$F$140)</f>
        <v>0.02767520436</v>
      </c>
      <c r="M140" s="58">
        <f>((('indice Carburant'!H7/'Indexation Client 2026'!$D$140)-1)*'Indexation Client 2026'!$F$140)</f>
        <v>-0.192</v>
      </c>
      <c r="N140" s="58">
        <f>((('indice Carburant'!I7/'Indexation Client 2026'!$D$140)-1)*'Indexation Client 2026'!$F$140)</f>
        <v>-0.192</v>
      </c>
      <c r="O140" s="58">
        <f>((('indice Carburant'!J7/'Indexation Client 2026'!$D$140)-1)*'Indexation Client 2026'!$F$140)</f>
        <v>-0.192</v>
      </c>
      <c r="P140" s="58">
        <f>((('indice Carburant'!K7/'Indexation Client 2026'!$D$140)-1)*'Indexation Client 2026'!$F$140)</f>
        <v>-0.192</v>
      </c>
      <c r="Q140" s="58">
        <f>((('indice Carburant'!L7/'Indexation Client 2026'!$D$140)-1)*'Indexation Client 2026'!$F$140)</f>
        <v>-0.192</v>
      </c>
      <c r="R140" s="58">
        <f>((('indice Carburant'!M7/'Indexation Client 2026'!$D$140)-1)*'Indexation Client 2026'!$F$140)</f>
        <v>-0.192</v>
      </c>
      <c r="S140" s="58">
        <f>((('indice Carburant'!N7/'Indexation Client 2026'!$D$140)-1)*'Indexation Client 2026'!$F$140)</f>
        <v>-0.192</v>
      </c>
      <c r="T140" s="58">
        <f>((('indice Carburant'!O7/'Indexation Client 2026'!$D$140)-1)*'Indexation Client 2026'!$F$140)</f>
        <v>-0.192</v>
      </c>
      <c r="U140" s="58">
        <f>((('indice Carburant'!P7/'Indexation Client 2026'!$D$140)-1)*'Indexation Client 2026'!$F$140)</f>
        <v>-0.192</v>
      </c>
    </row>
    <row r="141" ht="14.25" customHeight="1">
      <c r="A141" s="59" t="s">
        <v>224</v>
      </c>
      <c r="B141" s="76" t="s">
        <v>234</v>
      </c>
      <c r="C141" s="38" t="s">
        <v>224</v>
      </c>
      <c r="D141" s="38">
        <v>220.2</v>
      </c>
      <c r="E141" s="53" t="s">
        <v>226</v>
      </c>
      <c r="F141" s="58">
        <v>0.192</v>
      </c>
      <c r="G141" s="53" t="s">
        <v>36</v>
      </c>
      <c r="H141" s="53"/>
      <c r="I141" s="56"/>
      <c r="J141" s="57">
        <f>((('indice Carburant'!E7/'Indexation Client 2026'!$D$141)-1)*'Indexation Client 2026'!$F$141)</f>
        <v>-0.0209613079</v>
      </c>
      <c r="K141" s="57">
        <f>((('indice Carburant'!F7/'Indexation Client 2026'!$D$141)-1)*'Indexation Client 2026'!$F$141)</f>
        <v>-0.01638365123</v>
      </c>
      <c r="L141" s="57">
        <f>((('indice Carburant'!G7/'Indexation Client 2026'!$D$141)-1)*'Indexation Client 2026'!$F$141)</f>
        <v>0.02767520436</v>
      </c>
      <c r="M141" s="58">
        <f>((('indice Carburant'!H7/'Indexation Client 2026'!$D$141)-1)*'Indexation Client 2026'!$F$141)</f>
        <v>-0.192</v>
      </c>
      <c r="N141" s="58">
        <f>((('indice Carburant'!I7/'Indexation Client 2026'!$D$141)-1)*'Indexation Client 2026'!$F$141)</f>
        <v>-0.192</v>
      </c>
      <c r="O141" s="58">
        <f>((('indice Carburant'!J7/'Indexation Client 2026'!$D$141)-1)*'Indexation Client 2026'!$F$141)</f>
        <v>-0.192</v>
      </c>
      <c r="P141" s="58">
        <f>((('indice Carburant'!K7/'Indexation Client 2026'!$D$141)-1)*'Indexation Client 2026'!$F$141)</f>
        <v>-0.192</v>
      </c>
      <c r="Q141" s="58">
        <f>((('indice Carburant'!L7/'Indexation Client 2026'!$D$141)-1)*'Indexation Client 2026'!$F$141)</f>
        <v>-0.192</v>
      </c>
      <c r="R141" s="58">
        <f>((('indice Carburant'!M7/'Indexation Client 2026'!$D$141)-1)*'Indexation Client 2026'!$F$141)</f>
        <v>-0.192</v>
      </c>
      <c r="S141" s="58">
        <f>((('indice Carburant'!N7/'Indexation Client 2026'!$D$141)-1)*'Indexation Client 2026'!$F$141)</f>
        <v>-0.192</v>
      </c>
      <c r="T141" s="58">
        <f>((('indice Carburant'!O7/'Indexation Client 2026'!$D$141)-1)*'Indexation Client 2026'!$F$141)</f>
        <v>-0.192</v>
      </c>
      <c r="U141" s="58">
        <f>((('indice Carburant'!P7/'Indexation Client 2026'!$D$141)-1)*'Indexation Client 2026'!$F$141)</f>
        <v>-0.192</v>
      </c>
    </row>
    <row r="142" ht="14.25" customHeight="1">
      <c r="A142" s="59" t="s">
        <v>224</v>
      </c>
      <c r="B142" s="76" t="s">
        <v>235</v>
      </c>
      <c r="C142" s="38" t="s">
        <v>224</v>
      </c>
      <c r="D142" s="38">
        <v>164.61</v>
      </c>
      <c r="E142" s="53" t="s">
        <v>226</v>
      </c>
      <c r="F142" s="58">
        <v>0.209</v>
      </c>
      <c r="G142" s="53" t="s">
        <v>36</v>
      </c>
      <c r="H142" s="53"/>
      <c r="I142" s="56"/>
      <c r="J142" s="57">
        <f>((('indice Carburant'!E7/'Indexation Client 2026'!$D$142)-1)*'Indexation Client 2026'!$F$142)</f>
        <v>0.04005801592</v>
      </c>
      <c r="K142" s="57">
        <f>((('indice Carburant'!F7/'Indexation Client 2026'!$D$142)-1)*'Indexation Client 2026'!$F$142)</f>
        <v>0.04672377134</v>
      </c>
      <c r="L142" s="57">
        <f>((('indice Carburant'!G7/'Indexation Client 2026'!$D$142)-1)*'Indexation Client 2026'!$F$142)</f>
        <v>0.1108800802</v>
      </c>
      <c r="M142" s="58">
        <f>((('indice Carburant'!H7/'Indexation Client 2026'!$D$142)-1)*'Indexation Client 2026'!$F$142)</f>
        <v>-0.209</v>
      </c>
      <c r="N142" s="58">
        <f>((('indice Carburant'!I7/'Indexation Client 2026'!$D$142)-1)*'Indexation Client 2026'!$F$142)</f>
        <v>-0.209</v>
      </c>
      <c r="O142" s="58">
        <f>((('indice Carburant'!J7/'Indexation Client 2026'!$D$142)-1)*'Indexation Client 2026'!$F$142)</f>
        <v>-0.209</v>
      </c>
      <c r="P142" s="58">
        <f>((('indice Carburant'!K7/'Indexation Client 2026'!$D$142)-1)*'Indexation Client 2026'!$F$142)</f>
        <v>-0.209</v>
      </c>
      <c r="Q142" s="58">
        <f>((('indice Carburant'!L7/'Indexation Client 2026'!$D$142)-1)*'Indexation Client 2026'!$F$142)</f>
        <v>-0.209</v>
      </c>
      <c r="R142" s="58">
        <f>((('indice Carburant'!M7/'Indexation Client 2026'!$D$142)-1)*'Indexation Client 2026'!$F$142)</f>
        <v>-0.209</v>
      </c>
      <c r="S142" s="58">
        <f>((('indice Carburant'!N7/'Indexation Client 2026'!$D$142)-1)*'Indexation Client 2026'!$F$142)</f>
        <v>-0.209</v>
      </c>
      <c r="T142" s="58">
        <f>((('indice Carburant'!O7/'Indexation Client 2026'!$D$142)-1)*'Indexation Client 2026'!$F$142)</f>
        <v>-0.209</v>
      </c>
      <c r="U142" s="58">
        <f>((('indice Carburant'!P7/'Indexation Client 2026'!$D$142)-1)*'Indexation Client 2026'!$F$142)</f>
        <v>-0.209</v>
      </c>
    </row>
    <row r="143" ht="14.25" customHeight="1">
      <c r="A143" s="59" t="s">
        <v>224</v>
      </c>
      <c r="B143" s="76" t="s">
        <v>236</v>
      </c>
      <c r="C143" s="38" t="s">
        <v>224</v>
      </c>
      <c r="D143" s="38">
        <v>164.61</v>
      </c>
      <c r="E143" s="53" t="s">
        <v>226</v>
      </c>
      <c r="F143" s="58">
        <v>0.209</v>
      </c>
      <c r="G143" s="53" t="s">
        <v>36</v>
      </c>
      <c r="H143" s="53"/>
      <c r="I143" s="56"/>
      <c r="J143" s="57">
        <f>((('indice Carburant'!E7/'Indexation Client 2026'!$D$143)-1)*'Indexation Client 2026'!$F$143)</f>
        <v>0.04005801592</v>
      </c>
      <c r="K143" s="57">
        <f>((('indice Carburant'!F7/'Indexation Client 2026'!$D$143)-1)*'Indexation Client 2026'!$F$143)</f>
        <v>0.04672377134</v>
      </c>
      <c r="L143" s="57">
        <f>((('indice Carburant'!G7/'Indexation Client 2026'!$D$143)-1)*'Indexation Client 2026'!$F$143)</f>
        <v>0.1108800802</v>
      </c>
      <c r="M143" s="58">
        <f>((('indice Carburant'!H7/'Indexation Client 2026'!$D$143)-1)*'Indexation Client 2026'!$F$143)</f>
        <v>-0.209</v>
      </c>
      <c r="N143" s="58">
        <f>((('indice Carburant'!I7/'Indexation Client 2026'!$D$143)-1)*'Indexation Client 2026'!$F$143)</f>
        <v>-0.209</v>
      </c>
      <c r="O143" s="58">
        <f>((('indice Carburant'!J7/'Indexation Client 2026'!$D$143)-1)*'Indexation Client 2026'!$F$143)</f>
        <v>-0.209</v>
      </c>
      <c r="P143" s="58">
        <f>((('indice Carburant'!K7/'Indexation Client 2026'!$D$143)-1)*'Indexation Client 2026'!$F$143)</f>
        <v>-0.209</v>
      </c>
      <c r="Q143" s="58">
        <f>((('indice Carburant'!L7/'Indexation Client 2026'!$D$143)-1)*'Indexation Client 2026'!$F$143)</f>
        <v>-0.209</v>
      </c>
      <c r="R143" s="58">
        <f>((('indice Carburant'!M7/'Indexation Client 2026'!$D$143)-1)*'Indexation Client 2026'!$F$143)</f>
        <v>-0.209</v>
      </c>
      <c r="S143" s="58">
        <f>((('indice Carburant'!N7/'Indexation Client 2026'!$D$143)-1)*'Indexation Client 2026'!$F$143)</f>
        <v>-0.209</v>
      </c>
      <c r="T143" s="58">
        <f>((('indice Carburant'!O7/'Indexation Client 2026'!$D$143)-1)*'Indexation Client 2026'!$F$143)</f>
        <v>-0.209</v>
      </c>
      <c r="U143" s="58">
        <f>((('indice Carburant'!P7/'Indexation Client 2026'!$D$143)-1)*'Indexation Client 2026'!$F$143)</f>
        <v>-0.209</v>
      </c>
    </row>
    <row r="144" ht="14.25" customHeight="1">
      <c r="A144" s="59" t="s">
        <v>224</v>
      </c>
      <c r="B144" s="76" t="s">
        <v>237</v>
      </c>
      <c r="C144" s="38" t="s">
        <v>224</v>
      </c>
      <c r="D144" s="38">
        <v>220.2</v>
      </c>
      <c r="E144" s="53" t="s">
        <v>226</v>
      </c>
      <c r="F144" s="58">
        <v>0.192</v>
      </c>
      <c r="G144" s="53" t="s">
        <v>36</v>
      </c>
      <c r="H144" s="53"/>
      <c r="I144" s="56"/>
      <c r="J144" s="57">
        <f>((('indice Carburant'!E7/'Indexation Client 2026'!$D$144)-1)*'Indexation Client 2026'!$F$144)</f>
        <v>-0.0209613079</v>
      </c>
      <c r="K144" s="57">
        <f>((('indice Carburant'!F7/'Indexation Client 2026'!$D$144)-1)*'Indexation Client 2026'!$F$144)</f>
        <v>-0.01638365123</v>
      </c>
      <c r="L144" s="57">
        <f>((('indice Carburant'!G7/'Indexation Client 2026'!$D$144)-1)*'Indexation Client 2026'!$F$144)</f>
        <v>0.02767520436</v>
      </c>
      <c r="M144" s="58">
        <f>((('indice Carburant'!H7/'Indexation Client 2026'!$D$144)-1)*'Indexation Client 2026'!$F$144)</f>
        <v>-0.192</v>
      </c>
      <c r="N144" s="58">
        <f>((('indice Carburant'!I7/'Indexation Client 2026'!$D$144)-1)*'Indexation Client 2026'!$F$144)</f>
        <v>-0.192</v>
      </c>
      <c r="O144" s="58">
        <f>((('indice Carburant'!J7/'Indexation Client 2026'!$D$144)-1)*'Indexation Client 2026'!$F$144)</f>
        <v>-0.192</v>
      </c>
      <c r="P144" s="58">
        <f>((('indice Carburant'!K7/'Indexation Client 2026'!$D$144)-1)*'Indexation Client 2026'!$F$144)</f>
        <v>-0.192</v>
      </c>
      <c r="Q144" s="58">
        <f>((('indice Carburant'!L7/'Indexation Client 2026'!$D$144)-1)*'Indexation Client 2026'!$F$144)</f>
        <v>-0.192</v>
      </c>
      <c r="R144" s="58">
        <f>((('indice Carburant'!M7/'Indexation Client 2026'!$D$144)-1)*'Indexation Client 2026'!$F$144)</f>
        <v>-0.192</v>
      </c>
      <c r="S144" s="58">
        <f>((('indice Carburant'!N7/'Indexation Client 2026'!$D$144)-1)*'Indexation Client 2026'!$F$144)</f>
        <v>-0.192</v>
      </c>
      <c r="T144" s="58">
        <f>((('indice Carburant'!O7/'Indexation Client 2026'!$D$144)-1)*'Indexation Client 2026'!$F$144)</f>
        <v>-0.192</v>
      </c>
      <c r="U144" s="58">
        <f>((('indice Carburant'!P7/'Indexation Client 2026'!$D$144)-1)*'Indexation Client 2026'!$F$144)</f>
        <v>-0.192</v>
      </c>
    </row>
    <row r="145" ht="14.25" customHeight="1">
      <c r="A145" s="59" t="s">
        <v>224</v>
      </c>
      <c r="B145" s="76" t="s">
        <v>238</v>
      </c>
      <c r="C145" s="38" t="s">
        <v>224</v>
      </c>
      <c r="D145" s="38">
        <v>220.2</v>
      </c>
      <c r="E145" s="53" t="s">
        <v>226</v>
      </c>
      <c r="F145" s="58">
        <v>0.192</v>
      </c>
      <c r="G145" s="53" t="s">
        <v>36</v>
      </c>
      <c r="H145" s="53"/>
      <c r="I145" s="56"/>
      <c r="J145" s="57">
        <f>((('indice Carburant'!E7/'Indexation Client 2026'!$D$145)-1)*'Indexation Client 2026'!$F$145)</f>
        <v>-0.0209613079</v>
      </c>
      <c r="K145" s="57">
        <f>((('indice Carburant'!F7/'Indexation Client 2026'!$D$145)-1)*'Indexation Client 2026'!$F$145)</f>
        <v>-0.01638365123</v>
      </c>
      <c r="L145" s="57">
        <f>((('indice Carburant'!G7/'Indexation Client 2026'!$D$145)-1)*'Indexation Client 2026'!$F$145)</f>
        <v>0.02767520436</v>
      </c>
      <c r="M145" s="58">
        <f>((('indice Carburant'!H7/'Indexation Client 2026'!$D$145)-1)*'Indexation Client 2026'!$F$145)</f>
        <v>-0.192</v>
      </c>
      <c r="N145" s="58">
        <f>((('indice Carburant'!I7/'Indexation Client 2026'!$D$145)-1)*'Indexation Client 2026'!$F$145)</f>
        <v>-0.192</v>
      </c>
      <c r="O145" s="58">
        <f>((('indice Carburant'!J7/'Indexation Client 2026'!$D$145)-1)*'Indexation Client 2026'!$F$145)</f>
        <v>-0.192</v>
      </c>
      <c r="P145" s="58">
        <f>((('indice Carburant'!K7/'Indexation Client 2026'!$D$145)-1)*'Indexation Client 2026'!$F$145)</f>
        <v>-0.192</v>
      </c>
      <c r="Q145" s="58">
        <f>((('indice Carburant'!L7/'Indexation Client 2026'!$D$145)-1)*'Indexation Client 2026'!$F$145)</f>
        <v>-0.192</v>
      </c>
      <c r="R145" s="58">
        <f>((('indice Carburant'!M7/'Indexation Client 2026'!$D$145)-1)*'Indexation Client 2026'!$F$145)</f>
        <v>-0.192</v>
      </c>
      <c r="S145" s="58">
        <f>((('indice Carburant'!N7/'Indexation Client 2026'!$D$145)-1)*'Indexation Client 2026'!$F$145)</f>
        <v>-0.192</v>
      </c>
      <c r="T145" s="58">
        <f>((('indice Carburant'!O7/'Indexation Client 2026'!$D$145)-1)*'Indexation Client 2026'!$F$145)</f>
        <v>-0.192</v>
      </c>
      <c r="U145" s="58">
        <f>((('indice Carburant'!P7/'Indexation Client 2026'!$D$145)-1)*'Indexation Client 2026'!$F$145)</f>
        <v>-0.192</v>
      </c>
    </row>
    <row r="146" ht="14.25" customHeight="1">
      <c r="A146" s="59" t="s">
        <v>224</v>
      </c>
      <c r="B146" s="76" t="s">
        <v>239</v>
      </c>
      <c r="C146" s="38" t="s">
        <v>224</v>
      </c>
      <c r="D146" s="38">
        <v>220.2</v>
      </c>
      <c r="E146" s="53" t="s">
        <v>226</v>
      </c>
      <c r="F146" s="58">
        <v>0.192</v>
      </c>
      <c r="G146" s="53" t="s">
        <v>36</v>
      </c>
      <c r="H146" s="53"/>
      <c r="I146" s="56"/>
      <c r="J146" s="57">
        <f>((('indice Carburant'!E7/'Indexation Client 2026'!$D$146)-1)*'Indexation Client 2026'!$F$146)</f>
        <v>-0.0209613079</v>
      </c>
      <c r="K146" s="57">
        <f>((('indice Carburant'!F7/'Indexation Client 2026'!$D$146)-1)*'Indexation Client 2026'!$F$146)</f>
        <v>-0.01638365123</v>
      </c>
      <c r="L146" s="57">
        <f>((('indice Carburant'!G7/'Indexation Client 2026'!$D$146)-1)*'Indexation Client 2026'!$F$146)</f>
        <v>0.02767520436</v>
      </c>
      <c r="M146" s="58">
        <f>((('indice Carburant'!H7/'Indexation Client 2026'!$D$146)-1)*'Indexation Client 2026'!$F$146)</f>
        <v>-0.192</v>
      </c>
      <c r="N146" s="58">
        <f>((('indice Carburant'!I7/'Indexation Client 2026'!$D$146)-1)*'Indexation Client 2026'!$F$146)</f>
        <v>-0.192</v>
      </c>
      <c r="O146" s="58">
        <f>((('indice Carburant'!J7/'Indexation Client 2026'!$D$146)-1)*'Indexation Client 2026'!$F$146)</f>
        <v>-0.192</v>
      </c>
      <c r="P146" s="58">
        <f>((('indice Carburant'!K7/'Indexation Client 2026'!$D$146)-1)*'Indexation Client 2026'!$F$146)</f>
        <v>-0.192</v>
      </c>
      <c r="Q146" s="58">
        <f>((('indice Carburant'!L7/'Indexation Client 2026'!$D$146)-1)*'Indexation Client 2026'!$F$146)</f>
        <v>-0.192</v>
      </c>
      <c r="R146" s="58">
        <f>((('indice Carburant'!M7/'Indexation Client 2026'!$D$146)-1)*'Indexation Client 2026'!$F$146)</f>
        <v>-0.192</v>
      </c>
      <c r="S146" s="58">
        <f>((('indice Carburant'!N7/'Indexation Client 2026'!$D$146)-1)*'Indexation Client 2026'!$F$146)</f>
        <v>-0.192</v>
      </c>
      <c r="T146" s="58">
        <f>((('indice Carburant'!O7/'Indexation Client 2026'!$D$146)-1)*'Indexation Client 2026'!$F$146)</f>
        <v>-0.192</v>
      </c>
      <c r="U146" s="58">
        <f>((('indice Carburant'!P7/'Indexation Client 2026'!$D$146)-1)*'Indexation Client 2026'!$F$146)</f>
        <v>-0.192</v>
      </c>
    </row>
    <row r="147" ht="14.25" customHeight="1">
      <c r="A147" s="59" t="s">
        <v>224</v>
      </c>
      <c r="B147" s="76" t="s">
        <v>240</v>
      </c>
      <c r="C147" s="38" t="s">
        <v>224</v>
      </c>
      <c r="D147" s="38">
        <v>208.38</v>
      </c>
      <c r="E147" s="53" t="s">
        <v>226</v>
      </c>
      <c r="F147" s="58">
        <v>0.192</v>
      </c>
      <c r="G147" s="53" t="s">
        <v>36</v>
      </c>
      <c r="H147" s="53"/>
      <c r="I147" s="56"/>
      <c r="J147" s="57">
        <f>((('indice Carburant'!E7/'Indexation Client 2026'!$D$147)-1)*'Indexation Client 2026'!$F$147)</f>
        <v>-0.01125942989</v>
      </c>
      <c r="K147" s="57">
        <f>((('indice Carburant'!F7/'Indexation Client 2026'!$D$147)-1)*'Indexation Client 2026'!$F$147)</f>
        <v>-0.006422113447</v>
      </c>
      <c r="L147" s="57">
        <f>((('indice Carburant'!G7/'Indexation Client 2026'!$D$147)-1)*'Indexation Client 2026'!$F$147)</f>
        <v>0.04013590556</v>
      </c>
      <c r="M147" s="58">
        <f>((('indice Carburant'!H7/'Indexation Client 2026'!$D$147)-1)*'Indexation Client 2026'!$F$147)</f>
        <v>-0.192</v>
      </c>
      <c r="N147" s="58">
        <f>((('indice Carburant'!I7/'Indexation Client 2026'!$D$147)-1)*'Indexation Client 2026'!$F$147)</f>
        <v>-0.192</v>
      </c>
      <c r="O147" s="58">
        <f>((('indice Carburant'!J7/'Indexation Client 2026'!$D$147)-1)*'Indexation Client 2026'!$F$147)</f>
        <v>-0.192</v>
      </c>
      <c r="P147" s="58">
        <f>((('indice Carburant'!K7/'Indexation Client 2026'!$D$147)-1)*'Indexation Client 2026'!$F$147)</f>
        <v>-0.192</v>
      </c>
      <c r="Q147" s="58">
        <f>((('indice Carburant'!L7/'Indexation Client 2026'!$D$147)-1)*'Indexation Client 2026'!$F$147)</f>
        <v>-0.192</v>
      </c>
      <c r="R147" s="58">
        <f>((('indice Carburant'!M7/'Indexation Client 2026'!$D$147)-1)*'Indexation Client 2026'!$F$147)</f>
        <v>-0.192</v>
      </c>
      <c r="S147" s="58">
        <f>((('indice Carburant'!N7/'Indexation Client 2026'!$D$147)-1)*'Indexation Client 2026'!$F$147)</f>
        <v>-0.192</v>
      </c>
      <c r="T147" s="58">
        <f>((('indice Carburant'!O7/'Indexation Client 2026'!$D$147)-1)*'Indexation Client 2026'!$F$147)</f>
        <v>-0.192</v>
      </c>
      <c r="U147" s="58">
        <f>((('indice Carburant'!P7/'Indexation Client 2026'!$D$147)-1)*'Indexation Client 2026'!$F$147)</f>
        <v>-0.192</v>
      </c>
    </row>
    <row r="148" ht="14.25" customHeight="1">
      <c r="A148" s="59" t="s">
        <v>224</v>
      </c>
      <c r="B148" s="76" t="s">
        <v>241</v>
      </c>
      <c r="C148" s="38" t="s">
        <v>224</v>
      </c>
      <c r="D148" s="38">
        <v>203.84</v>
      </c>
      <c r="E148" s="53" t="s">
        <v>226</v>
      </c>
      <c r="F148" s="58">
        <v>0.192</v>
      </c>
      <c r="G148" s="53" t="s">
        <v>36</v>
      </c>
      <c r="H148" s="53"/>
      <c r="I148" s="56"/>
      <c r="J148" s="57">
        <f>((('indice Carburant'!E7/'Indexation Client 2026'!$D$148)-1)*'Indexation Client 2026'!$F$148)</f>
        <v>-0.007233908948</v>
      </c>
      <c r="K148" s="57">
        <f>((('indice Carburant'!F7/'Indexation Client 2026'!$D$148)-1)*'Indexation Client 2026'!$F$148)</f>
        <v>-0.002288854003</v>
      </c>
      <c r="L148" s="57">
        <f>((('indice Carburant'!G7/'Indexation Client 2026'!$D$148)-1)*'Indexation Client 2026'!$F$148)</f>
        <v>0.04530612245</v>
      </c>
      <c r="M148" s="58">
        <f>((('indice Carburant'!H7/'Indexation Client 2026'!$D$148)-1)*'Indexation Client 2026'!$F$148)</f>
        <v>-0.192</v>
      </c>
      <c r="N148" s="58">
        <f>((('indice Carburant'!I7/'Indexation Client 2026'!$D$148)-1)*'Indexation Client 2026'!$F$148)</f>
        <v>-0.192</v>
      </c>
      <c r="O148" s="58">
        <f>((('indice Carburant'!J7/'Indexation Client 2026'!$D$148)-1)*'Indexation Client 2026'!$F$148)</f>
        <v>-0.192</v>
      </c>
      <c r="P148" s="58">
        <f>((('indice Carburant'!K7/'Indexation Client 2026'!$D$148)-1)*'Indexation Client 2026'!$F$148)</f>
        <v>-0.192</v>
      </c>
      <c r="Q148" s="58">
        <f>((('indice Carburant'!L7/'Indexation Client 2026'!$D$148)-1)*'Indexation Client 2026'!$F$148)</f>
        <v>-0.192</v>
      </c>
      <c r="R148" s="58">
        <f>((('indice Carburant'!M7/'Indexation Client 2026'!$D$148)-1)*'Indexation Client 2026'!$F$148)</f>
        <v>-0.192</v>
      </c>
      <c r="S148" s="58">
        <f>((('indice Carburant'!N7/'Indexation Client 2026'!$D$148)-1)*'Indexation Client 2026'!$F$148)</f>
        <v>-0.192</v>
      </c>
      <c r="T148" s="58">
        <f>((('indice Carburant'!O7/'Indexation Client 2026'!$D$148)-1)*'Indexation Client 2026'!$F$148)</f>
        <v>-0.192</v>
      </c>
      <c r="U148" s="58">
        <f>((('indice Carburant'!P7/'Indexation Client 2026'!$D$148)-1)*'Indexation Client 2026'!$F$148)</f>
        <v>-0.192</v>
      </c>
    </row>
    <row r="149" ht="14.25" customHeight="1">
      <c r="A149" s="59" t="s">
        <v>224</v>
      </c>
      <c r="B149" s="76" t="s">
        <v>242</v>
      </c>
      <c r="C149" s="38" t="s">
        <v>224</v>
      </c>
      <c r="D149" s="38">
        <v>203.84</v>
      </c>
      <c r="E149" s="53" t="s">
        <v>226</v>
      </c>
      <c r="F149" s="58">
        <v>0.192</v>
      </c>
      <c r="G149" s="53" t="s">
        <v>36</v>
      </c>
      <c r="H149" s="53"/>
      <c r="I149" s="56"/>
      <c r="J149" s="57">
        <f>((('indice Carburant'!E7/'Indexation Client 2026'!$D$149)-1)*'Indexation Client 2026'!$F$149)</f>
        <v>-0.007233908948</v>
      </c>
      <c r="K149" s="57">
        <f>((('indice Carburant'!F7/'Indexation Client 2026'!$D$149)-1)*'Indexation Client 2026'!$F$149)</f>
        <v>-0.002288854003</v>
      </c>
      <c r="L149" s="57">
        <f>((('indice Carburant'!G7/'Indexation Client 2026'!$D$149)-1)*'Indexation Client 2026'!$F$149)</f>
        <v>0.04530612245</v>
      </c>
      <c r="M149" s="58">
        <f>((('indice Carburant'!H7/'Indexation Client 2026'!$D$149)-1)*'Indexation Client 2026'!$F$149)</f>
        <v>-0.192</v>
      </c>
      <c r="N149" s="58">
        <f>((('indice Carburant'!I7/'Indexation Client 2026'!$D$149)-1)*'Indexation Client 2026'!$F$149)</f>
        <v>-0.192</v>
      </c>
      <c r="O149" s="58">
        <f>((('indice Carburant'!J7/'Indexation Client 2026'!$D$149)-1)*'Indexation Client 2026'!$F$149)</f>
        <v>-0.192</v>
      </c>
      <c r="P149" s="58">
        <f>((('indice Carburant'!K7/'Indexation Client 2026'!$D$149)-1)*'Indexation Client 2026'!$F$149)</f>
        <v>-0.192</v>
      </c>
      <c r="Q149" s="58">
        <f>((('indice Carburant'!L7/'Indexation Client 2026'!$D$149)-1)*'Indexation Client 2026'!$F$149)</f>
        <v>-0.192</v>
      </c>
      <c r="R149" s="58">
        <f>((('indice Carburant'!M7/'Indexation Client 2026'!$D$149)-1)*'Indexation Client 2026'!$F$149)</f>
        <v>-0.192</v>
      </c>
      <c r="S149" s="58">
        <f>((('indice Carburant'!N7/'Indexation Client 2026'!$D$149)-1)*'Indexation Client 2026'!$F$149)</f>
        <v>-0.192</v>
      </c>
      <c r="T149" s="58">
        <f>((('indice Carburant'!O7/'Indexation Client 2026'!$D$149)-1)*'Indexation Client 2026'!$F$149)</f>
        <v>-0.192</v>
      </c>
      <c r="U149" s="58">
        <f>((('indice Carburant'!P7/'Indexation Client 2026'!$D$149)-1)*'Indexation Client 2026'!$F$149)</f>
        <v>-0.192</v>
      </c>
    </row>
    <row r="150" ht="14.25" customHeight="1">
      <c r="A150" s="59" t="s">
        <v>224</v>
      </c>
      <c r="B150" s="76" t="s">
        <v>243</v>
      </c>
      <c r="C150" s="38" t="s">
        <v>224</v>
      </c>
      <c r="D150" s="38">
        <v>203.84</v>
      </c>
      <c r="E150" s="53" t="s">
        <v>226</v>
      </c>
      <c r="F150" s="58">
        <v>0.209</v>
      </c>
      <c r="G150" s="53" t="s">
        <v>36</v>
      </c>
      <c r="H150" s="53"/>
      <c r="I150" s="56"/>
      <c r="J150" s="57">
        <f>((('indice Carburant'!E7/'Indexation Client 2026'!$D$150)-1)*'Indexation Client 2026'!$F$150)</f>
        <v>-0.007874411303</v>
      </c>
      <c r="K150" s="57">
        <f>((('indice Carburant'!F7/'Indexation Client 2026'!$D$150)-1)*'Indexation Client 2026'!$F$150)</f>
        <v>-0.002491512951</v>
      </c>
      <c r="L150" s="57">
        <f>((('indice Carburant'!G7/'Indexation Client 2026'!$D$150)-1)*'Indexation Client 2026'!$F$150)</f>
        <v>0.04931760204</v>
      </c>
      <c r="M150" s="58">
        <f>((('indice Carburant'!H7/'Indexation Client 2026'!$D$150)-1)*'Indexation Client 2026'!$F$150)</f>
        <v>-0.209</v>
      </c>
      <c r="N150" s="58">
        <f>((('indice Carburant'!I7/'Indexation Client 2026'!$D$150)-1)*'Indexation Client 2026'!$F$150)</f>
        <v>-0.209</v>
      </c>
      <c r="O150" s="58">
        <f>((('indice Carburant'!J7/'Indexation Client 2026'!$D$150)-1)*'Indexation Client 2026'!$F$150)</f>
        <v>-0.209</v>
      </c>
      <c r="P150" s="58">
        <f>((('indice Carburant'!K7/'Indexation Client 2026'!$D$150)-1)*'Indexation Client 2026'!$F$150)</f>
        <v>-0.209</v>
      </c>
      <c r="Q150" s="58">
        <f>((('indice Carburant'!L7/'Indexation Client 2026'!$D$150)-1)*'Indexation Client 2026'!$F$150)</f>
        <v>-0.209</v>
      </c>
      <c r="R150" s="58">
        <f>((('indice Carburant'!M7/'Indexation Client 2026'!$D$150)-1)*'Indexation Client 2026'!$F$150)</f>
        <v>-0.209</v>
      </c>
      <c r="S150" s="58">
        <f>((('indice Carburant'!N7/'Indexation Client 2026'!$D$150)-1)*'Indexation Client 2026'!$F$150)</f>
        <v>-0.209</v>
      </c>
      <c r="T150" s="58">
        <f>((('indice Carburant'!O7/'Indexation Client 2026'!$D$150)-1)*'Indexation Client 2026'!$F$150)</f>
        <v>-0.209</v>
      </c>
      <c r="U150" s="58">
        <f>((('indice Carburant'!P7/'Indexation Client 2026'!$D$150)-1)*'Indexation Client 2026'!$F$150)</f>
        <v>-0.209</v>
      </c>
    </row>
    <row r="151" ht="14.25" customHeight="1">
      <c r="A151" s="59" t="s">
        <v>224</v>
      </c>
      <c r="B151" s="76" t="s">
        <v>244</v>
      </c>
      <c r="C151" s="38" t="s">
        <v>224</v>
      </c>
      <c r="D151" s="38">
        <v>220.2</v>
      </c>
      <c r="E151" s="53" t="s">
        <v>226</v>
      </c>
      <c r="F151" s="58">
        <v>0.192</v>
      </c>
      <c r="G151" s="53" t="s">
        <v>36</v>
      </c>
      <c r="H151" s="53"/>
      <c r="I151" s="56"/>
      <c r="J151" s="57">
        <f>((('indice Carburant'!E7/'Indexation Client 2026'!$D$151)-1)*'Indexation Client 2026'!$F$151)</f>
        <v>-0.0209613079</v>
      </c>
      <c r="K151" s="57">
        <f>((('indice Carburant'!F7/'Indexation Client 2026'!$D$151)-1)*'Indexation Client 2026'!$F$151)</f>
        <v>-0.01638365123</v>
      </c>
      <c r="L151" s="57">
        <f>((('indice Carburant'!G7/'Indexation Client 2026'!$D$151)-1)*'Indexation Client 2026'!$F$151)</f>
        <v>0.02767520436</v>
      </c>
      <c r="M151" s="58">
        <f>((('indice Carburant'!H7/'Indexation Client 2026'!$D$151)-1)*'Indexation Client 2026'!$F$151)</f>
        <v>-0.192</v>
      </c>
      <c r="N151" s="58">
        <f>((('indice Carburant'!I7/'Indexation Client 2026'!$D$151)-1)*'Indexation Client 2026'!$F$151)</f>
        <v>-0.192</v>
      </c>
      <c r="O151" s="58">
        <f>((('indice Carburant'!J7/'Indexation Client 2026'!$D$151)-1)*'Indexation Client 2026'!$F$151)</f>
        <v>-0.192</v>
      </c>
      <c r="P151" s="58">
        <f>((('indice Carburant'!K7/'Indexation Client 2026'!$D$151)-1)*'Indexation Client 2026'!$F$151)</f>
        <v>-0.192</v>
      </c>
      <c r="Q151" s="58">
        <f>((('indice Carburant'!L7/'Indexation Client 2026'!$D$151)-1)*'Indexation Client 2026'!$F$151)</f>
        <v>-0.192</v>
      </c>
      <c r="R151" s="58">
        <f>((('indice Carburant'!M7/'Indexation Client 2026'!$D$151)-1)*'Indexation Client 2026'!$F$151)</f>
        <v>-0.192</v>
      </c>
      <c r="S151" s="58">
        <f>((('indice Carburant'!N7/'Indexation Client 2026'!$D$151)-1)*'Indexation Client 2026'!$F$151)</f>
        <v>-0.192</v>
      </c>
      <c r="T151" s="58">
        <f>((('indice Carburant'!O7/'Indexation Client 2026'!$D$151)-1)*'Indexation Client 2026'!$F$151)</f>
        <v>-0.192</v>
      </c>
      <c r="U151" s="58">
        <f>((('indice Carburant'!P7/'Indexation Client 2026'!$D$151)-1)*'Indexation Client 2026'!$F$151)</f>
        <v>-0.192</v>
      </c>
    </row>
    <row r="152" ht="14.25" customHeight="1">
      <c r="A152" s="59" t="s">
        <v>245</v>
      </c>
      <c r="B152" s="53" t="s">
        <v>246</v>
      </c>
      <c r="C152" s="38" t="s">
        <v>247</v>
      </c>
      <c r="D152" s="53">
        <v>209.36</v>
      </c>
      <c r="E152" s="53" t="s">
        <v>35</v>
      </c>
      <c r="F152" s="58">
        <v>0.3052</v>
      </c>
      <c r="G152" s="53" t="s">
        <v>78</v>
      </c>
      <c r="H152" s="53">
        <v>1.6317</v>
      </c>
      <c r="I152" s="56"/>
      <c r="J152" s="74">
        <f>((('indice Carburant'!D6/'Indexation Client 2026'!$D$152)-1)*'Indexation Client 2026'!$F$152)*'Indexation Client 2026'!$H$152+$H$152</f>
        <v>1.565478294</v>
      </c>
      <c r="K152" s="74">
        <f>((('indice Carburant'!E6/'Indexation Client 2026'!$D$152)-1)*'Indexation Client 2026'!$F$152)*'Indexation Client 2026'!$H$152+$H$152</f>
        <v>1.580083225</v>
      </c>
      <c r="L152" s="74">
        <f>((('indice Carburant'!F6/'Indexation Client 2026'!$D$152)-1)*'Indexation Client 2026'!$F$152)*'Indexation Client 2026'!$H$152+$H$152</f>
        <v>1.593593975</v>
      </c>
      <c r="M152" s="77">
        <f>((('indice Carburant'!G6/'Indexation Client 2026'!$D$152)-1)*'Indexation Client 2026'!$F$152)*'Indexation Client 2026'!$H$152+$H$152</f>
        <v>1.723801453</v>
      </c>
      <c r="N152" s="75">
        <f>((('indice Carburant'!H6/'Indexation Client 2026'!$D$152)-1)*'Indexation Client 2026'!$F$152)*'Indexation Client 2026'!$H$152+$H$152</f>
        <v>1.13370516</v>
      </c>
      <c r="O152" s="75">
        <f>((('indice Carburant'!I6/'Indexation Client 2026'!$D$152)-1)*'Indexation Client 2026'!$F$152)*'Indexation Client 2026'!$H$152+$H$152</f>
        <v>1.13370516</v>
      </c>
      <c r="P152" s="75">
        <f>((('indice Carburant'!J6/'Indexation Client 2026'!$D$152)-1)*'Indexation Client 2026'!$F$152)*'Indexation Client 2026'!$H$152+$H$152</f>
        <v>1.13370516</v>
      </c>
      <c r="Q152" s="75">
        <f>((('indice Carburant'!K6/'Indexation Client 2026'!$D$152)-1)*'Indexation Client 2026'!$F$152)*'Indexation Client 2026'!$H$152+$H$152</f>
        <v>1.13370516</v>
      </c>
      <c r="R152" s="75">
        <f>((('indice Carburant'!L6/'Indexation Client 2026'!$D$152)-1)*'Indexation Client 2026'!$F$152)*'Indexation Client 2026'!$H$152+$H$152</f>
        <v>1.13370516</v>
      </c>
      <c r="S152" s="75">
        <f>((('indice Carburant'!M6/'Indexation Client 2026'!$D$152)-1)*'Indexation Client 2026'!$F$152)*'Indexation Client 2026'!$H$152+$H$152</f>
        <v>1.13370516</v>
      </c>
      <c r="T152" s="75">
        <f>((('indice Carburant'!N6/'Indexation Client 2026'!$D$152)-1)*'Indexation Client 2026'!$F$152)*'Indexation Client 2026'!$H$152+$H$152</f>
        <v>1.13370516</v>
      </c>
      <c r="U152" s="75">
        <f>((('indice Carburant'!O6/'Indexation Client 2026'!$D$152)-1)*'Indexation Client 2026'!$F$152)*'Indexation Client 2026'!$H$152+$H$152</f>
        <v>1.13370516</v>
      </c>
    </row>
    <row r="153" ht="14.25" customHeight="1">
      <c r="A153" s="59" t="s">
        <v>245</v>
      </c>
      <c r="B153" s="53" t="s">
        <v>248</v>
      </c>
      <c r="C153" s="38" t="s">
        <v>247</v>
      </c>
      <c r="D153" s="53">
        <v>176.61</v>
      </c>
      <c r="E153" s="53" t="s">
        <v>35</v>
      </c>
      <c r="F153" s="58">
        <v>0.2306</v>
      </c>
      <c r="G153" s="53" t="s">
        <v>78</v>
      </c>
      <c r="H153" s="53">
        <v>2.0185</v>
      </c>
      <c r="I153" s="56"/>
      <c r="J153" s="74">
        <f>((('indice Carburant'!D6/'Indexation Client 2026'!$D$153)-1)*'Indexation Client 2026'!$F$153)*'Indexation Client 2026'!$H$153+$H$153</f>
        <v>2.031440595</v>
      </c>
      <c r="K153" s="74">
        <f>((('indice Carburant'!E6/'Indexation Client 2026'!$D$153)-1)*'Indexation Client 2026'!$F$153)*'Indexation Client 2026'!$H$153+$H$153</f>
        <v>2.047622929</v>
      </c>
      <c r="L153" s="74">
        <f>((('indice Carburant'!F6/'Indexation Client 2026'!$D$153)-1)*'Indexation Client 2026'!$F$153)*'Indexation Client 2026'!$H$153+$H$153</f>
        <v>2.062592904</v>
      </c>
      <c r="M153" s="77">
        <f>((('indice Carburant'!G6/'Indexation Client 2026'!$D$153)-1)*'Indexation Client 2026'!$F$153)*'Indexation Client 2026'!$H$153+$H$153</f>
        <v>2.206863412</v>
      </c>
      <c r="N153" s="75">
        <f>((('indice Carburant'!H6/'Indexation Client 2026'!$D$153)-1)*'Indexation Client 2026'!$F$153)*'Indexation Client 2026'!$H$153+$H$153</f>
        <v>1.5530339</v>
      </c>
      <c r="O153" s="75">
        <f>((('indice Carburant'!I6/'Indexation Client 2026'!$D$153)-1)*'Indexation Client 2026'!$F$153)*'Indexation Client 2026'!$H$153+$H$153</f>
        <v>1.5530339</v>
      </c>
      <c r="P153" s="75">
        <f>((('indice Carburant'!J6/'Indexation Client 2026'!$D$153)-1)*'Indexation Client 2026'!$F$153)*'Indexation Client 2026'!$H$153+$H$153</f>
        <v>1.5530339</v>
      </c>
      <c r="Q153" s="75">
        <f>((('indice Carburant'!K6/'Indexation Client 2026'!$D$153)-1)*'Indexation Client 2026'!$F$153)*'Indexation Client 2026'!$H$153+$H$153</f>
        <v>1.5530339</v>
      </c>
      <c r="R153" s="75">
        <f>((('indice Carburant'!L6/'Indexation Client 2026'!$D$153)-1)*'Indexation Client 2026'!$F$153)*'Indexation Client 2026'!$H$153+$H$153</f>
        <v>1.5530339</v>
      </c>
      <c r="S153" s="75">
        <f>((('indice Carburant'!M6/'Indexation Client 2026'!$D$153)-1)*'Indexation Client 2026'!$F$153)*'Indexation Client 2026'!$H$153+$H$153</f>
        <v>1.5530339</v>
      </c>
      <c r="T153" s="75">
        <f>((('indice Carburant'!N6/'Indexation Client 2026'!$D$153)-1)*'Indexation Client 2026'!$F$153)*'Indexation Client 2026'!$H$153+$H$153</f>
        <v>1.5530339</v>
      </c>
      <c r="U153" s="75">
        <f>((('indice Carburant'!O6/'Indexation Client 2026'!$D$153)-1)*'Indexation Client 2026'!$F$153)*'Indexation Client 2026'!$H$153+$H$153</f>
        <v>1.5530339</v>
      </c>
    </row>
    <row r="154" ht="14.25" customHeight="1">
      <c r="A154" s="59" t="s">
        <v>245</v>
      </c>
      <c r="B154" s="71" t="s">
        <v>249</v>
      </c>
      <c r="C154" s="38" t="s">
        <v>247</v>
      </c>
      <c r="D154" s="53">
        <v>101.15</v>
      </c>
      <c r="E154" s="53" t="s">
        <v>81</v>
      </c>
      <c r="F154" s="58">
        <v>0.2254</v>
      </c>
      <c r="G154" s="53" t="s">
        <v>78</v>
      </c>
      <c r="H154" s="53">
        <v>1.275</v>
      </c>
      <c r="I154" s="56"/>
      <c r="J154" s="74">
        <f>((('indice Carburant'!D13/'Indexation Client 2026'!$D$154)-1)*'Indexation Client 2026'!$F$154)*'Indexation Client 2026'!$H$154+$H$154</f>
        <v>1.446266118</v>
      </c>
      <c r="K154" s="74">
        <f>((('indice Carburant'!E13/'Indexation Client 2026'!$D$154)-1)*'Indexation Client 2026'!$F$154)*'Indexation Client 2026'!$H$154+$H$154</f>
        <v>1.441095176</v>
      </c>
      <c r="L154" s="74">
        <f>((('indice Carburant'!F13/'Indexation Client 2026'!$D$154)-1)*'Indexation Client 2026'!$F$154)*'Indexation Client 2026'!$H$154+$H$154</f>
        <v>1.492435235</v>
      </c>
      <c r="M154" s="77">
        <f>((('indice Carburant'!G13/'Indexation Client 2026'!$D$154)-1)*'Indexation Client 2026'!$F$154)*'Indexation Client 2026'!$H$154+$H$154</f>
        <v>0.987615</v>
      </c>
      <c r="N154" s="75">
        <f>((('indice Carburant'!H13/'Indexation Client 2026'!$D$154)-1)*'Indexation Client 2026'!$F$154)*'Indexation Client 2026'!$H$154+$H$154</f>
        <v>0.987615</v>
      </c>
      <c r="O154" s="75">
        <f>((('indice Carburant'!I13/'Indexation Client 2026'!$D$154)-1)*'Indexation Client 2026'!$F$154)*'Indexation Client 2026'!$H$154+$H$154</f>
        <v>0.987615</v>
      </c>
      <c r="P154" s="75">
        <f>((('indice Carburant'!J13/'Indexation Client 2026'!$D$154)-1)*'Indexation Client 2026'!$F$154)*'Indexation Client 2026'!$H$154+$H$154</f>
        <v>0.987615</v>
      </c>
      <c r="Q154" s="75">
        <f>((('indice Carburant'!K13/'Indexation Client 2026'!$D$154)-1)*'Indexation Client 2026'!$F$154)*'Indexation Client 2026'!$H$154+$H$154</f>
        <v>0.987615</v>
      </c>
      <c r="R154" s="75">
        <f>((('indice Carburant'!L13/'Indexation Client 2026'!$D$154)-1)*'Indexation Client 2026'!$F$154)*'Indexation Client 2026'!$H$154+$H$154</f>
        <v>0.987615</v>
      </c>
      <c r="S154" s="75">
        <f>((('indice Carburant'!M13/'Indexation Client 2026'!$D$154)-1)*'Indexation Client 2026'!$F$154)*'Indexation Client 2026'!$H$154+$H$154</f>
        <v>0.987615</v>
      </c>
      <c r="T154" s="75">
        <f>((('indice Carburant'!N13/'Indexation Client 2026'!$D$154)-1)*'Indexation Client 2026'!$F$154)*'Indexation Client 2026'!$H$154+$H$154</f>
        <v>0.987615</v>
      </c>
      <c r="U154" s="75">
        <f>((('indice Carburant'!O13/'Indexation Client 2026'!$D$154)-1)*'Indexation Client 2026'!$F$154)*'Indexation Client 2026'!$H$154+$H$154</f>
        <v>0.987615</v>
      </c>
    </row>
    <row r="155" ht="14.25" customHeight="1">
      <c r="A155" s="59" t="s">
        <v>245</v>
      </c>
      <c r="B155" s="76" t="s">
        <v>250</v>
      </c>
      <c r="C155" s="38" t="s">
        <v>247</v>
      </c>
      <c r="D155" s="53">
        <v>195.67</v>
      </c>
      <c r="E155" s="53" t="s">
        <v>35</v>
      </c>
      <c r="F155" s="58">
        <v>0.2815</v>
      </c>
      <c r="G155" s="53" t="s">
        <v>78</v>
      </c>
      <c r="H155" s="75">
        <v>2.8118</v>
      </c>
      <c r="I155" s="56"/>
      <c r="J155" s="74">
        <f>((('indice Carburant'!D6/'Indexation Client 2026'!$D$155)-1)*'Indexation Client 2026'!$F$155)*'Indexation Client 2026'!$H$155+$H$155</f>
        <v>2.754560607</v>
      </c>
      <c r="K155" s="74">
        <f>((('indice Carburant'!E6/'Indexation Client 2026'!$D$155)-1)*'Indexation Client 2026'!$F$155)*'Indexation Client 2026'!$H$155+$H$155</f>
        <v>2.779398054</v>
      </c>
      <c r="L155" s="74">
        <f>((('indice Carburant'!F6/'Indexation Client 2026'!$D$155)-1)*'Indexation Client 2026'!$F$155)*'Indexation Client 2026'!$H$155+$H$155</f>
        <v>2.802374715</v>
      </c>
      <c r="M155" s="75">
        <f>((('indice Carburant'!G6/'Indexation Client 2026'!$D$155)-1)*'Indexation Client 2026'!$F$155)*'Indexation Client 2026'!$H$155+$H$155</f>
        <v>3.02380824</v>
      </c>
      <c r="N155" s="75">
        <f>((('indice Carburant'!H6/'Indexation Client 2026'!$D$155)-1)*'Indexation Client 2026'!$F$155)*'Indexation Client 2026'!$H$155+$H$155</f>
        <v>2.0202783</v>
      </c>
      <c r="O155" s="75">
        <f>((('indice Carburant'!I6/'Indexation Client 2026'!$D$155)-1)*'Indexation Client 2026'!$F$155)*'Indexation Client 2026'!$H$155+$H$155</f>
        <v>2.0202783</v>
      </c>
      <c r="P155" s="75">
        <f>((('indice Carburant'!J6/'Indexation Client 2026'!$D$155)-1)*'Indexation Client 2026'!$F$155)*'Indexation Client 2026'!$H$155+$H$155</f>
        <v>2.0202783</v>
      </c>
      <c r="Q155" s="75">
        <f>((('indice Carburant'!K6/'Indexation Client 2026'!$D$155)-1)*'Indexation Client 2026'!$F$155)*'Indexation Client 2026'!$H$155+$H$155</f>
        <v>2.0202783</v>
      </c>
      <c r="R155" s="75">
        <f>((('indice Carburant'!L6/'Indexation Client 2026'!$D$155)-1)*'Indexation Client 2026'!$F$155)*'Indexation Client 2026'!$H$155+$H$155</f>
        <v>2.0202783</v>
      </c>
      <c r="S155" s="75">
        <f>((('indice Carburant'!M6/'Indexation Client 2026'!$D$155)-1)*'Indexation Client 2026'!$F$155)*'Indexation Client 2026'!$H$155+$H$155</f>
        <v>2.0202783</v>
      </c>
      <c r="T155" s="75">
        <f>((('indice Carburant'!N6/'Indexation Client 2026'!$D$155)-1)*'Indexation Client 2026'!$F$155)*'Indexation Client 2026'!$H$155+$H$155</f>
        <v>2.0202783</v>
      </c>
      <c r="U155" s="75">
        <f>((('indice Carburant'!O6/'Indexation Client 2026'!$D$155)-1)*'Indexation Client 2026'!$F$155)*'Indexation Client 2026'!$H$155+$H$155</f>
        <v>2.0202783</v>
      </c>
    </row>
    <row r="156" ht="14.25" customHeight="1">
      <c r="A156" s="59" t="s">
        <v>251</v>
      </c>
      <c r="B156" s="71" t="s">
        <v>252</v>
      </c>
      <c r="C156" s="38" t="s">
        <v>247</v>
      </c>
      <c r="D156" s="53">
        <v>153.94</v>
      </c>
      <c r="E156" s="53" t="s">
        <v>81</v>
      </c>
      <c r="F156" s="58">
        <v>0.15</v>
      </c>
      <c r="G156" s="53" t="s">
        <v>36</v>
      </c>
      <c r="H156" s="53"/>
      <c r="I156" s="56"/>
      <c r="J156" s="57">
        <f>((('indice Carburant'!D13/'Indexation Client 2026'!$D$156)-1)*'Indexation Client 2026'!$F$156)</f>
        <v>0.007298298038</v>
      </c>
      <c r="K156" s="57">
        <f>((('indice Carburant'!E13/'Indexation Client 2026'!$D$156)-1)*'Indexation Client 2026'!$F$156)</f>
        <v>0.005524879823</v>
      </c>
      <c r="L156" s="90">
        <f>((('indice Carburant'!F13/'Indexation Client 2026'!$D$156)-1)*'Indexation Client 2026'!$F$156)</f>
        <v>0.02313238924</v>
      </c>
      <c r="M156" s="91">
        <f>((('indice Carburant'!G13/'Indexation Client 2026'!$D$156)-1)*'Indexation Client 2026'!$F$156)</f>
        <v>-0.15</v>
      </c>
      <c r="N156" s="91">
        <f>((('indice Carburant'!H13/'Indexation Client 2026'!$D$156)-1)*'Indexation Client 2026'!$F$156)</f>
        <v>-0.15</v>
      </c>
      <c r="O156" s="91">
        <f>((('indice Carburant'!I13/'Indexation Client 2026'!$D$156)-1)*'Indexation Client 2026'!$F$156)</f>
        <v>-0.15</v>
      </c>
      <c r="P156" s="91">
        <f>((('indice Carburant'!J13/'Indexation Client 2026'!$D$156)-1)*'Indexation Client 2026'!$F$156)</f>
        <v>-0.15</v>
      </c>
      <c r="Q156" s="91">
        <f>((('indice Carburant'!K13/'Indexation Client 2026'!$D$156)-1)*'Indexation Client 2026'!$F$156)</f>
        <v>-0.15</v>
      </c>
      <c r="R156" s="91">
        <f>((('indice Carburant'!L13/'Indexation Client 2026'!$D$156)-1)*'Indexation Client 2026'!$F$156)</f>
        <v>-0.15</v>
      </c>
      <c r="S156" s="91">
        <f>((('indice Carburant'!M13/'Indexation Client 2026'!$D$156)-1)*'Indexation Client 2026'!$F$156)</f>
        <v>-0.15</v>
      </c>
      <c r="T156" s="91">
        <f>((('indice Carburant'!N13/'Indexation Client 2026'!$D$156)-1)*'Indexation Client 2026'!$F$156)</f>
        <v>-0.15</v>
      </c>
      <c r="U156" s="91">
        <f>((('indice Carburant'!O13/'Indexation Client 2026'!$D$156)-1)*'Indexation Client 2026'!$F$156)</f>
        <v>-0.15</v>
      </c>
    </row>
    <row r="157" ht="14.25" customHeight="1">
      <c r="A157" s="59" t="s">
        <v>251</v>
      </c>
      <c r="B157" s="71" t="s">
        <v>253</v>
      </c>
      <c r="C157" s="38" t="s">
        <v>247</v>
      </c>
      <c r="D157" s="53">
        <v>153.94</v>
      </c>
      <c r="E157" s="53" t="s">
        <v>81</v>
      </c>
      <c r="F157" s="58">
        <v>0.15</v>
      </c>
      <c r="G157" s="53" t="s">
        <v>36</v>
      </c>
      <c r="H157" s="53"/>
      <c r="I157" s="56"/>
      <c r="J157" s="57">
        <f>((('indice Carburant'!D13/'Indexation Client 2026'!$D$157)-1)*'Indexation Client 2026'!$F$157)</f>
        <v>0.007298298038</v>
      </c>
      <c r="K157" s="57">
        <f>((('indice Carburant'!E13/'Indexation Client 2026'!$D$157)-1)*'Indexation Client 2026'!$F$157)</f>
        <v>0.005524879823</v>
      </c>
      <c r="L157" s="90">
        <f>((('indice Carburant'!F13/'Indexation Client 2026'!$D$157)-1)*'Indexation Client 2026'!$F$157)</f>
        <v>0.02313238924</v>
      </c>
      <c r="M157" s="91">
        <f>((('indice Carburant'!G13/'Indexation Client 2026'!$D$157)-1)*'Indexation Client 2026'!$F$157)</f>
        <v>-0.15</v>
      </c>
      <c r="N157" s="91">
        <f>((('indice Carburant'!H13/'Indexation Client 2026'!$D$157)-1)*'Indexation Client 2026'!$F$157)</f>
        <v>-0.15</v>
      </c>
      <c r="O157" s="91">
        <f>((('indice Carburant'!I13/'Indexation Client 2026'!$D$157)-1)*'Indexation Client 2026'!$F$157)</f>
        <v>-0.15</v>
      </c>
      <c r="P157" s="91">
        <f>((('indice Carburant'!J13/'Indexation Client 2026'!$D$157)-1)*'Indexation Client 2026'!$F$157)</f>
        <v>-0.15</v>
      </c>
      <c r="Q157" s="91">
        <f>((('indice Carburant'!K13/'Indexation Client 2026'!$D$157)-1)*'Indexation Client 2026'!$F$157)</f>
        <v>-0.15</v>
      </c>
      <c r="R157" s="91">
        <f>((('indice Carburant'!L13/'Indexation Client 2026'!$D$157)-1)*'Indexation Client 2026'!$F$157)</f>
        <v>-0.15</v>
      </c>
      <c r="S157" s="91">
        <f>((('indice Carburant'!M13/'Indexation Client 2026'!$D$157)-1)*'Indexation Client 2026'!$F$157)</f>
        <v>-0.15</v>
      </c>
      <c r="T157" s="91">
        <f>((('indice Carburant'!N13/'Indexation Client 2026'!$D$157)-1)*'Indexation Client 2026'!$F$157)</f>
        <v>-0.15</v>
      </c>
      <c r="U157" s="91">
        <f>((('indice Carburant'!O13/'Indexation Client 2026'!$D$157)-1)*'Indexation Client 2026'!$F$157)</f>
        <v>-0.15</v>
      </c>
    </row>
    <row r="158" ht="14.25" customHeight="1">
      <c r="A158" s="59" t="s">
        <v>251</v>
      </c>
      <c r="B158" s="71" t="s">
        <v>254</v>
      </c>
      <c r="C158" s="38" t="s">
        <v>247</v>
      </c>
      <c r="D158" s="53">
        <v>153.94</v>
      </c>
      <c r="E158" s="53" t="s">
        <v>81</v>
      </c>
      <c r="F158" s="58">
        <v>0.18</v>
      </c>
      <c r="G158" s="53" t="s">
        <v>36</v>
      </c>
      <c r="H158" s="53"/>
      <c r="I158" s="56"/>
      <c r="J158" s="57">
        <f>((('indice Carburant'!D13/'Indexation Client 2026'!$D$158)-1)*'Indexation Client 2026'!$F$158)</f>
        <v>0.008757957646</v>
      </c>
      <c r="K158" s="57">
        <f>((('indice Carburant'!E13/'Indexation Client 2026'!$D$158)-1)*'Indexation Client 2026'!$F$158)</f>
        <v>0.006629855788</v>
      </c>
      <c r="L158" s="90">
        <f>((('indice Carburant'!F13/'Indexation Client 2026'!$D$158)-1)*'Indexation Client 2026'!$F$158)</f>
        <v>0.02775886709</v>
      </c>
      <c r="M158" s="91">
        <f>((('indice Carburant'!G13/'Indexation Client 2026'!$D$158)-1)*'Indexation Client 2026'!$F$158)</f>
        <v>-0.18</v>
      </c>
      <c r="N158" s="91">
        <f>((('indice Carburant'!H13/'Indexation Client 2026'!$D$158)-1)*'Indexation Client 2026'!$F$158)</f>
        <v>-0.18</v>
      </c>
      <c r="O158" s="91">
        <f>((('indice Carburant'!I13/'Indexation Client 2026'!$D$158)-1)*'Indexation Client 2026'!$F$158)</f>
        <v>-0.18</v>
      </c>
      <c r="P158" s="91">
        <f>((('indice Carburant'!J13/'Indexation Client 2026'!$D$158)-1)*'Indexation Client 2026'!$F$158)</f>
        <v>-0.18</v>
      </c>
      <c r="Q158" s="91">
        <f>((('indice Carburant'!K13/'Indexation Client 2026'!$D$158)-1)*'Indexation Client 2026'!$F$158)</f>
        <v>-0.18</v>
      </c>
      <c r="R158" s="91">
        <f>((('indice Carburant'!L13/'Indexation Client 2026'!$D$158)-1)*'Indexation Client 2026'!$F$158)</f>
        <v>-0.18</v>
      </c>
      <c r="S158" s="91">
        <f>((('indice Carburant'!M13/'Indexation Client 2026'!$D$158)-1)*'Indexation Client 2026'!$F$158)</f>
        <v>-0.18</v>
      </c>
      <c r="T158" s="91">
        <f>((('indice Carburant'!N13/'Indexation Client 2026'!$D$158)-1)*'Indexation Client 2026'!$F$158)</f>
        <v>-0.18</v>
      </c>
      <c r="U158" s="91">
        <f>((('indice Carburant'!O13/'Indexation Client 2026'!$D$158)-1)*'Indexation Client 2026'!$F$158)</f>
        <v>-0.18</v>
      </c>
    </row>
    <row r="159" ht="14.25" customHeight="1">
      <c r="A159" s="59" t="s">
        <v>251</v>
      </c>
      <c r="B159" s="71" t="s">
        <v>255</v>
      </c>
      <c r="C159" s="38" t="s">
        <v>247</v>
      </c>
      <c r="D159" s="53">
        <v>0.9205</v>
      </c>
      <c r="E159" s="53" t="s">
        <v>256</v>
      </c>
      <c r="F159" s="58">
        <v>0.1247</v>
      </c>
      <c r="G159" s="53" t="s">
        <v>36</v>
      </c>
      <c r="H159" s="53"/>
      <c r="I159" s="56"/>
      <c r="J159" s="57">
        <f>((('indice Carburant'!D14/'Indexation Client 2026'!$D$159)-1)*'Indexation Client 2026'!$F$159)</f>
        <v>0.008521053775</v>
      </c>
      <c r="K159" s="57">
        <f>((('indice Carburant'!E14/'Indexation Client 2026'!$D$159)-1)*'Indexation Client 2026'!$F$159)</f>
        <v>0.002045594785</v>
      </c>
      <c r="L159" s="90">
        <f>((('indice Carburant'!F14/'Indexation Client 2026'!$D$159)-1)*'Indexation Client 2026'!$F$159)</f>
        <v>0.01483394894</v>
      </c>
      <c r="M159" s="89">
        <f>((('indice Carburant'!G14/'Indexation Client 2026'!$D$159)-1)*'Indexation Client 2026'!$F$159)</f>
        <v>-0.1247</v>
      </c>
      <c r="N159" s="89">
        <f>((('indice Carburant'!H14/'Indexation Client 2026'!$D$159)-1)*'Indexation Client 2026'!$F$159)</f>
        <v>-0.1247</v>
      </c>
      <c r="O159" s="89">
        <f>((('indice Carburant'!I14/'Indexation Client 2026'!$D$159)-1)*'Indexation Client 2026'!$F$159)</f>
        <v>-0.1247</v>
      </c>
      <c r="P159" s="89">
        <f>((('indice Carburant'!J14/'Indexation Client 2026'!$D$159)-1)*'Indexation Client 2026'!$F$159)</f>
        <v>-0.1247</v>
      </c>
      <c r="Q159" s="89">
        <f>((('indice Carburant'!K14/'Indexation Client 2026'!$D$159)-1)*'Indexation Client 2026'!$F$159)</f>
        <v>-0.1247</v>
      </c>
      <c r="R159" s="89">
        <f>((('indice Carburant'!L14/'Indexation Client 2026'!$D$159)-1)*'Indexation Client 2026'!$F$159)</f>
        <v>-0.1247</v>
      </c>
      <c r="S159" s="89">
        <f>((('indice Carburant'!M14/'Indexation Client 2026'!$D$159)-1)*'Indexation Client 2026'!$F$159)</f>
        <v>-0.1247</v>
      </c>
      <c r="T159" s="89">
        <f>((('indice Carburant'!N14/'Indexation Client 2026'!$D$159)-1)*'Indexation Client 2026'!$F$159)</f>
        <v>-0.1247</v>
      </c>
      <c r="U159" s="89">
        <f>((('indice Carburant'!O14/'Indexation Client 2026'!$D$159)-1)*'Indexation Client 2026'!$F$159)</f>
        <v>-0.1247</v>
      </c>
    </row>
    <row r="160" ht="14.25" customHeight="1">
      <c r="A160" s="59" t="s">
        <v>257</v>
      </c>
      <c r="B160" s="53" t="s">
        <v>258</v>
      </c>
      <c r="C160" s="53" t="s">
        <v>259</v>
      </c>
      <c r="D160" s="70" t="s">
        <v>260</v>
      </c>
      <c r="E160" s="55"/>
      <c r="F160" s="55"/>
      <c r="G160" s="55"/>
      <c r="H160" s="55"/>
      <c r="I160" s="56"/>
      <c r="J160" s="62"/>
      <c r="K160" s="62"/>
      <c r="L160" s="62"/>
      <c r="M160" s="55"/>
      <c r="N160" s="55"/>
      <c r="O160" s="55"/>
      <c r="P160" s="55"/>
      <c r="Q160" s="55"/>
      <c r="R160" s="55"/>
      <c r="S160" s="55"/>
      <c r="T160" s="55"/>
      <c r="U160" s="55"/>
    </row>
    <row r="161" ht="14.25" customHeight="1">
      <c r="A161" s="82" t="s">
        <v>261</v>
      </c>
      <c r="B161" s="92" t="s">
        <v>262</v>
      </c>
      <c r="C161" s="38" t="s">
        <v>263</v>
      </c>
      <c r="D161" s="38">
        <v>161.81</v>
      </c>
      <c r="E161" s="53" t="s">
        <v>138</v>
      </c>
      <c r="F161" s="58">
        <v>0.221</v>
      </c>
      <c r="G161" s="53" t="s">
        <v>36</v>
      </c>
      <c r="H161" s="55"/>
      <c r="I161" s="56"/>
      <c r="J161" s="57">
        <v>0.0158</v>
      </c>
      <c r="K161" s="57">
        <v>-0.0038</v>
      </c>
      <c r="L161" s="57">
        <f>((('indice Carburant'!E6/'Indexation Client 2026'!$D$161)-1)*'Indexation Client 2026'!$F$161)</f>
        <v>0.03530591434</v>
      </c>
      <c r="M161" s="58">
        <f>((('indice Carburant'!F6/'Indexation Client 2026'!$D$161)-1)*'Indexation Client 2026'!$F$161)</f>
        <v>0.0430636549</v>
      </c>
      <c r="N161" s="58">
        <f>((('indice Carburant'!G6/'Indexation Client 2026'!$D$161)-1)*'Indexation Client 2026'!$F$161)</f>
        <v>0.1178275138</v>
      </c>
      <c r="O161" s="58">
        <f>((('indice Carburant'!H6/'Indexation Client 2026'!$D$161)-1)*'Indexation Client 2026'!$F$161)</f>
        <v>-0.221</v>
      </c>
      <c r="P161" s="58">
        <f>((('indice Carburant'!I6/'Indexation Client 2026'!$D$161)-1)*'Indexation Client 2026'!$F$161)</f>
        <v>-0.221</v>
      </c>
      <c r="Q161" s="58">
        <f>((('indice Carburant'!J6/'Indexation Client 2026'!$D$161)-1)*'Indexation Client 2026'!$F$161)</f>
        <v>-0.221</v>
      </c>
      <c r="R161" s="58">
        <f>((('indice Carburant'!K6/'Indexation Client 2026'!$D$161)-1)*'Indexation Client 2026'!$F$161)</f>
        <v>-0.221</v>
      </c>
      <c r="S161" s="58">
        <f>((('indice Carburant'!L6/'Indexation Client 2026'!$D$161)-1)*'Indexation Client 2026'!$F$161)</f>
        <v>-0.221</v>
      </c>
      <c r="T161" s="58">
        <f>((('indice Carburant'!M6/'Indexation Client 2026'!$D$161)-1)*'Indexation Client 2026'!$F$161)</f>
        <v>-0.221</v>
      </c>
      <c r="U161" s="58">
        <f>((('indice Carburant'!N6/'Indexation Client 2026'!$D$161)-1)*'Indexation Client 2026'!$F$161)</f>
        <v>-0.221</v>
      </c>
    </row>
    <row r="162" ht="14.25" customHeight="1">
      <c r="A162" s="82" t="s">
        <v>264</v>
      </c>
      <c r="B162" s="92" t="s">
        <v>265</v>
      </c>
      <c r="C162" s="38" t="s">
        <v>264</v>
      </c>
      <c r="D162" s="70" t="s">
        <v>260</v>
      </c>
      <c r="E162" s="55"/>
      <c r="F162" s="55"/>
      <c r="G162" s="55"/>
      <c r="H162" s="55"/>
      <c r="I162" s="93"/>
      <c r="J162" s="57"/>
      <c r="K162" s="57"/>
      <c r="L162" s="57"/>
      <c r="M162" s="58"/>
      <c r="N162" s="58"/>
      <c r="O162" s="58"/>
      <c r="P162" s="58"/>
      <c r="Q162" s="58"/>
      <c r="R162" s="58"/>
      <c r="S162" s="58"/>
      <c r="T162" s="58"/>
      <c r="U162" s="58"/>
    </row>
    <row r="163" ht="14.25" customHeight="1">
      <c r="A163" s="82" t="s">
        <v>266</v>
      </c>
      <c r="B163" s="92" t="s">
        <v>267</v>
      </c>
      <c r="C163" s="38" t="s">
        <v>268</v>
      </c>
      <c r="D163" s="60" t="s">
        <v>41</v>
      </c>
      <c r="E163" s="55"/>
      <c r="F163" s="55" t="s">
        <v>269</v>
      </c>
      <c r="G163" s="53" t="s">
        <v>36</v>
      </c>
      <c r="H163" s="55"/>
      <c r="I163" s="93"/>
      <c r="J163" s="57"/>
      <c r="K163" s="57"/>
      <c r="L163" s="57"/>
      <c r="M163" s="58"/>
      <c r="N163" s="58"/>
      <c r="O163" s="58"/>
      <c r="P163" s="58"/>
      <c r="Q163" s="58"/>
      <c r="R163" s="58"/>
      <c r="S163" s="58"/>
      <c r="T163" s="58"/>
      <c r="U163" s="58"/>
    </row>
    <row r="164" ht="14.25" customHeight="1">
      <c r="A164" s="82" t="s">
        <v>270</v>
      </c>
      <c r="B164" s="92" t="s">
        <v>271</v>
      </c>
      <c r="C164" s="38" t="s">
        <v>272</v>
      </c>
      <c r="D164" s="53">
        <v>1.3196</v>
      </c>
      <c r="E164" s="94" t="s">
        <v>131</v>
      </c>
      <c r="F164" s="58">
        <v>0.25</v>
      </c>
      <c r="G164" s="53" t="s">
        <v>36</v>
      </c>
      <c r="H164" s="53"/>
      <c r="I164" s="56"/>
      <c r="J164" s="57">
        <f>((('indice Carburant'!D8/'Indexation Client 2026'!$D$164)-1)*'Indexation Client 2026'!$F$164)</f>
        <v>-0.009643073659</v>
      </c>
      <c r="K164" s="57">
        <f>((('indice Carburant'!E8/'Indexation Client 2026'!$D$164)-1)*'Indexation Client 2026'!$F$164)</f>
        <v>0.0004167929676</v>
      </c>
      <c r="L164" s="57">
        <f>((('indice Carburant'!F8/'Indexation Client 2026'!$D$164)-1)*'Indexation Client 2026'!$F$164)</f>
        <v>0.006649742346</v>
      </c>
      <c r="M164" s="58">
        <f>((('indice Carburant'!G8/'Indexation Client 2026'!$D$164)-1)*'Indexation Client 2026'!$F$164)</f>
        <v>0.08296074568</v>
      </c>
      <c r="N164" s="58">
        <f>((('indice Carburant'!H8/'Indexation Client 2026'!$D$164)-1)*'Indexation Client 2026'!$F$164)</f>
        <v>-0.25</v>
      </c>
      <c r="O164" s="58">
        <f>((('indice Carburant'!I8/'Indexation Client 2026'!$D$164)-1)*'Indexation Client 2026'!$F$164)</f>
        <v>-0.25</v>
      </c>
      <c r="P164" s="58">
        <f>((('indice Carburant'!J8/'Indexation Client 2026'!$D$164)-1)*'Indexation Client 2026'!$F$164)</f>
        <v>-0.25</v>
      </c>
      <c r="Q164" s="58">
        <f>((('indice Carburant'!K8/'Indexation Client 2026'!$D$164)-1)*'Indexation Client 2026'!$F$164)</f>
        <v>-0.25</v>
      </c>
      <c r="R164" s="58">
        <f>((('indice Carburant'!L8/'Indexation Client 2026'!$D$164)-1)*'Indexation Client 2026'!$F$164)</f>
        <v>-0.25</v>
      </c>
      <c r="S164" s="58">
        <f>((('indice Carburant'!M8/'Indexation Client 2026'!$D$164)-1)*'Indexation Client 2026'!$F$164)</f>
        <v>-0.25</v>
      </c>
      <c r="T164" s="58">
        <f>((('indice Carburant'!N8/'Indexation Client 2026'!$D$164)-1)*'Indexation Client 2026'!$F$164)</f>
        <v>-0.25</v>
      </c>
      <c r="U164" s="58">
        <f>((('indice Carburant'!O8/'Indexation Client 2026'!$D$164)-1)*'Indexation Client 2026'!$F$164)</f>
        <v>-0.25</v>
      </c>
    </row>
    <row r="165" ht="14.25" customHeight="1">
      <c r="A165" s="95" t="s">
        <v>273</v>
      </c>
      <c r="B165" s="96" t="s">
        <v>274</v>
      </c>
      <c r="C165" s="97" t="s">
        <v>275</v>
      </c>
      <c r="D165" s="94">
        <v>181.52</v>
      </c>
      <c r="E165" s="94" t="s">
        <v>35</v>
      </c>
      <c r="F165" s="98">
        <v>0.12</v>
      </c>
      <c r="G165" s="94" t="s">
        <v>36</v>
      </c>
      <c r="H165" s="94"/>
      <c r="I165" s="93"/>
      <c r="J165" s="99">
        <f>((('indice Carburant'!D6/'Indexation Client 2026'!$D$165)-1)*'Indexation Client 2026'!$F$165)</f>
        <v>0</v>
      </c>
      <c r="K165" s="99">
        <f>((('indice Carburant'!E6/'Indexation Client 2026'!$D$165)-1)*'Indexation Client 2026'!$F$165)</f>
        <v>0.004059056853</v>
      </c>
      <c r="L165" s="99">
        <f>((('indice Carburant'!F6/'Indexation Client 2026'!$D$165)-1)*'Indexation Client 2026'!$F$165)</f>
        <v>0.007814014985</v>
      </c>
      <c r="M165" s="98">
        <f>((('indice Carburant'!G6/'Indexation Client 2026'!$D$165)-1)*'Indexation Client 2026'!$F$165)</f>
        <v>0.04400176289</v>
      </c>
      <c r="N165" s="98">
        <f>((('indice Carburant'!H6/'Indexation Client 2026'!$D$165)-1)*'Indexation Client 2026'!$F$165)</f>
        <v>-0.12</v>
      </c>
      <c r="O165" s="98">
        <f>((('indice Carburant'!I6/'Indexation Client 2026'!$D$165)-1)*'Indexation Client 2026'!$F$165)</f>
        <v>-0.12</v>
      </c>
      <c r="P165" s="98">
        <f>((('indice Carburant'!J6/'Indexation Client 2026'!$D$165)-1)*'Indexation Client 2026'!$F$165)</f>
        <v>-0.12</v>
      </c>
      <c r="Q165" s="98">
        <f>((('indice Carburant'!K6/'Indexation Client 2026'!$D$165)-1)*'Indexation Client 2026'!$F$165)</f>
        <v>-0.12</v>
      </c>
      <c r="R165" s="98">
        <f>((('indice Carburant'!L6/'Indexation Client 2026'!$D$165)-1)*'Indexation Client 2026'!$F$165)</f>
        <v>-0.12</v>
      </c>
      <c r="S165" s="98">
        <f>((('indice Carburant'!M6/'Indexation Client 2026'!$D$165)-1)*'Indexation Client 2026'!$F$165)</f>
        <v>-0.12</v>
      </c>
      <c r="T165" s="98">
        <f>((('indice Carburant'!N6/'Indexation Client 2026'!$D$165)-1)*'Indexation Client 2026'!$F$165)</f>
        <v>-0.12</v>
      </c>
      <c r="U165" s="98">
        <f>((('indice Carburant'!O6/'Indexation Client 2026'!$D$165)-1)*'Indexation Client 2026'!$F$165)</f>
        <v>-0.12</v>
      </c>
    </row>
    <row r="166" ht="14.25" customHeight="1">
      <c r="A166" s="82" t="s">
        <v>276</v>
      </c>
      <c r="B166" s="92" t="s">
        <v>277</v>
      </c>
      <c r="C166" s="38"/>
      <c r="D166" s="53">
        <v>204.89</v>
      </c>
      <c r="E166" s="53" t="s">
        <v>35</v>
      </c>
      <c r="F166" s="58">
        <v>0.22</v>
      </c>
      <c r="G166" s="53" t="s">
        <v>36</v>
      </c>
      <c r="H166" s="53"/>
      <c r="I166" s="56"/>
      <c r="J166" s="57">
        <f>((('indice Carburant'!D6/'Indexation Client 2026'!$D$166)-1)*'Indexation Client 2026'!$F$166)</f>
        <v>-0.02509346479</v>
      </c>
      <c r="K166" s="57">
        <f>((('indice Carburant'!E6/'Indexation Client 2026'!$D$166)-1)*'Indexation Client 2026'!$F$166)</f>
        <v>-0.01850065889</v>
      </c>
      <c r="L166" s="57">
        <f>((('indice Carburant'!F6/'Indexation Client 2026'!$D$166)-1)*'Indexation Client 2026'!$F$166)</f>
        <v>-0.01240177656</v>
      </c>
      <c r="M166" s="58">
        <f>((('indice Carburant'!G6/'Indexation Client 2026'!$D$166)-1)*'Indexation Client 2026'!$F$166)</f>
        <v>0.04637512812</v>
      </c>
      <c r="N166" s="58">
        <f>((('indice Carburant'!H6/'Indexation Client 2026'!$D$166)-1)*'Indexation Client 2026'!$F$166)</f>
        <v>-0.22</v>
      </c>
      <c r="O166" s="58">
        <f>((('indice Carburant'!I6/'Indexation Client 2026'!$D$166)-1)*'Indexation Client 2026'!$F$166)</f>
        <v>-0.22</v>
      </c>
      <c r="P166" s="58">
        <f>((('indice Carburant'!J6/'Indexation Client 2026'!$D$166)-1)*'Indexation Client 2026'!$F$166)</f>
        <v>-0.22</v>
      </c>
      <c r="Q166" s="58">
        <f>((('indice Carburant'!K6/'Indexation Client 2026'!$D$166)-1)*'Indexation Client 2026'!$F$166)</f>
        <v>-0.22</v>
      </c>
      <c r="R166" s="58">
        <f>((('indice Carburant'!L6/'Indexation Client 2026'!$D$166)-1)*'Indexation Client 2026'!$F$166)</f>
        <v>-0.22</v>
      </c>
      <c r="S166" s="58">
        <f>((('indice Carburant'!M6/'Indexation Client 2026'!$D$166)-1)*'Indexation Client 2026'!$F$166)</f>
        <v>-0.22</v>
      </c>
      <c r="T166" s="58">
        <f>((('indice Carburant'!N6/'Indexation Client 2026'!$D$166)-1)*'Indexation Client 2026'!$F$166)</f>
        <v>-0.22</v>
      </c>
      <c r="U166" s="58">
        <f>((('indice Carburant'!O6/'Indexation Client 2026'!$D$166)-1)*'Indexation Client 2026'!$F$166)</f>
        <v>-0.22</v>
      </c>
    </row>
    <row r="167" ht="14.25" customHeight="1">
      <c r="A167" s="82" t="s">
        <v>278</v>
      </c>
      <c r="B167" s="92" t="s">
        <v>279</v>
      </c>
      <c r="C167" s="38" t="s">
        <v>278</v>
      </c>
      <c r="D167" s="53">
        <v>1.2099</v>
      </c>
      <c r="E167" s="53" t="s">
        <v>280</v>
      </c>
      <c r="F167" s="53">
        <v>0.31</v>
      </c>
      <c r="G167" s="53" t="s">
        <v>78</v>
      </c>
      <c r="H167" s="53"/>
      <c r="I167" s="56"/>
      <c r="J167" s="57"/>
      <c r="K167" s="74">
        <f>('indice Carburant'!E8-'indice Carburant'!E26)*$F$167</f>
        <v>0.361522</v>
      </c>
      <c r="L167" s="74">
        <f>('indice Carburant'!F8-'indice Carburant'!F26)*$F$167</f>
        <v>0.371721</v>
      </c>
      <c r="M167" s="75">
        <f>('indice Carburant'!G8-'indice Carburant'!G26)*$F$167</f>
        <v>0.496589</v>
      </c>
      <c r="N167" s="75">
        <f>('indice Carburant'!H8-'indice Carburant'!H26)*$F$167</f>
        <v>-0.048236</v>
      </c>
      <c r="O167" s="75">
        <f>('indice Carburant'!I8-'indice Carburant'!I26)*$F$167</f>
        <v>-0.048236</v>
      </c>
      <c r="P167" s="75">
        <f>('indice Carburant'!J8-'indice Carburant'!J26)*$F$167</f>
        <v>-0.048236</v>
      </c>
      <c r="Q167" s="75">
        <f>('indice Carburant'!K8-'indice Carburant'!K26)*$F$167</f>
        <v>-0.048236</v>
      </c>
      <c r="R167" s="75">
        <f>('indice Carburant'!L8-'indice Carburant'!L26)*$F$167</f>
        <v>-0.048236</v>
      </c>
      <c r="S167" s="75">
        <f>('indice Carburant'!M8-'indice Carburant'!M26)*$F$167</f>
        <v>-0.048236</v>
      </c>
      <c r="T167" s="75">
        <f>('indice Carburant'!N8-'indice Carburant'!N26)*$F$167</f>
        <v>-0.048236</v>
      </c>
      <c r="U167" s="75">
        <f>('indice Carburant'!O8-'indice Carburant'!O26)*$F$167</f>
        <v>-0.048236</v>
      </c>
    </row>
    <row r="168" ht="14.25" customHeight="1">
      <c r="A168" s="100"/>
      <c r="B168" s="101"/>
      <c r="C168" s="102"/>
      <c r="E168" s="103"/>
      <c r="F168" s="104"/>
      <c r="G168" s="103"/>
      <c r="I168" s="93"/>
      <c r="J168" s="105"/>
      <c r="K168" s="105"/>
      <c r="L168" s="105"/>
      <c r="M168" s="105"/>
      <c r="N168" s="106"/>
      <c r="O168" s="106"/>
      <c r="P168" s="106"/>
      <c r="Q168" s="106"/>
      <c r="R168" s="106"/>
      <c r="S168" s="106"/>
      <c r="T168" s="106"/>
      <c r="U168" s="106"/>
    </row>
    <row r="169" ht="14.25" customHeight="1"/>
    <row r="170" ht="14.25" customHeight="1">
      <c r="A170" s="11" t="s">
        <v>281</v>
      </c>
      <c r="B170" s="107" t="s">
        <v>282</v>
      </c>
      <c r="C170" s="11" t="s">
        <v>283</v>
      </c>
      <c r="D170" s="11" t="s">
        <v>284</v>
      </c>
    </row>
    <row r="171" ht="14.25" customHeight="1">
      <c r="A171" s="11" t="s">
        <v>285</v>
      </c>
      <c r="B171" s="11">
        <v>190.09</v>
      </c>
      <c r="C171" s="108">
        <v>2.82</v>
      </c>
      <c r="D171" s="109">
        <v>0.1247</v>
      </c>
    </row>
    <row r="172" ht="14.25" customHeight="1">
      <c r="B172" s="11">
        <f>(C171/B171)/D171</f>
        <v>0.1189661437</v>
      </c>
    </row>
    <row r="173" ht="14.25" customHeight="1">
      <c r="B173" s="110">
        <f>(B172*D159)+D159</f>
        <v>1.030008335</v>
      </c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U$167"/>
  <mergeCells count="2">
    <mergeCell ref="A1:F4"/>
    <mergeCell ref="G2:G3"/>
  </mergeCells>
  <printOptions horizontalCentered="1"/>
  <pageMargins bottom="0.0" footer="0.0" header="0.0" left="0.0" right="0.0" top="0.0"/>
  <pageSetup paperSize="9" orientation="landscape"/>
  <drawing r:id="rId4"/>
  <legacyDrawing r:id="rId5"/>
</worksheet>
</file>